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0006352\Desktop\"/>
    </mc:Choice>
  </mc:AlternateContent>
  <bookViews>
    <workbookView xWindow="0" yWindow="0" windowWidth="15525" windowHeight="6855" tabRatio="679" activeTab="7"/>
  </bookViews>
  <sheets>
    <sheet name="日期" sheetId="18" r:id="rId1"/>
    <sheet name="ETF淨值" sheetId="6" r:id="rId2"/>
    <sheet name="工作表3" sheetId="26" r:id="rId3"/>
    <sheet name="XQKGIAP" sheetId="1" r:id="rId4"/>
    <sheet name="ETF" sheetId="11" r:id="rId5"/>
    <sheet name="Stock" sheetId="23" r:id="rId6"/>
    <sheet name="外期" sheetId="12" r:id="rId7"/>
    <sheet name="台股期" sheetId="13" r:id="rId8"/>
    <sheet name="資料上傳" sheetId="17" r:id="rId9"/>
    <sheet name="Data" sheetId="21" r:id="rId10"/>
    <sheet name="工作表2" sheetId="24" r:id="rId11"/>
    <sheet name="工作表1" sheetId="25" r:id="rId12"/>
    <sheet name="工作表5" sheetId="29" r:id="rId13"/>
    <sheet name="價差" sheetId="27" r:id="rId14"/>
  </sheets>
  <functionGroups builtInGroupCount="18"/>
  <externalReferences>
    <externalReference r:id="rId15"/>
    <externalReference r:id="rId16"/>
    <externalReference r:id="rId17"/>
    <externalReference r:id="rId18"/>
    <externalReference r:id="rId19"/>
  </externalReferences>
  <definedNames>
    <definedName name="AUpdate">1</definedName>
    <definedName name="BUpdate">1</definedName>
    <definedName name="GUpdate">0</definedName>
    <definedName name="Port">#REF!</definedName>
    <definedName name="TUpdate">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79" i="27" l="1"/>
  <c r="T79" i="27"/>
  <c r="U56" i="27"/>
  <c r="T56" i="27"/>
  <c r="U78" i="27"/>
  <c r="T78" i="27"/>
  <c r="U77" i="27"/>
  <c r="T77" i="27"/>
  <c r="U76" i="27"/>
  <c r="T76" i="27"/>
  <c r="U75" i="27"/>
  <c r="T75" i="27"/>
  <c r="U74" i="27"/>
  <c r="T74" i="27"/>
  <c r="U73" i="27"/>
  <c r="T73" i="27"/>
  <c r="U72" i="27"/>
  <c r="T72" i="27"/>
  <c r="U71" i="27"/>
  <c r="T71" i="27"/>
  <c r="U70" i="27"/>
  <c r="T70" i="27"/>
  <c r="U69" i="27"/>
  <c r="T69" i="27"/>
  <c r="U68" i="27"/>
  <c r="T68" i="27"/>
  <c r="U67" i="27"/>
  <c r="T67" i="27"/>
  <c r="U66" i="27"/>
  <c r="T66" i="27"/>
  <c r="U65" i="27"/>
  <c r="T65" i="27"/>
  <c r="U64" i="27"/>
  <c r="T64" i="27"/>
  <c r="U63" i="27"/>
  <c r="T63" i="27"/>
  <c r="U62" i="27"/>
  <c r="T62" i="27"/>
  <c r="U61" i="27"/>
  <c r="T61" i="27"/>
  <c r="U60" i="27"/>
  <c r="T60" i="27"/>
  <c r="U59" i="27"/>
  <c r="T59" i="27"/>
  <c r="U58" i="27"/>
  <c r="T58" i="27"/>
  <c r="U57" i="27"/>
  <c r="T57" i="27"/>
  <c r="U55" i="27"/>
  <c r="T55" i="27"/>
  <c r="U54" i="27"/>
  <c r="T54" i="27"/>
  <c r="U53" i="27"/>
  <c r="T53" i="27"/>
  <c r="U52" i="27"/>
  <c r="T52" i="27"/>
  <c r="U51" i="27"/>
  <c r="T51" i="27"/>
  <c r="U50" i="27"/>
  <c r="T50" i="27"/>
  <c r="U49" i="27"/>
  <c r="T49" i="27"/>
  <c r="U48" i="27"/>
  <c r="T48" i="27"/>
  <c r="U47" i="27"/>
  <c r="T47" i="27"/>
  <c r="U46" i="27"/>
  <c r="T46" i="27"/>
  <c r="U45" i="27"/>
  <c r="T45" i="27"/>
  <c r="U44" i="27"/>
  <c r="T44" i="27"/>
  <c r="U43" i="27"/>
  <c r="T43" i="27"/>
  <c r="U42" i="27"/>
  <c r="T42" i="27"/>
  <c r="U41" i="27"/>
  <c r="T41" i="27"/>
  <c r="U40" i="27"/>
  <c r="T40" i="27"/>
  <c r="U39" i="27"/>
  <c r="T39" i="27"/>
  <c r="U38" i="27"/>
  <c r="T38" i="27"/>
  <c r="U37" i="27"/>
  <c r="T37" i="27"/>
  <c r="U36" i="27"/>
  <c r="T36" i="27"/>
  <c r="U35" i="27"/>
  <c r="T35" i="27"/>
  <c r="U34" i="27"/>
  <c r="T34" i="27"/>
  <c r="U33" i="27"/>
  <c r="T33" i="27"/>
  <c r="U32" i="27"/>
  <c r="T32" i="27"/>
  <c r="U31" i="27"/>
  <c r="T31" i="27"/>
  <c r="U30" i="27"/>
  <c r="T30" i="27"/>
  <c r="U29" i="27"/>
  <c r="T29" i="27"/>
  <c r="U6" i="27"/>
  <c r="T6" i="27"/>
  <c r="U28" i="27"/>
  <c r="T28" i="27"/>
  <c r="U11" i="27"/>
  <c r="T11" i="27"/>
  <c r="U10" i="27"/>
  <c r="T10" i="27"/>
  <c r="U9" i="27"/>
  <c r="T9" i="27"/>
  <c r="U8" i="27"/>
  <c r="T8" i="27"/>
  <c r="U7" i="27"/>
  <c r="T7" i="27"/>
  <c r="U27" i="27"/>
  <c r="T27" i="27"/>
  <c r="U26" i="27"/>
  <c r="T26" i="27"/>
  <c r="U25" i="27"/>
  <c r="T25" i="27"/>
  <c r="U24" i="27"/>
  <c r="T24" i="27"/>
  <c r="U23" i="27"/>
  <c r="T23" i="27"/>
  <c r="U22" i="27"/>
  <c r="T22" i="27"/>
  <c r="U21" i="27"/>
  <c r="T21" i="27"/>
  <c r="U20" i="27"/>
  <c r="T20" i="27"/>
  <c r="U19" i="27"/>
  <c r="T19" i="27"/>
  <c r="U18" i="27"/>
  <c r="T18" i="27"/>
  <c r="U17" i="27"/>
  <c r="T17" i="27"/>
  <c r="U16" i="27"/>
  <c r="T16" i="27"/>
  <c r="U15" i="27"/>
  <c r="T15" i="27"/>
  <c r="U14" i="27"/>
  <c r="T14" i="27"/>
  <c r="U13" i="27"/>
  <c r="T13" i="27"/>
  <c r="U12" i="27"/>
  <c r="T12" i="27"/>
  <c r="U5" i="27"/>
  <c r="T5" i="27"/>
  <c r="U4" i="27"/>
  <c r="T4" i="27"/>
  <c r="U3" i="27"/>
  <c r="T3" i="27"/>
  <c r="D79" i="27"/>
  <c r="D56" i="27"/>
  <c r="D78" i="27"/>
  <c r="D77" i="27"/>
  <c r="D76" i="27"/>
  <c r="D75" i="27"/>
  <c r="D74" i="27"/>
  <c r="D73" i="27"/>
  <c r="D72" i="27"/>
  <c r="D71" i="27"/>
  <c r="D70" i="27"/>
  <c r="D69" i="27"/>
  <c r="D68" i="27"/>
  <c r="D67" i="27"/>
  <c r="D66" i="27"/>
  <c r="D65" i="27"/>
  <c r="D64" i="27"/>
  <c r="D63" i="27"/>
  <c r="D62" i="27"/>
  <c r="D61" i="27"/>
  <c r="D60" i="27"/>
  <c r="D59" i="27"/>
  <c r="D58" i="27"/>
  <c r="D57" i="27"/>
  <c r="D55" i="27"/>
  <c r="D54" i="27"/>
  <c r="D53" i="27"/>
  <c r="D52" i="27"/>
  <c r="D51" i="27"/>
  <c r="D50" i="27"/>
  <c r="D49" i="27"/>
  <c r="D48" i="27"/>
  <c r="D47" i="27"/>
  <c r="D46" i="27"/>
  <c r="D45" i="27"/>
  <c r="D44" i="27"/>
  <c r="D43" i="27"/>
  <c r="D42" i="27"/>
  <c r="D41" i="27"/>
  <c r="D40" i="27"/>
  <c r="D39" i="27"/>
  <c r="D38" i="27"/>
  <c r="D37" i="27"/>
  <c r="D36" i="27"/>
  <c r="D35" i="27"/>
  <c r="D34" i="27"/>
  <c r="D33" i="27"/>
  <c r="D32" i="27"/>
  <c r="D31" i="27"/>
  <c r="D30" i="27"/>
  <c r="D29" i="27"/>
  <c r="D6" i="27"/>
  <c r="D28" i="27"/>
  <c r="D11" i="27"/>
  <c r="D10" i="27"/>
  <c r="D9" i="27"/>
  <c r="D8" i="27"/>
  <c r="D7" i="27"/>
  <c r="D27" i="27"/>
  <c r="D26" i="27"/>
  <c r="D25" i="27"/>
  <c r="D24" i="27"/>
  <c r="D23" i="27"/>
  <c r="D22" i="27"/>
  <c r="D21" i="27"/>
  <c r="D20" i="27"/>
  <c r="D19" i="27"/>
  <c r="D18" i="27"/>
  <c r="D17" i="27"/>
  <c r="D16" i="27"/>
  <c r="D15" i="27"/>
  <c r="D14" i="27"/>
  <c r="D13" i="27"/>
  <c r="D12" i="27"/>
  <c r="D5" i="27"/>
  <c r="D4" i="27"/>
  <c r="D3" i="27"/>
  <c r="AD56" i="27"/>
  <c r="AE56" i="27" s="1"/>
  <c r="AD78" i="27"/>
  <c r="AE78" i="27" s="1"/>
  <c r="AD77" i="27"/>
  <c r="AE77" i="27" s="1"/>
  <c r="W50" i="27" l="1"/>
  <c r="W57" i="27"/>
  <c r="W63" i="27"/>
  <c r="W18" i="27"/>
  <c r="W24" i="27"/>
  <c r="W9" i="27"/>
  <c r="W30" i="27"/>
  <c r="W36" i="27"/>
  <c r="W42" i="27"/>
  <c r="W48" i="27"/>
  <c r="W54" i="27"/>
  <c r="W61" i="27"/>
  <c r="W67" i="27"/>
  <c r="W73" i="27"/>
  <c r="W70" i="27"/>
  <c r="W76" i="27"/>
  <c r="W27" i="27"/>
  <c r="W28" i="27"/>
  <c r="W33" i="27"/>
  <c r="W39" i="27"/>
  <c r="W45" i="27"/>
  <c r="W51" i="27"/>
  <c r="W58" i="27"/>
  <c r="W64" i="27"/>
  <c r="V3" i="27"/>
  <c r="W15" i="27"/>
  <c r="W21" i="27"/>
  <c r="W69" i="27"/>
  <c r="W56" i="27"/>
  <c r="AC77" i="27"/>
  <c r="W4" i="27"/>
  <c r="W16" i="27"/>
  <c r="W22" i="27"/>
  <c r="W7" i="27"/>
  <c r="W6" i="27"/>
  <c r="W34" i="27"/>
  <c r="W40" i="27"/>
  <c r="W46" i="27"/>
  <c r="W52" i="27"/>
  <c r="W59" i="27"/>
  <c r="W65" i="27"/>
  <c r="W71" i="27"/>
  <c r="W77" i="27"/>
  <c r="W12" i="27"/>
  <c r="W14" i="27"/>
  <c r="W20" i="27"/>
  <c r="W26" i="27"/>
  <c r="W11" i="27"/>
  <c r="W32" i="27"/>
  <c r="W38" i="27"/>
  <c r="W44" i="27"/>
  <c r="W75" i="27"/>
  <c r="AC56" i="27"/>
  <c r="W3" i="27"/>
  <c r="W5" i="27"/>
  <c r="W17" i="27"/>
  <c r="W23" i="27"/>
  <c r="W8" i="27"/>
  <c r="W29" i="27"/>
  <c r="W35" i="27"/>
  <c r="W41" i="27"/>
  <c r="W47" i="27"/>
  <c r="W53" i="27"/>
  <c r="W60" i="27"/>
  <c r="W66" i="27"/>
  <c r="W72" i="27"/>
  <c r="W78" i="27"/>
  <c r="W13" i="27"/>
  <c r="W19" i="27"/>
  <c r="W25" i="27"/>
  <c r="W10" i="27"/>
  <c r="W31" i="27"/>
  <c r="W37" i="27"/>
  <c r="W43" i="27"/>
  <c r="W49" i="27"/>
  <c r="W55" i="27"/>
  <c r="W62" i="27"/>
  <c r="W68" i="27"/>
  <c r="W74" i="27"/>
  <c r="W79" i="27"/>
  <c r="V5" i="27"/>
  <c r="V14" i="27"/>
  <c r="V17" i="27"/>
  <c r="V20" i="27"/>
  <c r="V23" i="27"/>
  <c r="V26" i="27"/>
  <c r="V8" i="27"/>
  <c r="V11" i="27"/>
  <c r="V29" i="27"/>
  <c r="V32" i="27"/>
  <c r="V35" i="27"/>
  <c r="V38" i="27"/>
  <c r="V41" i="27"/>
  <c r="V44" i="27"/>
  <c r="V47" i="27"/>
  <c r="V50" i="27"/>
  <c r="V53" i="27"/>
  <c r="V57" i="27"/>
  <c r="V60" i="27"/>
  <c r="V63" i="27"/>
  <c r="V66" i="27"/>
  <c r="V69" i="27"/>
  <c r="V72" i="27"/>
  <c r="V75" i="27"/>
  <c r="V78" i="27"/>
  <c r="V12" i="27"/>
  <c r="V15" i="27"/>
  <c r="V18" i="27"/>
  <c r="V21" i="27"/>
  <c r="V24" i="27"/>
  <c r="V27" i="27"/>
  <c r="V9" i="27"/>
  <c r="V28" i="27"/>
  <c r="V30" i="27"/>
  <c r="V33" i="27"/>
  <c r="V36" i="27"/>
  <c r="V39" i="27"/>
  <c r="V42" i="27"/>
  <c r="V45" i="27"/>
  <c r="V48" i="27"/>
  <c r="V51" i="27"/>
  <c r="V54" i="27"/>
  <c r="V58" i="27"/>
  <c r="V61" i="27"/>
  <c r="V64" i="27"/>
  <c r="V67" i="27"/>
  <c r="V70" i="27"/>
  <c r="V73" i="27"/>
  <c r="V76" i="27"/>
  <c r="V56" i="27"/>
  <c r="V4" i="27"/>
  <c r="V13" i="27"/>
  <c r="V16" i="27"/>
  <c r="V19" i="27"/>
  <c r="V22" i="27"/>
  <c r="V25" i="27"/>
  <c r="V7" i="27"/>
  <c r="V10" i="27"/>
  <c r="V6" i="27"/>
  <c r="V31" i="27"/>
  <c r="V34" i="27"/>
  <c r="V37" i="27"/>
  <c r="V40" i="27"/>
  <c r="V43" i="27"/>
  <c r="V46" i="27"/>
  <c r="V49" i="27"/>
  <c r="V52" i="27"/>
  <c r="V55" i="27"/>
  <c r="V59" i="27"/>
  <c r="V62" i="27"/>
  <c r="V65" i="27"/>
  <c r="V68" i="27"/>
  <c r="V71" i="27"/>
  <c r="V74" i="27"/>
  <c r="V77" i="27"/>
  <c r="V79" i="27"/>
  <c r="AC78" i="27"/>
  <c r="I228" i="1"/>
  <c r="H228" i="1"/>
  <c r="G228" i="1"/>
  <c r="F228" i="1"/>
  <c r="E228" i="1"/>
  <c r="D228" i="1"/>
  <c r="I227" i="1"/>
  <c r="H227" i="1"/>
  <c r="G227" i="1"/>
  <c r="F227" i="1"/>
  <c r="E227" i="1"/>
  <c r="D227" i="1"/>
  <c r="I226" i="1"/>
  <c r="H226" i="1"/>
  <c r="G226" i="1"/>
  <c r="F226" i="1"/>
  <c r="E226" i="1"/>
  <c r="D226" i="1"/>
  <c r="I225" i="1"/>
  <c r="H225" i="1"/>
  <c r="G225" i="1"/>
  <c r="F225" i="1"/>
  <c r="E225" i="1"/>
  <c r="D225" i="1"/>
  <c r="I224" i="1"/>
  <c r="H224" i="1"/>
  <c r="G224" i="1"/>
  <c r="F224" i="1"/>
  <c r="E224" i="1"/>
  <c r="D224" i="1"/>
  <c r="I223" i="1"/>
  <c r="H223" i="1"/>
  <c r="G223" i="1"/>
  <c r="F223" i="1"/>
  <c r="E223" i="1"/>
  <c r="D223" i="1"/>
  <c r="I222" i="1"/>
  <c r="H222" i="1"/>
  <c r="G222" i="1"/>
  <c r="F222" i="1"/>
  <c r="E222" i="1"/>
  <c r="D222" i="1"/>
  <c r="I221" i="1"/>
  <c r="H221" i="1"/>
  <c r="G221" i="1"/>
  <c r="F221" i="1"/>
  <c r="E221" i="1"/>
  <c r="D221" i="1"/>
  <c r="I220" i="1"/>
  <c r="H220" i="1"/>
  <c r="G220" i="1"/>
  <c r="F220" i="1"/>
  <c r="E220" i="1"/>
  <c r="D220" i="1"/>
  <c r="I219" i="1"/>
  <c r="H219" i="1"/>
  <c r="G219" i="1"/>
  <c r="F219" i="1"/>
  <c r="E219" i="1"/>
  <c r="D219" i="1"/>
  <c r="I218" i="1"/>
  <c r="H218" i="1"/>
  <c r="G218" i="1"/>
  <c r="F218" i="1"/>
  <c r="E218" i="1"/>
  <c r="D218" i="1"/>
  <c r="I217" i="1"/>
  <c r="H217" i="1"/>
  <c r="G217" i="1"/>
  <c r="F217" i="1"/>
  <c r="E217" i="1"/>
  <c r="D217" i="1"/>
  <c r="I216" i="1"/>
  <c r="H216" i="1"/>
  <c r="G216" i="1"/>
  <c r="F216" i="1"/>
  <c r="E216" i="1"/>
  <c r="D216" i="1"/>
  <c r="I215" i="1"/>
  <c r="H215" i="1"/>
  <c r="G215" i="1"/>
  <c r="F215" i="1"/>
  <c r="E215" i="1"/>
  <c r="D215" i="1"/>
  <c r="I214" i="1"/>
  <c r="H214" i="1"/>
  <c r="G214" i="1"/>
  <c r="F214" i="1"/>
  <c r="E214" i="1"/>
  <c r="D214" i="1"/>
  <c r="I213" i="1"/>
  <c r="H213" i="1"/>
  <c r="G213" i="1"/>
  <c r="F213" i="1"/>
  <c r="E213" i="1"/>
  <c r="D213" i="1"/>
  <c r="I212" i="1"/>
  <c r="H212" i="1"/>
  <c r="G212" i="1"/>
  <c r="F212" i="1"/>
  <c r="E212" i="1"/>
  <c r="D212" i="1"/>
  <c r="I211" i="1"/>
  <c r="H211" i="1"/>
  <c r="G211" i="1"/>
  <c r="F211" i="1"/>
  <c r="E211" i="1"/>
  <c r="D211" i="1"/>
  <c r="I210" i="1"/>
  <c r="H210" i="1"/>
  <c r="G210" i="1"/>
  <c r="F210" i="1"/>
  <c r="E210" i="1"/>
  <c r="D210" i="1"/>
  <c r="I209" i="1"/>
  <c r="H209" i="1"/>
  <c r="G209" i="1"/>
  <c r="F209" i="1"/>
  <c r="E209" i="1"/>
  <c r="D209" i="1"/>
  <c r="I208" i="1"/>
  <c r="H208" i="1"/>
  <c r="G208" i="1"/>
  <c r="F208" i="1"/>
  <c r="E208" i="1"/>
  <c r="D208" i="1"/>
  <c r="I207" i="1"/>
  <c r="H207" i="1"/>
  <c r="G207" i="1"/>
  <c r="F207" i="1"/>
  <c r="E207" i="1"/>
  <c r="D207" i="1"/>
  <c r="I206" i="1"/>
  <c r="H206" i="1"/>
  <c r="G206" i="1"/>
  <c r="F206" i="1"/>
  <c r="E206" i="1"/>
  <c r="D206" i="1"/>
  <c r="I205" i="1"/>
  <c r="H205" i="1"/>
  <c r="G205" i="1"/>
  <c r="F205" i="1"/>
  <c r="E205" i="1"/>
  <c r="D205" i="1"/>
  <c r="I204" i="1"/>
  <c r="H204" i="1"/>
  <c r="G204" i="1"/>
  <c r="F204" i="1"/>
  <c r="E204" i="1"/>
  <c r="D204" i="1"/>
  <c r="I203" i="1"/>
  <c r="H203" i="1"/>
  <c r="G203" i="1"/>
  <c r="F203" i="1"/>
  <c r="E203" i="1"/>
  <c r="D203" i="1"/>
  <c r="I202" i="1"/>
  <c r="H202" i="1"/>
  <c r="G202" i="1"/>
  <c r="F202" i="1"/>
  <c r="E202" i="1"/>
  <c r="D202" i="1"/>
  <c r="I201" i="1"/>
  <c r="H201" i="1"/>
  <c r="G201" i="1"/>
  <c r="F201" i="1"/>
  <c r="E201" i="1"/>
  <c r="D201" i="1"/>
  <c r="I200" i="1"/>
  <c r="H200" i="1"/>
  <c r="G200" i="1"/>
  <c r="F200" i="1"/>
  <c r="E200" i="1"/>
  <c r="D200" i="1"/>
  <c r="I199" i="1"/>
  <c r="H199" i="1"/>
  <c r="G199" i="1"/>
  <c r="F199" i="1"/>
  <c r="E199" i="1"/>
  <c r="D199" i="1"/>
  <c r="I198" i="1"/>
  <c r="H198" i="1"/>
  <c r="G198" i="1"/>
  <c r="F198" i="1"/>
  <c r="E198" i="1"/>
  <c r="D198" i="1"/>
  <c r="I197" i="1"/>
  <c r="H197" i="1"/>
  <c r="G197" i="1"/>
  <c r="F197" i="1"/>
  <c r="E197" i="1"/>
  <c r="D197" i="1"/>
  <c r="I196" i="1"/>
  <c r="H196" i="1"/>
  <c r="G196" i="1"/>
  <c r="F196" i="1"/>
  <c r="E196" i="1"/>
  <c r="D196" i="1"/>
  <c r="I195" i="1"/>
  <c r="H195" i="1"/>
  <c r="G195" i="1"/>
  <c r="F195" i="1"/>
  <c r="E195" i="1"/>
  <c r="D195" i="1"/>
  <c r="I194" i="1"/>
  <c r="H194" i="1"/>
  <c r="G194" i="1"/>
  <c r="F194" i="1"/>
  <c r="E194" i="1"/>
  <c r="D194" i="1"/>
  <c r="I193" i="1"/>
  <c r="H193" i="1"/>
  <c r="G193" i="1"/>
  <c r="F193" i="1"/>
  <c r="E193" i="1"/>
  <c r="D193" i="1"/>
  <c r="I192" i="1"/>
  <c r="H192" i="1"/>
  <c r="G192" i="1"/>
  <c r="F192" i="1"/>
  <c r="E192" i="1"/>
  <c r="D192" i="1"/>
  <c r="I191" i="1"/>
  <c r="H191" i="1"/>
  <c r="G191" i="1"/>
  <c r="F191" i="1"/>
  <c r="E191" i="1"/>
  <c r="D191" i="1"/>
  <c r="I190" i="1"/>
  <c r="H190" i="1"/>
  <c r="G190" i="1"/>
  <c r="F190" i="1"/>
  <c r="E190" i="1"/>
  <c r="D190" i="1"/>
  <c r="I189" i="1"/>
  <c r="H189" i="1"/>
  <c r="G189" i="1"/>
  <c r="F189" i="1"/>
  <c r="E189" i="1"/>
  <c r="D189" i="1"/>
  <c r="I188" i="1"/>
  <c r="H188" i="1"/>
  <c r="G188" i="1"/>
  <c r="F188" i="1"/>
  <c r="E188" i="1"/>
  <c r="D188" i="1"/>
  <c r="I187" i="1"/>
  <c r="H187" i="1"/>
  <c r="G187" i="1"/>
  <c r="F187" i="1"/>
  <c r="E187" i="1"/>
  <c r="D187" i="1"/>
  <c r="I186" i="1"/>
  <c r="H186" i="1"/>
  <c r="G186" i="1"/>
  <c r="F186" i="1"/>
  <c r="E186" i="1"/>
  <c r="D186" i="1"/>
  <c r="I185" i="1"/>
  <c r="H185" i="1"/>
  <c r="G185" i="1"/>
  <c r="F185" i="1"/>
  <c r="E185" i="1"/>
  <c r="D185" i="1"/>
  <c r="I184" i="1"/>
  <c r="H184" i="1"/>
  <c r="G184" i="1"/>
  <c r="F184" i="1"/>
  <c r="E184" i="1"/>
  <c r="D184" i="1"/>
  <c r="I183" i="1"/>
  <c r="H183" i="1"/>
  <c r="G183" i="1"/>
  <c r="F183" i="1"/>
  <c r="E183" i="1"/>
  <c r="D183" i="1"/>
  <c r="I182" i="1"/>
  <c r="H182" i="1"/>
  <c r="G182" i="1"/>
  <c r="F182" i="1"/>
  <c r="E182" i="1"/>
  <c r="D182" i="1"/>
  <c r="I181" i="1"/>
  <c r="H181" i="1"/>
  <c r="G181" i="1"/>
  <c r="F181" i="1"/>
  <c r="E181" i="1"/>
  <c r="D181" i="1"/>
  <c r="I180" i="1"/>
  <c r="H180" i="1"/>
  <c r="G180" i="1"/>
  <c r="F180" i="1"/>
  <c r="E180" i="1"/>
  <c r="D180" i="1"/>
  <c r="I179" i="1"/>
  <c r="H179" i="1"/>
  <c r="G179" i="1"/>
  <c r="F179" i="1"/>
  <c r="E179" i="1"/>
  <c r="D179" i="1"/>
  <c r="I178" i="1"/>
  <c r="H178" i="1"/>
  <c r="G178" i="1"/>
  <c r="F178" i="1"/>
  <c r="E178" i="1"/>
  <c r="D178" i="1"/>
  <c r="I177" i="1"/>
  <c r="H177" i="1"/>
  <c r="G177" i="1"/>
  <c r="F177" i="1"/>
  <c r="E177" i="1"/>
  <c r="D177" i="1"/>
  <c r="I176" i="1"/>
  <c r="H176" i="1"/>
  <c r="G176" i="1"/>
  <c r="F176" i="1"/>
  <c r="E176" i="1"/>
  <c r="D176" i="1"/>
  <c r="I175" i="1"/>
  <c r="H175" i="1"/>
  <c r="G175" i="1"/>
  <c r="F175" i="1"/>
  <c r="E175" i="1"/>
  <c r="D175" i="1"/>
  <c r="I174" i="1"/>
  <c r="H174" i="1"/>
  <c r="G174" i="1"/>
  <c r="F174" i="1"/>
  <c r="E174" i="1"/>
  <c r="D174" i="1"/>
  <c r="I173" i="1"/>
  <c r="H173" i="1"/>
  <c r="G173" i="1"/>
  <c r="F173" i="1"/>
  <c r="E173" i="1"/>
  <c r="D173" i="1"/>
  <c r="I172" i="1"/>
  <c r="H172" i="1"/>
  <c r="G172" i="1"/>
  <c r="F172" i="1"/>
  <c r="E172" i="1"/>
  <c r="D172" i="1"/>
  <c r="I171" i="1"/>
  <c r="H171" i="1"/>
  <c r="G171" i="1"/>
  <c r="F171" i="1"/>
  <c r="E171" i="1"/>
  <c r="D171" i="1"/>
  <c r="I170" i="1"/>
  <c r="H170" i="1"/>
  <c r="G170" i="1"/>
  <c r="F170" i="1"/>
  <c r="E170" i="1"/>
  <c r="D170" i="1"/>
  <c r="I169" i="1"/>
  <c r="H169" i="1"/>
  <c r="G169" i="1"/>
  <c r="F169" i="1"/>
  <c r="E169" i="1"/>
  <c r="D169" i="1"/>
  <c r="I168" i="1"/>
  <c r="H168" i="1"/>
  <c r="G168" i="1"/>
  <c r="F168" i="1"/>
  <c r="E168" i="1"/>
  <c r="D168" i="1"/>
  <c r="I167" i="1"/>
  <c r="H167" i="1"/>
  <c r="G167" i="1"/>
  <c r="F167" i="1"/>
  <c r="E167" i="1"/>
  <c r="D167" i="1"/>
  <c r="I166" i="1"/>
  <c r="H166" i="1"/>
  <c r="G166" i="1"/>
  <c r="F166" i="1"/>
  <c r="E166" i="1"/>
  <c r="D166" i="1"/>
  <c r="I165" i="1"/>
  <c r="H165" i="1"/>
  <c r="G165" i="1"/>
  <c r="F165" i="1"/>
  <c r="E165" i="1"/>
  <c r="D165" i="1"/>
  <c r="I164" i="1"/>
  <c r="H164" i="1"/>
  <c r="G164" i="1"/>
  <c r="F164" i="1"/>
  <c r="E164" i="1"/>
  <c r="D164" i="1"/>
  <c r="I163" i="1"/>
  <c r="H163" i="1"/>
  <c r="G163" i="1"/>
  <c r="F163" i="1"/>
  <c r="E163" i="1"/>
  <c r="D163" i="1"/>
  <c r="I162" i="1"/>
  <c r="H162" i="1"/>
  <c r="G162" i="1"/>
  <c r="F162" i="1"/>
  <c r="E162" i="1"/>
  <c r="D162" i="1"/>
  <c r="I161" i="1"/>
  <c r="H161" i="1"/>
  <c r="G161" i="1"/>
  <c r="F161" i="1"/>
  <c r="E161" i="1"/>
  <c r="D161" i="1"/>
  <c r="I160" i="1"/>
  <c r="H160" i="1"/>
  <c r="G160" i="1"/>
  <c r="F160" i="1"/>
  <c r="E160" i="1"/>
  <c r="D160" i="1"/>
  <c r="I159" i="1"/>
  <c r="H159" i="1"/>
  <c r="G159" i="1"/>
  <c r="F159" i="1"/>
  <c r="E159" i="1"/>
  <c r="D159" i="1"/>
  <c r="I158" i="1"/>
  <c r="H158" i="1"/>
  <c r="G158" i="1"/>
  <c r="F158" i="1"/>
  <c r="E158" i="1"/>
  <c r="D158" i="1"/>
  <c r="I157" i="1"/>
  <c r="H157" i="1"/>
  <c r="G157" i="1"/>
  <c r="F157" i="1"/>
  <c r="E157" i="1"/>
  <c r="D157" i="1"/>
  <c r="I156" i="1"/>
  <c r="H156" i="1"/>
  <c r="G156" i="1"/>
  <c r="F156" i="1"/>
  <c r="E156" i="1"/>
  <c r="D156" i="1"/>
  <c r="I155" i="1"/>
  <c r="H155" i="1"/>
  <c r="G155" i="1"/>
  <c r="F155" i="1"/>
  <c r="E155" i="1"/>
  <c r="D155" i="1"/>
  <c r="I154" i="1"/>
  <c r="H154" i="1"/>
  <c r="G154" i="1"/>
  <c r="F154" i="1"/>
  <c r="E154" i="1"/>
  <c r="D154" i="1"/>
  <c r="I153" i="1"/>
  <c r="H153" i="1"/>
  <c r="G153" i="1"/>
  <c r="F153" i="1"/>
  <c r="E153" i="1"/>
  <c r="D153" i="1"/>
  <c r="I152" i="1"/>
  <c r="H152" i="1"/>
  <c r="G152" i="1"/>
  <c r="F152" i="1"/>
  <c r="E152" i="1"/>
  <c r="D152" i="1"/>
  <c r="I151" i="1"/>
  <c r="H151" i="1"/>
  <c r="G151" i="1"/>
  <c r="F151" i="1"/>
  <c r="E151" i="1"/>
  <c r="D151" i="1"/>
  <c r="I150" i="1"/>
  <c r="H150" i="1"/>
  <c r="G150" i="1"/>
  <c r="F150" i="1"/>
  <c r="E150" i="1"/>
  <c r="D150" i="1"/>
  <c r="I149" i="1"/>
  <c r="H149" i="1"/>
  <c r="G149" i="1"/>
  <c r="F149" i="1"/>
  <c r="E149" i="1"/>
  <c r="D149" i="1"/>
  <c r="I148" i="1"/>
  <c r="H148" i="1"/>
  <c r="G148" i="1"/>
  <c r="F148" i="1"/>
  <c r="E148" i="1"/>
  <c r="D148" i="1"/>
  <c r="I147" i="1"/>
  <c r="H147" i="1"/>
  <c r="G147" i="1"/>
  <c r="F147" i="1"/>
  <c r="E147" i="1"/>
  <c r="D147" i="1"/>
  <c r="I146" i="1"/>
  <c r="H146" i="1"/>
  <c r="G146" i="1"/>
  <c r="F146" i="1"/>
  <c r="E146" i="1"/>
  <c r="D146" i="1"/>
  <c r="I145" i="1"/>
  <c r="H145" i="1"/>
  <c r="G145" i="1"/>
  <c r="F145" i="1"/>
  <c r="E145" i="1"/>
  <c r="D145" i="1"/>
  <c r="I144" i="1"/>
  <c r="H144" i="1"/>
  <c r="G144" i="1"/>
  <c r="F144" i="1"/>
  <c r="E144" i="1"/>
  <c r="D144" i="1"/>
  <c r="I143" i="1"/>
  <c r="H143" i="1"/>
  <c r="G143" i="1"/>
  <c r="F143" i="1"/>
  <c r="E143" i="1"/>
  <c r="D143" i="1"/>
  <c r="I142" i="1"/>
  <c r="H142" i="1"/>
  <c r="G142" i="1"/>
  <c r="F142" i="1"/>
  <c r="E142" i="1"/>
  <c r="D142" i="1"/>
  <c r="I141" i="1"/>
  <c r="H141" i="1"/>
  <c r="G141" i="1"/>
  <c r="F141" i="1"/>
  <c r="E141" i="1"/>
  <c r="D141" i="1"/>
  <c r="I140" i="1"/>
  <c r="H140" i="1"/>
  <c r="G140" i="1"/>
  <c r="F140" i="1"/>
  <c r="E140" i="1"/>
  <c r="D140" i="1"/>
  <c r="I139" i="1"/>
  <c r="H139" i="1"/>
  <c r="G139" i="1"/>
  <c r="F139" i="1"/>
  <c r="E139" i="1"/>
  <c r="D139" i="1"/>
  <c r="I138" i="1"/>
  <c r="H138" i="1"/>
  <c r="G138" i="1"/>
  <c r="F138" i="1"/>
  <c r="E138" i="1"/>
  <c r="D138" i="1"/>
  <c r="I137" i="1"/>
  <c r="H137" i="1"/>
  <c r="G137" i="1"/>
  <c r="F137" i="1"/>
  <c r="E137" i="1"/>
  <c r="D137" i="1"/>
  <c r="I136" i="1"/>
  <c r="H136" i="1"/>
  <c r="G136" i="1"/>
  <c r="F136" i="1"/>
  <c r="E136" i="1"/>
  <c r="D136" i="1"/>
  <c r="I135" i="1"/>
  <c r="H135" i="1"/>
  <c r="G135" i="1"/>
  <c r="F135" i="1"/>
  <c r="E135" i="1"/>
  <c r="D135" i="1"/>
  <c r="I134" i="1"/>
  <c r="H134" i="1"/>
  <c r="G134" i="1"/>
  <c r="F134" i="1"/>
  <c r="E134" i="1"/>
  <c r="D134" i="1"/>
  <c r="I133" i="1"/>
  <c r="H133" i="1"/>
  <c r="G133" i="1"/>
  <c r="F133" i="1"/>
  <c r="E133" i="1"/>
  <c r="D133" i="1"/>
  <c r="I132" i="1"/>
  <c r="H132" i="1"/>
  <c r="G132" i="1"/>
  <c r="F132" i="1"/>
  <c r="E132" i="1"/>
  <c r="D132" i="1"/>
  <c r="I131" i="1"/>
  <c r="H131" i="1"/>
  <c r="G131" i="1"/>
  <c r="F131" i="1"/>
  <c r="E131" i="1"/>
  <c r="D131" i="1"/>
  <c r="I130" i="1"/>
  <c r="H130" i="1"/>
  <c r="G130" i="1"/>
  <c r="F130" i="1"/>
  <c r="E130" i="1"/>
  <c r="D130" i="1"/>
  <c r="I129" i="1"/>
  <c r="H129" i="1"/>
  <c r="G129" i="1"/>
  <c r="F129" i="1"/>
  <c r="E129" i="1"/>
  <c r="D129" i="1"/>
  <c r="I128" i="1"/>
  <c r="H128" i="1"/>
  <c r="G128" i="1"/>
  <c r="F128" i="1"/>
  <c r="E128" i="1"/>
  <c r="D128" i="1"/>
  <c r="I127" i="1"/>
  <c r="H127" i="1"/>
  <c r="G127" i="1"/>
  <c r="F127" i="1"/>
  <c r="E127" i="1"/>
  <c r="D127" i="1"/>
  <c r="I126" i="1"/>
  <c r="H126" i="1"/>
  <c r="G126" i="1"/>
  <c r="F126" i="1"/>
  <c r="E126" i="1"/>
  <c r="D126" i="1"/>
  <c r="I125" i="1"/>
  <c r="H125" i="1"/>
  <c r="G125" i="1"/>
  <c r="F125" i="1"/>
  <c r="E125" i="1"/>
  <c r="D125" i="1"/>
  <c r="I124" i="1"/>
  <c r="H124" i="1"/>
  <c r="G124" i="1"/>
  <c r="F124" i="1"/>
  <c r="E124" i="1"/>
  <c r="D124" i="1"/>
  <c r="I123" i="1"/>
  <c r="H123" i="1"/>
  <c r="G123" i="1"/>
  <c r="F123" i="1"/>
  <c r="E123" i="1"/>
  <c r="D123" i="1"/>
  <c r="I122" i="1"/>
  <c r="H122" i="1"/>
  <c r="G122" i="1"/>
  <c r="F122" i="1"/>
  <c r="E122" i="1"/>
  <c r="D122" i="1"/>
  <c r="I121" i="1"/>
  <c r="H121" i="1"/>
  <c r="G121" i="1"/>
  <c r="F121" i="1"/>
  <c r="E121" i="1"/>
  <c r="D121" i="1"/>
  <c r="I120" i="1"/>
  <c r="H120" i="1"/>
  <c r="G120" i="1"/>
  <c r="F120" i="1"/>
  <c r="E120" i="1"/>
  <c r="D120" i="1"/>
  <c r="I119" i="1"/>
  <c r="H119" i="1"/>
  <c r="G119" i="1"/>
  <c r="F119" i="1"/>
  <c r="E119" i="1"/>
  <c r="D119" i="1"/>
  <c r="I118" i="1"/>
  <c r="H118" i="1"/>
  <c r="G118" i="1"/>
  <c r="F118" i="1"/>
  <c r="E118" i="1"/>
  <c r="D118" i="1"/>
  <c r="I117" i="1"/>
  <c r="H117" i="1"/>
  <c r="G117" i="1"/>
  <c r="F117" i="1"/>
  <c r="E117" i="1"/>
  <c r="D117" i="1"/>
  <c r="I116" i="1"/>
  <c r="H116" i="1"/>
  <c r="G116" i="1"/>
  <c r="F116" i="1"/>
  <c r="E116" i="1"/>
  <c r="D116" i="1"/>
  <c r="I115" i="1"/>
  <c r="H115" i="1"/>
  <c r="G115" i="1"/>
  <c r="F115" i="1"/>
  <c r="E115" i="1"/>
  <c r="D115" i="1"/>
  <c r="I114" i="1"/>
  <c r="H114" i="1"/>
  <c r="G114" i="1"/>
  <c r="F114" i="1"/>
  <c r="E114" i="1"/>
  <c r="D114" i="1"/>
  <c r="I113" i="1"/>
  <c r="H113" i="1"/>
  <c r="G113" i="1"/>
  <c r="F113" i="1"/>
  <c r="E113" i="1"/>
  <c r="D113" i="1"/>
  <c r="I112" i="1"/>
  <c r="H112" i="1"/>
  <c r="G112" i="1"/>
  <c r="F112" i="1"/>
  <c r="E112" i="1"/>
  <c r="D112" i="1"/>
  <c r="I111" i="1"/>
  <c r="H111" i="1"/>
  <c r="G111" i="1"/>
  <c r="F111" i="1"/>
  <c r="E111" i="1"/>
  <c r="D111" i="1"/>
  <c r="I110" i="1"/>
  <c r="H110" i="1"/>
  <c r="G110" i="1"/>
  <c r="F110" i="1"/>
  <c r="E110" i="1"/>
  <c r="D110" i="1"/>
  <c r="I109" i="1"/>
  <c r="H109" i="1"/>
  <c r="G109" i="1"/>
  <c r="F109" i="1"/>
  <c r="E109" i="1"/>
  <c r="D109" i="1"/>
  <c r="I108" i="1"/>
  <c r="H108" i="1"/>
  <c r="G108" i="1"/>
  <c r="F108" i="1"/>
  <c r="E108" i="1"/>
  <c r="D108" i="1"/>
  <c r="I107" i="1"/>
  <c r="H107" i="1"/>
  <c r="G107" i="1"/>
  <c r="F107" i="1"/>
  <c r="E107" i="1"/>
  <c r="D107" i="1"/>
  <c r="I106" i="1"/>
  <c r="H106" i="1"/>
  <c r="G106" i="1"/>
  <c r="F106" i="1"/>
  <c r="E106" i="1"/>
  <c r="D106" i="1"/>
  <c r="I105" i="1"/>
  <c r="H105" i="1"/>
  <c r="G105" i="1"/>
  <c r="F105" i="1"/>
  <c r="E105" i="1"/>
  <c r="D105" i="1"/>
  <c r="I104" i="1"/>
  <c r="H104" i="1"/>
  <c r="G104" i="1"/>
  <c r="F104" i="1"/>
  <c r="E104" i="1"/>
  <c r="D104" i="1"/>
  <c r="I103" i="1"/>
  <c r="H103" i="1"/>
  <c r="G103" i="1"/>
  <c r="F103" i="1"/>
  <c r="E103" i="1"/>
  <c r="D103" i="1"/>
  <c r="I102" i="1"/>
  <c r="H102" i="1"/>
  <c r="G102" i="1"/>
  <c r="F102" i="1"/>
  <c r="E102" i="1"/>
  <c r="D102" i="1"/>
  <c r="I101" i="1"/>
  <c r="H101" i="1"/>
  <c r="G101" i="1"/>
  <c r="F101" i="1"/>
  <c r="E101" i="1"/>
  <c r="D101" i="1"/>
  <c r="I100" i="1"/>
  <c r="H100" i="1"/>
  <c r="G100" i="1"/>
  <c r="F100" i="1"/>
  <c r="E100" i="1"/>
  <c r="D100" i="1"/>
  <c r="I99" i="1"/>
  <c r="H99" i="1"/>
  <c r="G99" i="1"/>
  <c r="F99" i="1"/>
  <c r="E99" i="1"/>
  <c r="D99" i="1"/>
  <c r="I98" i="1"/>
  <c r="H98" i="1"/>
  <c r="G98" i="1"/>
  <c r="F98" i="1"/>
  <c r="E98" i="1"/>
  <c r="D98" i="1"/>
  <c r="I97" i="1"/>
  <c r="H97" i="1"/>
  <c r="G97" i="1"/>
  <c r="F97" i="1"/>
  <c r="E97" i="1"/>
  <c r="D97" i="1"/>
  <c r="I96" i="1"/>
  <c r="H96" i="1"/>
  <c r="G96" i="1"/>
  <c r="F96" i="1"/>
  <c r="E96" i="1"/>
  <c r="D96" i="1"/>
  <c r="I95" i="1"/>
  <c r="H95" i="1"/>
  <c r="G95" i="1"/>
  <c r="F95" i="1"/>
  <c r="E95" i="1"/>
  <c r="D95" i="1"/>
  <c r="I94" i="1"/>
  <c r="H94" i="1"/>
  <c r="G94" i="1"/>
  <c r="F94" i="1"/>
  <c r="E94" i="1"/>
  <c r="D94" i="1"/>
  <c r="I93" i="1"/>
  <c r="H93" i="1"/>
  <c r="G93" i="1"/>
  <c r="F93" i="1"/>
  <c r="E93" i="1"/>
  <c r="D93" i="1"/>
  <c r="I92" i="1"/>
  <c r="H92" i="1"/>
  <c r="G92" i="1"/>
  <c r="F92" i="1"/>
  <c r="E92" i="1"/>
  <c r="D92" i="1"/>
  <c r="I91" i="1"/>
  <c r="H91" i="1"/>
  <c r="G91" i="1"/>
  <c r="F91" i="1"/>
  <c r="E91" i="1"/>
  <c r="D91" i="1"/>
  <c r="I90" i="1"/>
  <c r="H90" i="1"/>
  <c r="G90" i="1"/>
  <c r="F90" i="1"/>
  <c r="E90" i="1"/>
  <c r="D90" i="1"/>
  <c r="I89" i="1"/>
  <c r="H89" i="1"/>
  <c r="G89" i="1"/>
  <c r="F89" i="1"/>
  <c r="E89" i="1"/>
  <c r="D89" i="1"/>
  <c r="I88" i="1"/>
  <c r="H88" i="1"/>
  <c r="G88" i="1"/>
  <c r="F88" i="1"/>
  <c r="E88" i="1"/>
  <c r="D88" i="1"/>
  <c r="I87" i="1"/>
  <c r="H87" i="1"/>
  <c r="G87" i="1"/>
  <c r="F87" i="1"/>
  <c r="E87" i="1"/>
  <c r="D87" i="1"/>
  <c r="I86" i="1"/>
  <c r="H86" i="1"/>
  <c r="G86" i="1"/>
  <c r="F86" i="1"/>
  <c r="E86" i="1"/>
  <c r="D86" i="1"/>
  <c r="I85" i="1"/>
  <c r="H85" i="1"/>
  <c r="G85" i="1"/>
  <c r="F85" i="1"/>
  <c r="E85" i="1"/>
  <c r="D85" i="1"/>
  <c r="I84" i="1"/>
  <c r="H84" i="1"/>
  <c r="G84" i="1"/>
  <c r="F84" i="1"/>
  <c r="E84" i="1"/>
  <c r="D84" i="1"/>
  <c r="I83" i="1"/>
  <c r="H83" i="1"/>
  <c r="G83" i="1"/>
  <c r="F83" i="1"/>
  <c r="E83" i="1"/>
  <c r="D83" i="1"/>
  <c r="I82" i="1"/>
  <c r="H82" i="1"/>
  <c r="G82" i="1"/>
  <c r="F82" i="1"/>
  <c r="E82" i="1"/>
  <c r="D82" i="1"/>
  <c r="I81" i="1"/>
  <c r="H81" i="1"/>
  <c r="G81" i="1"/>
  <c r="F81" i="1"/>
  <c r="E81" i="1"/>
  <c r="D81" i="1"/>
  <c r="I80" i="1"/>
  <c r="H80" i="1"/>
  <c r="G80" i="1"/>
  <c r="F80" i="1"/>
  <c r="E80" i="1"/>
  <c r="D80" i="1"/>
  <c r="I79" i="1"/>
  <c r="H79" i="1"/>
  <c r="G79" i="1"/>
  <c r="F79" i="1"/>
  <c r="E79" i="1"/>
  <c r="D79" i="1"/>
  <c r="I78" i="1"/>
  <c r="H78" i="1"/>
  <c r="G78" i="1"/>
  <c r="F78" i="1"/>
  <c r="E78" i="1"/>
  <c r="D78" i="1"/>
  <c r="I77" i="1"/>
  <c r="H77" i="1"/>
  <c r="G77" i="1"/>
  <c r="F77" i="1"/>
  <c r="E77" i="1"/>
  <c r="D77" i="1"/>
  <c r="I76" i="1"/>
  <c r="H76" i="1"/>
  <c r="G76" i="1"/>
  <c r="F76" i="1"/>
  <c r="E76" i="1"/>
  <c r="D76" i="1"/>
  <c r="I75" i="1"/>
  <c r="H75" i="1"/>
  <c r="G75" i="1"/>
  <c r="F75" i="1"/>
  <c r="E75" i="1"/>
  <c r="D75" i="1"/>
  <c r="I74" i="1"/>
  <c r="H74" i="1"/>
  <c r="G74" i="1"/>
  <c r="F74" i="1"/>
  <c r="E74" i="1"/>
  <c r="D74" i="1"/>
  <c r="I73" i="1"/>
  <c r="H73" i="1"/>
  <c r="G73" i="1"/>
  <c r="F73" i="1"/>
  <c r="E73" i="1"/>
  <c r="D73" i="1"/>
  <c r="I72" i="1"/>
  <c r="H72" i="1"/>
  <c r="G72" i="1"/>
  <c r="F72" i="1"/>
  <c r="E72" i="1"/>
  <c r="D72" i="1"/>
  <c r="I71" i="1"/>
  <c r="H71" i="1"/>
  <c r="G71" i="1"/>
  <c r="F71" i="1"/>
  <c r="E71" i="1"/>
  <c r="D71" i="1"/>
  <c r="I70" i="1"/>
  <c r="H70" i="1"/>
  <c r="G70" i="1"/>
  <c r="F70" i="1"/>
  <c r="E70" i="1"/>
  <c r="D70" i="1"/>
  <c r="I69" i="1"/>
  <c r="H69" i="1"/>
  <c r="G69" i="1"/>
  <c r="F69" i="1"/>
  <c r="E69" i="1"/>
  <c r="D69" i="1"/>
  <c r="I68" i="1"/>
  <c r="H68" i="1"/>
  <c r="G68" i="1"/>
  <c r="F68" i="1"/>
  <c r="E68" i="1"/>
  <c r="D68" i="1"/>
  <c r="I67" i="1"/>
  <c r="H67" i="1"/>
  <c r="G67" i="1"/>
  <c r="F67" i="1"/>
  <c r="E67" i="1"/>
  <c r="D67" i="1"/>
  <c r="I66" i="1"/>
  <c r="H66" i="1"/>
  <c r="G66" i="1"/>
  <c r="F66" i="1"/>
  <c r="E66" i="1"/>
  <c r="D66" i="1"/>
  <c r="I65" i="1"/>
  <c r="H65" i="1"/>
  <c r="G65" i="1"/>
  <c r="F65" i="1"/>
  <c r="E65" i="1"/>
  <c r="D65" i="1"/>
  <c r="I64" i="1"/>
  <c r="H64" i="1"/>
  <c r="G64" i="1"/>
  <c r="F64" i="1"/>
  <c r="E64" i="1"/>
  <c r="D64" i="1"/>
  <c r="I63" i="1"/>
  <c r="H63" i="1"/>
  <c r="G63" i="1"/>
  <c r="F63" i="1"/>
  <c r="E63" i="1"/>
  <c r="D63" i="1"/>
  <c r="I62" i="1"/>
  <c r="H62" i="1"/>
  <c r="G62" i="1"/>
  <c r="F62" i="1"/>
  <c r="E62" i="1"/>
  <c r="D62" i="1"/>
  <c r="I61" i="1"/>
  <c r="H61" i="1"/>
  <c r="G61" i="1"/>
  <c r="F61" i="1"/>
  <c r="E61" i="1"/>
  <c r="D61" i="1"/>
  <c r="I60" i="1"/>
  <c r="H60" i="1"/>
  <c r="G60" i="1"/>
  <c r="F60" i="1"/>
  <c r="E60" i="1"/>
  <c r="D60" i="1"/>
  <c r="I59" i="1"/>
  <c r="H59" i="1"/>
  <c r="G59" i="1"/>
  <c r="F59" i="1"/>
  <c r="E59" i="1"/>
  <c r="D59" i="1"/>
  <c r="I58" i="1"/>
  <c r="H58" i="1"/>
  <c r="G58" i="1"/>
  <c r="F58" i="1"/>
  <c r="E58" i="1"/>
  <c r="D58" i="1"/>
  <c r="I57" i="1"/>
  <c r="H57" i="1"/>
  <c r="G57" i="1"/>
  <c r="F57" i="1"/>
  <c r="E57" i="1"/>
  <c r="D57" i="1"/>
  <c r="I56" i="1"/>
  <c r="H56" i="1"/>
  <c r="G56" i="1"/>
  <c r="F56" i="1"/>
  <c r="E56" i="1"/>
  <c r="D56" i="1"/>
  <c r="I55" i="1"/>
  <c r="H55" i="1"/>
  <c r="G55" i="1"/>
  <c r="F55" i="1"/>
  <c r="E55" i="1"/>
  <c r="D55" i="1"/>
  <c r="I54" i="1"/>
  <c r="H54" i="1"/>
  <c r="G54" i="1"/>
  <c r="F54" i="1"/>
  <c r="E54" i="1"/>
  <c r="D54" i="1"/>
  <c r="I53" i="1"/>
  <c r="H53" i="1"/>
  <c r="G53" i="1"/>
  <c r="F53" i="1"/>
  <c r="E53" i="1"/>
  <c r="D53" i="1"/>
  <c r="I52" i="1"/>
  <c r="H52" i="1"/>
  <c r="G52" i="1"/>
  <c r="F52" i="1"/>
  <c r="E52" i="1"/>
  <c r="D52" i="1"/>
  <c r="I51" i="1"/>
  <c r="H51" i="1"/>
  <c r="G51" i="1"/>
  <c r="F51" i="1"/>
  <c r="E51" i="1"/>
  <c r="D51" i="1"/>
  <c r="I50" i="1"/>
  <c r="H50" i="1"/>
  <c r="G50" i="1"/>
  <c r="F50" i="1"/>
  <c r="E50" i="1"/>
  <c r="D50" i="1"/>
  <c r="I49" i="1"/>
  <c r="H49" i="1"/>
  <c r="G49" i="1"/>
  <c r="F49" i="1"/>
  <c r="E49" i="1"/>
  <c r="D49" i="1"/>
  <c r="I48" i="1"/>
  <c r="H48" i="1"/>
  <c r="G48" i="1"/>
  <c r="F48" i="1"/>
  <c r="E48" i="1"/>
  <c r="D48" i="1"/>
  <c r="I47" i="1"/>
  <c r="H47" i="1"/>
  <c r="G47" i="1"/>
  <c r="F47" i="1"/>
  <c r="E47" i="1"/>
  <c r="D47" i="1"/>
  <c r="I46" i="1"/>
  <c r="H46" i="1"/>
  <c r="G46" i="1"/>
  <c r="F46" i="1"/>
  <c r="E46" i="1"/>
  <c r="D46" i="1"/>
  <c r="I45" i="1"/>
  <c r="H45" i="1"/>
  <c r="G45" i="1"/>
  <c r="F45" i="1"/>
  <c r="E45" i="1"/>
  <c r="D45" i="1"/>
  <c r="I44" i="1"/>
  <c r="H44" i="1"/>
  <c r="G44" i="1"/>
  <c r="F44" i="1"/>
  <c r="E44" i="1"/>
  <c r="D44" i="1"/>
  <c r="I43" i="1"/>
  <c r="H43" i="1"/>
  <c r="G43" i="1"/>
  <c r="F43" i="1"/>
  <c r="E43" i="1"/>
  <c r="D43" i="1"/>
  <c r="I42" i="1"/>
  <c r="H42" i="1"/>
  <c r="G42" i="1"/>
  <c r="F42" i="1"/>
  <c r="E42" i="1"/>
  <c r="D42" i="1"/>
  <c r="I41" i="1"/>
  <c r="H41" i="1"/>
  <c r="G41" i="1"/>
  <c r="F41" i="1"/>
  <c r="E41" i="1"/>
  <c r="D41" i="1"/>
  <c r="I40" i="1"/>
  <c r="H40" i="1"/>
  <c r="G40" i="1"/>
  <c r="F40" i="1"/>
  <c r="E40" i="1"/>
  <c r="D40" i="1"/>
  <c r="I39" i="1"/>
  <c r="H39" i="1"/>
  <c r="G39" i="1"/>
  <c r="F39" i="1"/>
  <c r="E39" i="1"/>
  <c r="D39" i="1"/>
  <c r="I38" i="1"/>
  <c r="H38" i="1"/>
  <c r="G38" i="1"/>
  <c r="F38" i="1"/>
  <c r="E38" i="1"/>
  <c r="D38" i="1"/>
  <c r="I37" i="1"/>
  <c r="H37" i="1"/>
  <c r="G37" i="1"/>
  <c r="F37" i="1"/>
  <c r="E37" i="1"/>
  <c r="D37" i="1"/>
  <c r="I36" i="1"/>
  <c r="H36" i="1"/>
  <c r="G36" i="1"/>
  <c r="F36" i="1"/>
  <c r="E36" i="1"/>
  <c r="D36" i="1"/>
  <c r="I35" i="1"/>
  <c r="H35" i="1"/>
  <c r="G35" i="1"/>
  <c r="F35" i="1"/>
  <c r="E35" i="1"/>
  <c r="D35" i="1"/>
  <c r="I34" i="1"/>
  <c r="H34" i="1"/>
  <c r="G34" i="1"/>
  <c r="F34" i="1"/>
  <c r="E34" i="1"/>
  <c r="D34" i="1"/>
  <c r="I33" i="1"/>
  <c r="H33" i="1"/>
  <c r="G33" i="1"/>
  <c r="F33" i="1"/>
  <c r="E33" i="1"/>
  <c r="D33" i="1"/>
  <c r="I32" i="1"/>
  <c r="H32" i="1"/>
  <c r="G32" i="1"/>
  <c r="F32" i="1"/>
  <c r="E32" i="1"/>
  <c r="D32" i="1"/>
  <c r="I31" i="1"/>
  <c r="H31" i="1"/>
  <c r="G31" i="1"/>
  <c r="F31" i="1"/>
  <c r="E31" i="1"/>
  <c r="D31" i="1"/>
  <c r="I30" i="1"/>
  <c r="H30" i="1"/>
  <c r="G30" i="1"/>
  <c r="F30" i="1"/>
  <c r="E30" i="1"/>
  <c r="D30" i="1"/>
  <c r="I29" i="1"/>
  <c r="H29" i="1"/>
  <c r="G29" i="1"/>
  <c r="F29" i="1"/>
  <c r="E29" i="1"/>
  <c r="D29" i="1"/>
  <c r="I28" i="1"/>
  <c r="H28" i="1"/>
  <c r="G28" i="1"/>
  <c r="F28" i="1"/>
  <c r="E28" i="1"/>
  <c r="D28" i="1"/>
  <c r="I27" i="1"/>
  <c r="H27" i="1"/>
  <c r="G27" i="1"/>
  <c r="F27" i="1"/>
  <c r="E27" i="1"/>
  <c r="D27" i="1"/>
  <c r="I26" i="1"/>
  <c r="H26" i="1"/>
  <c r="G26" i="1"/>
  <c r="F26" i="1"/>
  <c r="E26" i="1"/>
  <c r="D26" i="1"/>
  <c r="I25" i="1"/>
  <c r="H25" i="1"/>
  <c r="G25" i="1"/>
  <c r="F25" i="1"/>
  <c r="E25" i="1"/>
  <c r="D25" i="1"/>
  <c r="I24" i="1"/>
  <c r="H24" i="1"/>
  <c r="G24" i="1"/>
  <c r="F24" i="1"/>
  <c r="E24" i="1"/>
  <c r="D24" i="1"/>
  <c r="I23" i="1"/>
  <c r="H23" i="1"/>
  <c r="G23" i="1"/>
  <c r="F23" i="1"/>
  <c r="E23" i="1"/>
  <c r="D23" i="1"/>
  <c r="I22" i="1"/>
  <c r="H22" i="1"/>
  <c r="G22" i="1"/>
  <c r="F22" i="1"/>
  <c r="E22" i="1"/>
  <c r="D22" i="1"/>
  <c r="I21" i="1"/>
  <c r="H21" i="1"/>
  <c r="G21" i="1"/>
  <c r="F21" i="1"/>
  <c r="E21" i="1"/>
  <c r="D21" i="1"/>
  <c r="I20" i="1"/>
  <c r="H20" i="1"/>
  <c r="G20" i="1"/>
  <c r="F20" i="1"/>
  <c r="E20" i="1"/>
  <c r="D20" i="1"/>
  <c r="I19" i="1"/>
  <c r="H19" i="1"/>
  <c r="G19" i="1"/>
  <c r="F19" i="1"/>
  <c r="E19" i="1"/>
  <c r="D19" i="1"/>
  <c r="I18" i="1"/>
  <c r="H18" i="1"/>
  <c r="G18" i="1"/>
  <c r="F18" i="1"/>
  <c r="E18" i="1"/>
  <c r="D18" i="1"/>
  <c r="I17" i="1"/>
  <c r="H17" i="1"/>
  <c r="G17" i="1"/>
  <c r="F17" i="1"/>
  <c r="E17" i="1"/>
  <c r="D17" i="1"/>
  <c r="I16" i="1"/>
  <c r="H16" i="1"/>
  <c r="G16" i="1"/>
  <c r="F16" i="1"/>
  <c r="E16" i="1"/>
  <c r="D16" i="1"/>
  <c r="I15" i="1"/>
  <c r="H15" i="1"/>
  <c r="G15" i="1"/>
  <c r="F15" i="1"/>
  <c r="E15" i="1"/>
  <c r="D15" i="1"/>
  <c r="I14" i="1"/>
  <c r="H14" i="1"/>
  <c r="G14" i="1"/>
  <c r="F14" i="1"/>
  <c r="E14" i="1"/>
  <c r="D14" i="1"/>
  <c r="I13" i="1"/>
  <c r="H13" i="1"/>
  <c r="G13" i="1"/>
  <c r="F13" i="1"/>
  <c r="E13" i="1"/>
  <c r="D13" i="1"/>
  <c r="I12" i="1"/>
  <c r="H12" i="1"/>
  <c r="G12" i="1"/>
  <c r="F12" i="1"/>
  <c r="E12" i="1"/>
  <c r="D12" i="1"/>
  <c r="I11" i="1"/>
  <c r="H11" i="1"/>
  <c r="G11" i="1"/>
  <c r="F11" i="1"/>
  <c r="E11" i="1"/>
  <c r="D11" i="1"/>
  <c r="I10" i="1"/>
  <c r="H10" i="1"/>
  <c r="G10" i="1"/>
  <c r="F10" i="1"/>
  <c r="E10" i="1"/>
  <c r="D10" i="1"/>
  <c r="I9" i="1"/>
  <c r="H9" i="1"/>
  <c r="G9" i="1"/>
  <c r="F9" i="1"/>
  <c r="E9" i="1"/>
  <c r="D9" i="1"/>
  <c r="I8" i="1"/>
  <c r="H8" i="1"/>
  <c r="G8" i="1"/>
  <c r="F8" i="1"/>
  <c r="E8" i="1"/>
  <c r="D8" i="1"/>
  <c r="I7" i="1"/>
  <c r="H7" i="1"/>
  <c r="G7" i="1"/>
  <c r="F7" i="1"/>
  <c r="E7" i="1"/>
  <c r="D7" i="1"/>
  <c r="I6" i="1"/>
  <c r="H6" i="1"/>
  <c r="G6" i="1"/>
  <c r="F6" i="1"/>
  <c r="E6" i="1"/>
  <c r="D6" i="1"/>
  <c r="H211" i="11"/>
  <c r="K16" i="13" l="1"/>
  <c r="J16" i="13"/>
  <c r="I16" i="13"/>
  <c r="H16" i="13"/>
  <c r="G16" i="13"/>
  <c r="F16" i="13"/>
  <c r="E16" i="13"/>
  <c r="D16" i="13"/>
  <c r="C16" i="13"/>
  <c r="B16" i="13"/>
  <c r="K15" i="13"/>
  <c r="J15" i="13"/>
  <c r="I15" i="13"/>
  <c r="H15" i="13"/>
  <c r="G15" i="13"/>
  <c r="F15" i="13"/>
  <c r="E15" i="13"/>
  <c r="D15" i="13"/>
  <c r="C15" i="13"/>
  <c r="B15" i="13"/>
  <c r="K14" i="13"/>
  <c r="J14" i="13"/>
  <c r="I14" i="13"/>
  <c r="H14" i="13"/>
  <c r="G14" i="13"/>
  <c r="F14" i="13"/>
  <c r="E14" i="13"/>
  <c r="D14" i="13"/>
  <c r="C14" i="13"/>
  <c r="B14" i="13"/>
  <c r="K13" i="13"/>
  <c r="J13" i="13"/>
  <c r="I13" i="13"/>
  <c r="H13" i="13"/>
  <c r="G13" i="13"/>
  <c r="F13" i="13"/>
  <c r="E13" i="13"/>
  <c r="D13" i="13"/>
  <c r="C13" i="13"/>
  <c r="B13" i="13"/>
  <c r="K12" i="13"/>
  <c r="J12" i="13"/>
  <c r="I12" i="13"/>
  <c r="H12" i="13"/>
  <c r="G12" i="13"/>
  <c r="F12" i="13"/>
  <c r="E12" i="13"/>
  <c r="D12" i="13"/>
  <c r="C12" i="13"/>
  <c r="B12" i="13"/>
  <c r="K8" i="13"/>
  <c r="J8" i="13"/>
  <c r="I8" i="13"/>
  <c r="H8" i="13"/>
  <c r="G8" i="13"/>
  <c r="F8" i="13"/>
  <c r="E8" i="13"/>
  <c r="D8" i="13"/>
  <c r="C8" i="13"/>
  <c r="B8" i="13"/>
  <c r="K7" i="13"/>
  <c r="J7" i="13"/>
  <c r="I7" i="13"/>
  <c r="H7" i="13"/>
  <c r="G7" i="13"/>
  <c r="F7" i="13"/>
  <c r="E7" i="13"/>
  <c r="D7" i="13"/>
  <c r="C7" i="13"/>
  <c r="B7" i="13"/>
  <c r="K6" i="13"/>
  <c r="J6" i="13"/>
  <c r="I6" i="13"/>
  <c r="H6" i="13"/>
  <c r="G6" i="13"/>
  <c r="F6" i="13"/>
  <c r="E6" i="13"/>
  <c r="D6" i="13"/>
  <c r="C6" i="13"/>
  <c r="B6" i="13"/>
  <c r="D224" i="17" l="1"/>
  <c r="U227" i="11"/>
  <c r="Q56" i="27" s="1"/>
  <c r="T227" i="11"/>
  <c r="N56" i="27" s="1"/>
  <c r="S227" i="11"/>
  <c r="R227" i="11"/>
  <c r="Q227" i="11"/>
  <c r="P227" i="11"/>
  <c r="O227" i="11"/>
  <c r="N227" i="11"/>
  <c r="M227" i="11"/>
  <c r="J227" i="11"/>
  <c r="I227" i="11"/>
  <c r="H227" i="11"/>
  <c r="G227" i="11"/>
  <c r="K227" i="11"/>
  <c r="L56" i="27" l="1"/>
  <c r="L227" i="11"/>
  <c r="F56" i="27" s="1"/>
  <c r="K56" i="27" s="1"/>
  <c r="V227" i="11"/>
  <c r="U226" i="11"/>
  <c r="Q79" i="27" s="1"/>
  <c r="T226" i="11"/>
  <c r="N79" i="27" s="1"/>
  <c r="S226" i="11"/>
  <c r="R226" i="11"/>
  <c r="Q226" i="11"/>
  <c r="P226" i="11"/>
  <c r="O226" i="11"/>
  <c r="N226" i="11"/>
  <c r="U225" i="11"/>
  <c r="T225" i="11"/>
  <c r="S225" i="11"/>
  <c r="R225" i="11"/>
  <c r="Q225" i="11"/>
  <c r="P225" i="11"/>
  <c r="O225" i="11"/>
  <c r="N225" i="11"/>
  <c r="U224" i="11"/>
  <c r="T224" i="11"/>
  <c r="S224" i="11"/>
  <c r="R224" i="11"/>
  <c r="Q224" i="11"/>
  <c r="P224" i="11"/>
  <c r="O224" i="11"/>
  <c r="N224" i="11"/>
  <c r="U223" i="11"/>
  <c r="T223" i="11"/>
  <c r="S223" i="11"/>
  <c r="R223" i="11"/>
  <c r="Q223" i="11"/>
  <c r="P223" i="11"/>
  <c r="O223" i="11"/>
  <c r="N223" i="11"/>
  <c r="U222" i="11"/>
  <c r="T222" i="11"/>
  <c r="S222" i="11"/>
  <c r="R222" i="11"/>
  <c r="Q222" i="11"/>
  <c r="P222" i="11"/>
  <c r="O222" i="11"/>
  <c r="N222" i="11"/>
  <c r="U221" i="11"/>
  <c r="T221" i="11"/>
  <c r="S221" i="11"/>
  <c r="R221" i="11"/>
  <c r="Q221" i="11"/>
  <c r="P221" i="11"/>
  <c r="O221" i="11"/>
  <c r="N221" i="11"/>
  <c r="U220" i="11"/>
  <c r="Q78" i="27" s="1"/>
  <c r="T220" i="11"/>
  <c r="N78" i="27" s="1"/>
  <c r="S220" i="11"/>
  <c r="R220" i="11"/>
  <c r="Q220" i="11"/>
  <c r="P220" i="11"/>
  <c r="O220" i="11"/>
  <c r="N220" i="11"/>
  <c r="U219" i="11"/>
  <c r="T219" i="11"/>
  <c r="S219" i="11"/>
  <c r="R219" i="11"/>
  <c r="Q219" i="11"/>
  <c r="P219" i="11"/>
  <c r="O219" i="11"/>
  <c r="N219" i="11"/>
  <c r="U218" i="11"/>
  <c r="T218" i="11"/>
  <c r="S218" i="11"/>
  <c r="R218" i="11"/>
  <c r="Q218" i="11"/>
  <c r="P218" i="11"/>
  <c r="O218" i="11"/>
  <c r="N218" i="11"/>
  <c r="U217" i="11"/>
  <c r="T217" i="11"/>
  <c r="S217" i="11"/>
  <c r="R217" i="11"/>
  <c r="Q217" i="11"/>
  <c r="P217" i="11"/>
  <c r="O217" i="11"/>
  <c r="N217" i="11"/>
  <c r="U216" i="11"/>
  <c r="T216" i="11"/>
  <c r="S216" i="11"/>
  <c r="R216" i="11"/>
  <c r="Q216" i="11"/>
  <c r="P216" i="11"/>
  <c r="O216" i="11"/>
  <c r="N216" i="11"/>
  <c r="U215" i="11"/>
  <c r="Q18" i="27" s="1"/>
  <c r="T215" i="11"/>
  <c r="N18" i="27" s="1"/>
  <c r="S215" i="11"/>
  <c r="R215" i="11"/>
  <c r="Q215" i="11"/>
  <c r="P215" i="11"/>
  <c r="O215" i="11"/>
  <c r="N215" i="11"/>
  <c r="U214" i="11"/>
  <c r="T214" i="11"/>
  <c r="S214" i="11"/>
  <c r="R214" i="11"/>
  <c r="Q214" i="11"/>
  <c r="P214" i="11"/>
  <c r="O214" i="11"/>
  <c r="N214" i="11"/>
  <c r="U213" i="11"/>
  <c r="T213" i="11"/>
  <c r="S213" i="11"/>
  <c r="R213" i="11"/>
  <c r="Q213" i="11"/>
  <c r="P213" i="11"/>
  <c r="O213" i="11"/>
  <c r="N213" i="11"/>
  <c r="U212" i="11"/>
  <c r="T212" i="11"/>
  <c r="S212" i="11"/>
  <c r="R212" i="11"/>
  <c r="Q212" i="11"/>
  <c r="P212" i="11"/>
  <c r="O212" i="11"/>
  <c r="N212" i="11"/>
  <c r="U211" i="11"/>
  <c r="T211" i="11"/>
  <c r="S211" i="11"/>
  <c r="R211" i="11"/>
  <c r="Q211" i="11"/>
  <c r="P211" i="11"/>
  <c r="O211" i="11"/>
  <c r="N211" i="11"/>
  <c r="U210" i="11"/>
  <c r="T210" i="11"/>
  <c r="S210" i="11"/>
  <c r="R210" i="11"/>
  <c r="Q210" i="11"/>
  <c r="P210" i="11"/>
  <c r="O210" i="11"/>
  <c r="N210" i="11"/>
  <c r="U209" i="11"/>
  <c r="T209" i="11"/>
  <c r="S209" i="11"/>
  <c r="R209" i="11"/>
  <c r="Q209" i="11"/>
  <c r="P209" i="11"/>
  <c r="O209" i="11"/>
  <c r="N209" i="11"/>
  <c r="U208" i="11"/>
  <c r="T208" i="11"/>
  <c r="S208" i="11"/>
  <c r="R208" i="11"/>
  <c r="Q208" i="11"/>
  <c r="P208" i="11"/>
  <c r="O208" i="11"/>
  <c r="N208" i="11"/>
  <c r="U207" i="11"/>
  <c r="T207" i="11"/>
  <c r="S207" i="11"/>
  <c r="R207" i="11"/>
  <c r="Q207" i="11"/>
  <c r="P207" i="11"/>
  <c r="O207" i="11"/>
  <c r="N207" i="11"/>
  <c r="U206" i="11"/>
  <c r="T206" i="11"/>
  <c r="S206" i="11"/>
  <c r="R206" i="11"/>
  <c r="Q206" i="11"/>
  <c r="P206" i="11"/>
  <c r="O206" i="11"/>
  <c r="N206" i="11"/>
  <c r="U205" i="11"/>
  <c r="Q17" i="27" s="1"/>
  <c r="T205" i="11"/>
  <c r="N17" i="27" s="1"/>
  <c r="S205" i="11"/>
  <c r="R205" i="11"/>
  <c r="Q205" i="11"/>
  <c r="P205" i="11"/>
  <c r="O205" i="11"/>
  <c r="N205" i="11"/>
  <c r="U204" i="11"/>
  <c r="T204" i="11"/>
  <c r="S204" i="11"/>
  <c r="R204" i="11"/>
  <c r="Q204" i="11"/>
  <c r="P204" i="11"/>
  <c r="O204" i="11"/>
  <c r="N204" i="11"/>
  <c r="U203" i="11"/>
  <c r="T203" i="11"/>
  <c r="S203" i="11"/>
  <c r="R203" i="11"/>
  <c r="Q203" i="11"/>
  <c r="P203" i="11"/>
  <c r="O203" i="11"/>
  <c r="N203" i="11"/>
  <c r="U202" i="11"/>
  <c r="T202" i="11"/>
  <c r="S202" i="11"/>
  <c r="R202" i="11"/>
  <c r="Q202" i="11"/>
  <c r="P202" i="11"/>
  <c r="O202" i="11"/>
  <c r="N202" i="11"/>
  <c r="U201" i="11"/>
  <c r="T201" i="11"/>
  <c r="S201" i="11"/>
  <c r="R201" i="11"/>
  <c r="Q201" i="11"/>
  <c r="P201" i="11"/>
  <c r="O201" i="11"/>
  <c r="N201" i="11"/>
  <c r="U200" i="11"/>
  <c r="T200" i="11"/>
  <c r="S200" i="11"/>
  <c r="R200" i="11"/>
  <c r="Q200" i="11"/>
  <c r="P200" i="11"/>
  <c r="O200" i="11"/>
  <c r="N200" i="11"/>
  <c r="U199" i="11"/>
  <c r="T199" i="11"/>
  <c r="S199" i="11"/>
  <c r="R199" i="11"/>
  <c r="Q199" i="11"/>
  <c r="P199" i="11"/>
  <c r="O199" i="11"/>
  <c r="N199" i="11"/>
  <c r="U198" i="11"/>
  <c r="Q13" i="27" s="1"/>
  <c r="T198" i="11"/>
  <c r="N13" i="27" s="1"/>
  <c r="S198" i="11"/>
  <c r="R198" i="11"/>
  <c r="Q198" i="11"/>
  <c r="P198" i="11"/>
  <c r="O198" i="11"/>
  <c r="N198" i="11"/>
  <c r="U197" i="11"/>
  <c r="T197" i="11"/>
  <c r="S197" i="11"/>
  <c r="R197" i="11"/>
  <c r="Q197" i="11"/>
  <c r="P197" i="11"/>
  <c r="O197" i="11"/>
  <c r="N197" i="11"/>
  <c r="U196" i="11"/>
  <c r="Q77" i="27" s="1"/>
  <c r="T196" i="11"/>
  <c r="N77" i="27" s="1"/>
  <c r="S196" i="11"/>
  <c r="R196" i="11"/>
  <c r="Q196" i="11"/>
  <c r="P196" i="11"/>
  <c r="O196" i="11"/>
  <c r="N196" i="11"/>
  <c r="U195" i="11"/>
  <c r="T195" i="11"/>
  <c r="S195" i="11"/>
  <c r="R195" i="11"/>
  <c r="Q195" i="11"/>
  <c r="P195" i="11"/>
  <c r="O195" i="11"/>
  <c r="N195" i="11"/>
  <c r="U194" i="11"/>
  <c r="T194" i="11"/>
  <c r="S194" i="11"/>
  <c r="R194" i="11"/>
  <c r="Q194" i="11"/>
  <c r="P194" i="11"/>
  <c r="O194" i="11"/>
  <c r="N194" i="11"/>
  <c r="U193" i="11"/>
  <c r="T193" i="11"/>
  <c r="S193" i="11"/>
  <c r="R193" i="11"/>
  <c r="Q193" i="11"/>
  <c r="P193" i="11"/>
  <c r="O193" i="11"/>
  <c r="N193" i="11"/>
  <c r="U192" i="11"/>
  <c r="T192" i="11"/>
  <c r="S192" i="11"/>
  <c r="R192" i="11"/>
  <c r="Q192" i="11"/>
  <c r="P192" i="11"/>
  <c r="O192" i="11"/>
  <c r="N192" i="11"/>
  <c r="U191" i="11"/>
  <c r="T191" i="11"/>
  <c r="S191" i="11"/>
  <c r="R191" i="11"/>
  <c r="Q191" i="11"/>
  <c r="P191" i="11"/>
  <c r="O191" i="11"/>
  <c r="N191" i="11"/>
  <c r="U190" i="11"/>
  <c r="T190" i="11"/>
  <c r="S190" i="11"/>
  <c r="R190" i="11"/>
  <c r="Q190" i="11"/>
  <c r="P190" i="11"/>
  <c r="O190" i="11"/>
  <c r="N190" i="11"/>
  <c r="U189" i="11"/>
  <c r="T189" i="11"/>
  <c r="S189" i="11"/>
  <c r="R189" i="11"/>
  <c r="Q189" i="11"/>
  <c r="P189" i="11"/>
  <c r="O189" i="11"/>
  <c r="N189" i="11"/>
  <c r="U188" i="11"/>
  <c r="T188" i="11"/>
  <c r="S188" i="11"/>
  <c r="R188" i="11"/>
  <c r="Q188" i="11"/>
  <c r="P188" i="11"/>
  <c r="O188" i="11"/>
  <c r="N188" i="11"/>
  <c r="U187" i="11"/>
  <c r="T187" i="11"/>
  <c r="S187" i="11"/>
  <c r="R187" i="11"/>
  <c r="Q187" i="11"/>
  <c r="P187" i="11"/>
  <c r="O187" i="11"/>
  <c r="N187" i="11"/>
  <c r="U186" i="11"/>
  <c r="T186" i="11"/>
  <c r="S186" i="11"/>
  <c r="R186" i="11"/>
  <c r="Q186" i="11"/>
  <c r="P186" i="11"/>
  <c r="O186" i="11"/>
  <c r="N186" i="11"/>
  <c r="U185" i="11"/>
  <c r="T185" i="11"/>
  <c r="S185" i="11"/>
  <c r="R185" i="11"/>
  <c r="Q185" i="11"/>
  <c r="P185" i="11"/>
  <c r="O185" i="11"/>
  <c r="N185" i="11"/>
  <c r="U184" i="11"/>
  <c r="T184" i="11"/>
  <c r="S184" i="11"/>
  <c r="R184" i="11"/>
  <c r="Q184" i="11"/>
  <c r="P184" i="11"/>
  <c r="O184" i="11"/>
  <c r="N184" i="11"/>
  <c r="U183" i="11"/>
  <c r="T183" i="11"/>
  <c r="S183" i="11"/>
  <c r="R183" i="11"/>
  <c r="Q183" i="11"/>
  <c r="P183" i="11"/>
  <c r="O183" i="11"/>
  <c r="N183" i="11"/>
  <c r="U182" i="11"/>
  <c r="T182" i="11"/>
  <c r="S182" i="11"/>
  <c r="R182" i="11"/>
  <c r="Q182" i="11"/>
  <c r="P182" i="11"/>
  <c r="O182" i="11"/>
  <c r="N182" i="11"/>
  <c r="U181" i="11"/>
  <c r="T181" i="11"/>
  <c r="S181" i="11"/>
  <c r="R181" i="11"/>
  <c r="Q181" i="11"/>
  <c r="P181" i="11"/>
  <c r="O181" i="11"/>
  <c r="N181" i="11"/>
  <c r="U180" i="11"/>
  <c r="T180" i="11"/>
  <c r="S180" i="11"/>
  <c r="R180" i="11"/>
  <c r="Q180" i="11"/>
  <c r="P180" i="11"/>
  <c r="O180" i="11"/>
  <c r="N180" i="11"/>
  <c r="U179" i="11"/>
  <c r="T179" i="11"/>
  <c r="S179" i="11"/>
  <c r="R179" i="11"/>
  <c r="Q179" i="11"/>
  <c r="P179" i="11"/>
  <c r="O179" i="11"/>
  <c r="N179" i="11"/>
  <c r="U178" i="11"/>
  <c r="Q47" i="27" s="1"/>
  <c r="T178" i="11"/>
  <c r="N47" i="27" s="1"/>
  <c r="S178" i="11"/>
  <c r="R178" i="11"/>
  <c r="Q178" i="11"/>
  <c r="P178" i="11"/>
  <c r="O178" i="11"/>
  <c r="N178" i="11"/>
  <c r="U177" i="11"/>
  <c r="T177" i="11"/>
  <c r="S177" i="11"/>
  <c r="R177" i="11"/>
  <c r="Q177" i="11"/>
  <c r="P177" i="11"/>
  <c r="O177" i="11"/>
  <c r="N177" i="11"/>
  <c r="U176" i="11"/>
  <c r="T176" i="11"/>
  <c r="S176" i="11"/>
  <c r="R176" i="11"/>
  <c r="Q176" i="11"/>
  <c r="P176" i="11"/>
  <c r="O176" i="11"/>
  <c r="N176" i="11"/>
  <c r="U175" i="11"/>
  <c r="T175" i="11"/>
  <c r="S175" i="11"/>
  <c r="R175" i="11"/>
  <c r="Q175" i="11"/>
  <c r="P175" i="11"/>
  <c r="O175" i="11"/>
  <c r="N175" i="11"/>
  <c r="U174" i="11"/>
  <c r="T174" i="11"/>
  <c r="S174" i="11"/>
  <c r="R174" i="11"/>
  <c r="Q174" i="11"/>
  <c r="P174" i="11"/>
  <c r="O174" i="11"/>
  <c r="N174" i="11"/>
  <c r="U173" i="11"/>
  <c r="T173" i="11"/>
  <c r="S173" i="11"/>
  <c r="R173" i="11"/>
  <c r="Q173" i="11"/>
  <c r="P173" i="11"/>
  <c r="O173" i="11"/>
  <c r="N173" i="11"/>
  <c r="U172" i="11"/>
  <c r="T172" i="11"/>
  <c r="S172" i="11"/>
  <c r="R172" i="11"/>
  <c r="Q172" i="11"/>
  <c r="P172" i="11"/>
  <c r="O172" i="11"/>
  <c r="N172" i="11"/>
  <c r="U171" i="11"/>
  <c r="T171" i="11"/>
  <c r="S171" i="11"/>
  <c r="R171" i="11"/>
  <c r="Q171" i="11"/>
  <c r="P171" i="11"/>
  <c r="O171" i="11"/>
  <c r="N171" i="11"/>
  <c r="U170" i="11"/>
  <c r="T170" i="11"/>
  <c r="S170" i="11"/>
  <c r="R170" i="11"/>
  <c r="Q170" i="11"/>
  <c r="P170" i="11"/>
  <c r="O170" i="11"/>
  <c r="N170" i="11"/>
  <c r="U169" i="11"/>
  <c r="T169" i="11"/>
  <c r="S169" i="11"/>
  <c r="R169" i="11"/>
  <c r="Q169" i="11"/>
  <c r="P169" i="11"/>
  <c r="O169" i="11"/>
  <c r="N169" i="11"/>
  <c r="U168" i="11"/>
  <c r="T168" i="11"/>
  <c r="S168" i="11"/>
  <c r="R168" i="11"/>
  <c r="Q168" i="11"/>
  <c r="P168" i="11"/>
  <c r="O168" i="11"/>
  <c r="N168" i="11"/>
  <c r="U167" i="11"/>
  <c r="T167" i="11"/>
  <c r="S167" i="11"/>
  <c r="R167" i="11"/>
  <c r="Q167" i="11"/>
  <c r="P167" i="11"/>
  <c r="O167" i="11"/>
  <c r="N167" i="11"/>
  <c r="U166" i="11"/>
  <c r="T166" i="11"/>
  <c r="S166" i="11"/>
  <c r="R166" i="11"/>
  <c r="Q166" i="11"/>
  <c r="P166" i="11"/>
  <c r="O166" i="11"/>
  <c r="N166" i="11"/>
  <c r="U165" i="11"/>
  <c r="T165" i="11"/>
  <c r="S165" i="11"/>
  <c r="R165" i="11"/>
  <c r="Q165" i="11"/>
  <c r="P165" i="11"/>
  <c r="O165" i="11"/>
  <c r="N165" i="11"/>
  <c r="U164" i="11"/>
  <c r="T164" i="11"/>
  <c r="S164" i="11"/>
  <c r="R164" i="11"/>
  <c r="Q164" i="11"/>
  <c r="P164" i="11"/>
  <c r="O164" i="11"/>
  <c r="N164" i="11"/>
  <c r="U163" i="11"/>
  <c r="Q46" i="27" s="1"/>
  <c r="T163" i="11"/>
  <c r="N46" i="27" s="1"/>
  <c r="S163" i="11"/>
  <c r="R163" i="11"/>
  <c r="Q163" i="11"/>
  <c r="P163" i="11"/>
  <c r="O163" i="11"/>
  <c r="N163" i="11"/>
  <c r="U162" i="11"/>
  <c r="T162" i="11"/>
  <c r="S162" i="11"/>
  <c r="R162" i="11"/>
  <c r="Q162" i="11"/>
  <c r="P162" i="11"/>
  <c r="O162" i="11"/>
  <c r="N162" i="11"/>
  <c r="U161" i="11"/>
  <c r="T161" i="11"/>
  <c r="S161" i="11"/>
  <c r="R161" i="11"/>
  <c r="Q161" i="11"/>
  <c r="P161" i="11"/>
  <c r="O161" i="11"/>
  <c r="N161" i="11"/>
  <c r="U160" i="11"/>
  <c r="T160" i="11"/>
  <c r="S160" i="11"/>
  <c r="R160" i="11"/>
  <c r="Q160" i="11"/>
  <c r="P160" i="11"/>
  <c r="O160" i="11"/>
  <c r="N160" i="11"/>
  <c r="U159" i="11"/>
  <c r="T159" i="11"/>
  <c r="S159" i="11"/>
  <c r="R159" i="11"/>
  <c r="Q159" i="11"/>
  <c r="P159" i="11"/>
  <c r="O159" i="11"/>
  <c r="N159" i="11"/>
  <c r="U158" i="11"/>
  <c r="T158" i="11"/>
  <c r="S158" i="11"/>
  <c r="R158" i="11"/>
  <c r="Q158" i="11"/>
  <c r="P158" i="11"/>
  <c r="O158" i="11"/>
  <c r="N158" i="11"/>
  <c r="U157" i="11"/>
  <c r="T157" i="11"/>
  <c r="S157" i="11"/>
  <c r="R157" i="11"/>
  <c r="Q157" i="11"/>
  <c r="P157" i="11"/>
  <c r="O157" i="11"/>
  <c r="N157" i="11"/>
  <c r="U156" i="11"/>
  <c r="T156" i="11"/>
  <c r="S156" i="11"/>
  <c r="R156" i="11"/>
  <c r="Q156" i="11"/>
  <c r="P156" i="11"/>
  <c r="O156" i="11"/>
  <c r="N156" i="11"/>
  <c r="U155" i="11"/>
  <c r="T155" i="11"/>
  <c r="S155" i="11"/>
  <c r="R155" i="11"/>
  <c r="Q155" i="11"/>
  <c r="P155" i="11"/>
  <c r="O155" i="11"/>
  <c r="N155" i="11"/>
  <c r="U154" i="11"/>
  <c r="T154" i="11"/>
  <c r="S154" i="11"/>
  <c r="R154" i="11"/>
  <c r="Q154" i="11"/>
  <c r="P154" i="11"/>
  <c r="O154" i="11"/>
  <c r="N154" i="11"/>
  <c r="U153" i="11"/>
  <c r="T153" i="11"/>
  <c r="S153" i="11"/>
  <c r="R153" i="11"/>
  <c r="Q153" i="11"/>
  <c r="P153" i="11"/>
  <c r="O153" i="11"/>
  <c r="N153" i="11"/>
  <c r="U152" i="11"/>
  <c r="T152" i="11"/>
  <c r="S152" i="11"/>
  <c r="R152" i="11"/>
  <c r="Q152" i="11"/>
  <c r="P152" i="11"/>
  <c r="O152" i="11"/>
  <c r="N152" i="11"/>
  <c r="U151" i="11"/>
  <c r="T151" i="11"/>
  <c r="S151" i="11"/>
  <c r="R151" i="11"/>
  <c r="Q151" i="11"/>
  <c r="P151" i="11"/>
  <c r="O151" i="11"/>
  <c r="N151" i="11"/>
  <c r="U150" i="11"/>
  <c r="T150" i="11"/>
  <c r="S150" i="11"/>
  <c r="R150" i="11"/>
  <c r="Q150" i="11"/>
  <c r="P150" i="11"/>
  <c r="O150" i="11"/>
  <c r="N150" i="11"/>
  <c r="U149" i="11"/>
  <c r="T149" i="11"/>
  <c r="S149" i="11"/>
  <c r="R149" i="11"/>
  <c r="Q149" i="11"/>
  <c r="P149" i="11"/>
  <c r="O149" i="11"/>
  <c r="N149" i="11"/>
  <c r="U148" i="11"/>
  <c r="T148" i="11"/>
  <c r="S148" i="11"/>
  <c r="R148" i="11"/>
  <c r="Q148" i="11"/>
  <c r="P148" i="11"/>
  <c r="O148" i="11"/>
  <c r="N148" i="11"/>
  <c r="U147" i="11"/>
  <c r="T147" i="11"/>
  <c r="S147" i="11"/>
  <c r="R147" i="11"/>
  <c r="Q147" i="11"/>
  <c r="P147" i="11"/>
  <c r="O147" i="11"/>
  <c r="N147" i="11"/>
  <c r="U146" i="11"/>
  <c r="Q11" i="27" s="1"/>
  <c r="T146" i="11"/>
  <c r="N11" i="27" s="1"/>
  <c r="S146" i="11"/>
  <c r="R146" i="11"/>
  <c r="Q146" i="11"/>
  <c r="P146" i="11"/>
  <c r="O146" i="11"/>
  <c r="N146" i="11"/>
  <c r="U145" i="11"/>
  <c r="T145" i="11"/>
  <c r="S145" i="11"/>
  <c r="R145" i="11"/>
  <c r="Q145" i="11"/>
  <c r="P145" i="11"/>
  <c r="O145" i="11"/>
  <c r="N145" i="11"/>
  <c r="U144" i="11"/>
  <c r="T144" i="11"/>
  <c r="S144" i="11"/>
  <c r="R144" i="11"/>
  <c r="Q144" i="11"/>
  <c r="P144" i="11"/>
  <c r="O144" i="11"/>
  <c r="N144" i="11"/>
  <c r="U143" i="11"/>
  <c r="T143" i="11"/>
  <c r="S143" i="11"/>
  <c r="R143" i="11"/>
  <c r="Q143" i="11"/>
  <c r="P143" i="11"/>
  <c r="O143" i="11"/>
  <c r="N143" i="11"/>
  <c r="U142" i="11"/>
  <c r="T142" i="11"/>
  <c r="S142" i="11"/>
  <c r="R142" i="11"/>
  <c r="Q142" i="11"/>
  <c r="P142" i="11"/>
  <c r="O142" i="11"/>
  <c r="N142" i="11"/>
  <c r="U141" i="11"/>
  <c r="T141" i="11"/>
  <c r="S141" i="11"/>
  <c r="R141" i="11"/>
  <c r="Q141" i="11"/>
  <c r="P141" i="11"/>
  <c r="O141" i="11"/>
  <c r="N141" i="11"/>
  <c r="U140" i="11"/>
  <c r="T140" i="11"/>
  <c r="S140" i="11"/>
  <c r="R140" i="11"/>
  <c r="Q140" i="11"/>
  <c r="P140" i="11"/>
  <c r="O140" i="11"/>
  <c r="N140" i="11"/>
  <c r="U139" i="11"/>
  <c r="T139" i="11"/>
  <c r="S139" i="11"/>
  <c r="R139" i="11"/>
  <c r="Q139" i="11"/>
  <c r="P139" i="11"/>
  <c r="O139" i="11"/>
  <c r="N139" i="11"/>
  <c r="U138" i="11"/>
  <c r="T138" i="11"/>
  <c r="S138" i="11"/>
  <c r="R138" i="11"/>
  <c r="Q138" i="11"/>
  <c r="P138" i="11"/>
  <c r="O138" i="11"/>
  <c r="N138" i="11"/>
  <c r="U137" i="11"/>
  <c r="T137" i="11"/>
  <c r="S137" i="11"/>
  <c r="R137" i="11"/>
  <c r="Q137" i="11"/>
  <c r="P137" i="11"/>
  <c r="O137" i="11"/>
  <c r="N137" i="11"/>
  <c r="U136" i="11"/>
  <c r="Q45" i="27" s="1"/>
  <c r="T136" i="11"/>
  <c r="N45" i="27" s="1"/>
  <c r="S136" i="11"/>
  <c r="R136" i="11"/>
  <c r="Q136" i="11"/>
  <c r="P136" i="11"/>
  <c r="O136" i="11"/>
  <c r="N136" i="11"/>
  <c r="U135" i="11"/>
  <c r="Q44" i="27" s="1"/>
  <c r="T135" i="11"/>
  <c r="N44" i="27" s="1"/>
  <c r="S135" i="11"/>
  <c r="R135" i="11"/>
  <c r="Q135" i="11"/>
  <c r="P135" i="11"/>
  <c r="O135" i="11"/>
  <c r="N135" i="11"/>
  <c r="U134" i="11"/>
  <c r="T134" i="11"/>
  <c r="S134" i="11"/>
  <c r="R134" i="11"/>
  <c r="Q134" i="11"/>
  <c r="P134" i="11"/>
  <c r="O134" i="11"/>
  <c r="N134" i="11"/>
  <c r="U133" i="11"/>
  <c r="T133" i="11"/>
  <c r="S133" i="11"/>
  <c r="R133" i="11"/>
  <c r="Q133" i="11"/>
  <c r="P133" i="11"/>
  <c r="O133" i="11"/>
  <c r="N133" i="11"/>
  <c r="U132" i="11"/>
  <c r="T132" i="11"/>
  <c r="S132" i="11"/>
  <c r="R132" i="11"/>
  <c r="Q132" i="11"/>
  <c r="P132" i="11"/>
  <c r="O132" i="11"/>
  <c r="N132" i="11"/>
  <c r="U131" i="11"/>
  <c r="T131" i="11"/>
  <c r="S131" i="11"/>
  <c r="R131" i="11"/>
  <c r="Q131" i="11"/>
  <c r="P131" i="11"/>
  <c r="O131" i="11"/>
  <c r="N131" i="11"/>
  <c r="U130" i="11"/>
  <c r="T130" i="11"/>
  <c r="S130" i="11"/>
  <c r="R130" i="11"/>
  <c r="Q130" i="11"/>
  <c r="P130" i="11"/>
  <c r="O130" i="11"/>
  <c r="N130" i="11"/>
  <c r="U129" i="11"/>
  <c r="T129" i="11"/>
  <c r="S129" i="11"/>
  <c r="R129" i="11"/>
  <c r="Q129" i="11"/>
  <c r="P129" i="11"/>
  <c r="O129" i="11"/>
  <c r="N129" i="11"/>
  <c r="U128" i="11"/>
  <c r="T128" i="11"/>
  <c r="S128" i="11"/>
  <c r="R128" i="11"/>
  <c r="Q128" i="11"/>
  <c r="P128" i="11"/>
  <c r="O128" i="11"/>
  <c r="N128" i="11"/>
  <c r="U127" i="11"/>
  <c r="T127" i="11"/>
  <c r="S127" i="11"/>
  <c r="R127" i="11"/>
  <c r="Q127" i="11"/>
  <c r="P127" i="11"/>
  <c r="O127" i="11"/>
  <c r="N127" i="11"/>
  <c r="U126" i="11"/>
  <c r="Q43" i="27" s="1"/>
  <c r="T126" i="11"/>
  <c r="N43" i="27" s="1"/>
  <c r="S126" i="11"/>
  <c r="R126" i="11"/>
  <c r="Q126" i="11"/>
  <c r="P126" i="11"/>
  <c r="O126" i="11"/>
  <c r="N126" i="11"/>
  <c r="U125" i="11"/>
  <c r="T125" i="11"/>
  <c r="S125" i="11"/>
  <c r="R125" i="11"/>
  <c r="Q125" i="11"/>
  <c r="P125" i="11"/>
  <c r="O125" i="11"/>
  <c r="N125" i="11"/>
  <c r="U124" i="11"/>
  <c r="T124" i="11"/>
  <c r="S124" i="11"/>
  <c r="R124" i="11"/>
  <c r="Q124" i="11"/>
  <c r="P124" i="11"/>
  <c r="O124" i="11"/>
  <c r="N124" i="11"/>
  <c r="U123" i="11"/>
  <c r="T123" i="11"/>
  <c r="S123" i="11"/>
  <c r="R123" i="11"/>
  <c r="Q123" i="11"/>
  <c r="P123" i="11"/>
  <c r="O123" i="11"/>
  <c r="N123" i="11"/>
  <c r="U122" i="11"/>
  <c r="Q42" i="27" s="1"/>
  <c r="T122" i="11"/>
  <c r="N42" i="27" s="1"/>
  <c r="S122" i="11"/>
  <c r="R122" i="11"/>
  <c r="Q122" i="11"/>
  <c r="P122" i="11"/>
  <c r="O122" i="11"/>
  <c r="N122" i="11"/>
  <c r="U121" i="11"/>
  <c r="Q10" i="27" s="1"/>
  <c r="T121" i="11"/>
  <c r="N10" i="27" s="1"/>
  <c r="S121" i="11"/>
  <c r="R121" i="11"/>
  <c r="Q121" i="11"/>
  <c r="P121" i="11"/>
  <c r="O121" i="11"/>
  <c r="N121" i="11"/>
  <c r="U120" i="11"/>
  <c r="T120" i="11"/>
  <c r="S120" i="11"/>
  <c r="R120" i="11"/>
  <c r="Q120" i="11"/>
  <c r="P120" i="11"/>
  <c r="O120" i="11"/>
  <c r="N120" i="11"/>
  <c r="U119" i="11"/>
  <c r="T119" i="11"/>
  <c r="S119" i="11"/>
  <c r="R119" i="11"/>
  <c r="Q119" i="11"/>
  <c r="P119" i="11"/>
  <c r="O119" i="11"/>
  <c r="N119" i="11"/>
  <c r="U118" i="11"/>
  <c r="T118" i="11"/>
  <c r="S118" i="11"/>
  <c r="R118" i="11"/>
  <c r="Q118" i="11"/>
  <c r="P118" i="11"/>
  <c r="O118" i="11"/>
  <c r="N118" i="11"/>
  <c r="U117" i="11"/>
  <c r="T117" i="11"/>
  <c r="S117" i="11"/>
  <c r="R117" i="11"/>
  <c r="Q117" i="11"/>
  <c r="P117" i="11"/>
  <c r="O117" i="11"/>
  <c r="N117" i="11"/>
  <c r="U116" i="11"/>
  <c r="Q76" i="27" s="1"/>
  <c r="T116" i="11"/>
  <c r="N76" i="27" s="1"/>
  <c r="S116" i="11"/>
  <c r="R116" i="11"/>
  <c r="Q116" i="11"/>
  <c r="P116" i="11"/>
  <c r="O116" i="11"/>
  <c r="N116" i="11"/>
  <c r="U115" i="11"/>
  <c r="T115" i="11"/>
  <c r="S115" i="11"/>
  <c r="R115" i="11"/>
  <c r="Q115" i="11"/>
  <c r="P115" i="11"/>
  <c r="O115" i="11"/>
  <c r="N115" i="11"/>
  <c r="U114" i="11"/>
  <c r="Q75" i="27" s="1"/>
  <c r="T114" i="11"/>
  <c r="N75" i="27" s="1"/>
  <c r="S114" i="11"/>
  <c r="R114" i="11"/>
  <c r="Q114" i="11"/>
  <c r="P114" i="11"/>
  <c r="O114" i="11"/>
  <c r="N114" i="11"/>
  <c r="U113" i="11"/>
  <c r="T113" i="11"/>
  <c r="S113" i="11"/>
  <c r="R113" i="11"/>
  <c r="Q113" i="11"/>
  <c r="P113" i="11"/>
  <c r="O113" i="11"/>
  <c r="N113" i="11"/>
  <c r="U112" i="11"/>
  <c r="Q74" i="27" s="1"/>
  <c r="T112" i="11"/>
  <c r="N74" i="27" s="1"/>
  <c r="S112" i="11"/>
  <c r="R112" i="11"/>
  <c r="Q112" i="11"/>
  <c r="P112" i="11"/>
  <c r="O112" i="11"/>
  <c r="N112" i="11"/>
  <c r="U111" i="11"/>
  <c r="T111" i="11"/>
  <c r="S111" i="11"/>
  <c r="R111" i="11"/>
  <c r="Q111" i="11"/>
  <c r="P111" i="11"/>
  <c r="O111" i="11"/>
  <c r="N111" i="11"/>
  <c r="U110" i="11"/>
  <c r="T110" i="11"/>
  <c r="S110" i="11"/>
  <c r="R110" i="11"/>
  <c r="Q110" i="11"/>
  <c r="P110" i="11"/>
  <c r="O110" i="11"/>
  <c r="N110" i="11"/>
  <c r="U109" i="11"/>
  <c r="T109" i="11"/>
  <c r="S109" i="11"/>
  <c r="R109" i="11"/>
  <c r="Q109" i="11"/>
  <c r="P109" i="11"/>
  <c r="O109" i="11"/>
  <c r="N109" i="11"/>
  <c r="U108" i="11"/>
  <c r="T108" i="11"/>
  <c r="S108" i="11"/>
  <c r="R108" i="11"/>
  <c r="Q108" i="11"/>
  <c r="P108" i="11"/>
  <c r="O108" i="11"/>
  <c r="N108" i="11"/>
  <c r="U107" i="11"/>
  <c r="T107" i="11"/>
  <c r="S107" i="11"/>
  <c r="R107" i="11"/>
  <c r="Q107" i="11"/>
  <c r="P107" i="11"/>
  <c r="O107" i="11"/>
  <c r="N107" i="11"/>
  <c r="U106" i="11"/>
  <c r="T106" i="11"/>
  <c r="S106" i="11"/>
  <c r="R106" i="11"/>
  <c r="Q106" i="11"/>
  <c r="P106" i="11"/>
  <c r="O106" i="11"/>
  <c r="N106" i="11"/>
  <c r="U105" i="11"/>
  <c r="T105" i="11"/>
  <c r="S105" i="11"/>
  <c r="R105" i="11"/>
  <c r="Q105" i="11"/>
  <c r="P105" i="11"/>
  <c r="O105" i="11"/>
  <c r="N105" i="11"/>
  <c r="U104" i="11"/>
  <c r="T104" i="11"/>
  <c r="S104" i="11"/>
  <c r="R104" i="11"/>
  <c r="Q104" i="11"/>
  <c r="P104" i="11"/>
  <c r="O104" i="11"/>
  <c r="N104" i="11"/>
  <c r="U103" i="11"/>
  <c r="T103" i="11"/>
  <c r="S103" i="11"/>
  <c r="R103" i="11"/>
  <c r="Q103" i="11"/>
  <c r="P103" i="11"/>
  <c r="O103" i="11"/>
  <c r="N103" i="11"/>
  <c r="U102" i="11"/>
  <c r="T102" i="11"/>
  <c r="S102" i="11"/>
  <c r="R102" i="11"/>
  <c r="Q102" i="11"/>
  <c r="P102" i="11"/>
  <c r="O102" i="11"/>
  <c r="N102" i="11"/>
  <c r="U101" i="11"/>
  <c r="T101" i="11"/>
  <c r="S101" i="11"/>
  <c r="R101" i="11"/>
  <c r="Q101" i="11"/>
  <c r="P101" i="11"/>
  <c r="O101" i="11"/>
  <c r="N101" i="11"/>
  <c r="U100" i="11"/>
  <c r="Q3" i="27" s="1"/>
  <c r="T100" i="11"/>
  <c r="S100" i="11"/>
  <c r="R100" i="11"/>
  <c r="Q100" i="11"/>
  <c r="P100" i="11"/>
  <c r="O100" i="11"/>
  <c r="N100" i="11"/>
  <c r="U99" i="11"/>
  <c r="T99" i="11"/>
  <c r="S99" i="11"/>
  <c r="R99" i="11"/>
  <c r="Q99" i="11"/>
  <c r="P99" i="11"/>
  <c r="O99" i="11"/>
  <c r="N99" i="11"/>
  <c r="U98" i="11"/>
  <c r="T98" i="11"/>
  <c r="S98" i="11"/>
  <c r="R98" i="11"/>
  <c r="Q98" i="11"/>
  <c r="P98" i="11"/>
  <c r="O98" i="11"/>
  <c r="N98" i="11"/>
  <c r="U97" i="11"/>
  <c r="T97" i="11"/>
  <c r="S97" i="11"/>
  <c r="R97" i="11"/>
  <c r="Q97" i="11"/>
  <c r="P97" i="11"/>
  <c r="O97" i="11"/>
  <c r="N97" i="11"/>
  <c r="U96" i="11"/>
  <c r="T96" i="11"/>
  <c r="S96" i="11"/>
  <c r="R96" i="11"/>
  <c r="Q96" i="11"/>
  <c r="P96" i="11"/>
  <c r="O96" i="11"/>
  <c r="N96" i="11"/>
  <c r="U95" i="11"/>
  <c r="T95" i="11"/>
  <c r="S95" i="11"/>
  <c r="R95" i="11"/>
  <c r="Q95" i="11"/>
  <c r="P95" i="11"/>
  <c r="O95" i="11"/>
  <c r="N95" i="11"/>
  <c r="U94" i="11"/>
  <c r="T94" i="11"/>
  <c r="S94" i="11"/>
  <c r="R94" i="11"/>
  <c r="Q94" i="11"/>
  <c r="P94" i="11"/>
  <c r="O94" i="11"/>
  <c r="N94" i="11"/>
  <c r="U93" i="11"/>
  <c r="Q9" i="27" s="1"/>
  <c r="T93" i="11"/>
  <c r="N9" i="27" s="1"/>
  <c r="S93" i="11"/>
  <c r="R93" i="11"/>
  <c r="Q93" i="11"/>
  <c r="P93" i="11"/>
  <c r="O93" i="11"/>
  <c r="N93" i="11"/>
  <c r="U92" i="11"/>
  <c r="Q27" i="27" s="1"/>
  <c r="T92" i="11"/>
  <c r="N27" i="27" s="1"/>
  <c r="S92" i="11"/>
  <c r="R92" i="11"/>
  <c r="Q92" i="11"/>
  <c r="P92" i="11"/>
  <c r="O92" i="11"/>
  <c r="N92" i="11"/>
  <c r="U91" i="11"/>
  <c r="Q26" i="27" s="1"/>
  <c r="T91" i="11"/>
  <c r="N26" i="27" s="1"/>
  <c r="S91" i="11"/>
  <c r="R91" i="11"/>
  <c r="Q91" i="11"/>
  <c r="P91" i="11"/>
  <c r="O91" i="11"/>
  <c r="N91" i="11"/>
  <c r="U90" i="11"/>
  <c r="T90" i="11"/>
  <c r="S90" i="11"/>
  <c r="R90" i="11"/>
  <c r="Q90" i="11"/>
  <c r="P90" i="11"/>
  <c r="O90" i="11"/>
  <c r="N90" i="11"/>
  <c r="U89" i="11"/>
  <c r="T89" i="11"/>
  <c r="S89" i="11"/>
  <c r="R89" i="11"/>
  <c r="Q89" i="11"/>
  <c r="P89" i="11"/>
  <c r="O89" i="11"/>
  <c r="N89" i="11"/>
  <c r="U88" i="11"/>
  <c r="T88" i="11"/>
  <c r="S88" i="11"/>
  <c r="R88" i="11"/>
  <c r="Q88" i="11"/>
  <c r="P88" i="11"/>
  <c r="O88" i="11"/>
  <c r="N88" i="11"/>
  <c r="U87" i="11"/>
  <c r="Q52" i="27" s="1"/>
  <c r="T87" i="11"/>
  <c r="N52" i="27" s="1"/>
  <c r="S87" i="11"/>
  <c r="R87" i="11"/>
  <c r="Q87" i="11"/>
  <c r="P87" i="11"/>
  <c r="O87" i="11"/>
  <c r="N87" i="11"/>
  <c r="U86" i="11"/>
  <c r="T86" i="11"/>
  <c r="S86" i="11"/>
  <c r="R86" i="11"/>
  <c r="Q86" i="11"/>
  <c r="P86" i="11"/>
  <c r="O86" i="11"/>
  <c r="N86" i="11"/>
  <c r="U85" i="11"/>
  <c r="T85" i="11"/>
  <c r="S85" i="11"/>
  <c r="R85" i="11"/>
  <c r="Q85" i="11"/>
  <c r="P85" i="11"/>
  <c r="O85" i="11"/>
  <c r="N85" i="11"/>
  <c r="U84" i="11"/>
  <c r="T84" i="11"/>
  <c r="S84" i="11"/>
  <c r="R84" i="11"/>
  <c r="Q84" i="11"/>
  <c r="P84" i="11"/>
  <c r="O84" i="11"/>
  <c r="N84" i="11"/>
  <c r="U83" i="11"/>
  <c r="T83" i="11"/>
  <c r="S83" i="11"/>
  <c r="R83" i="11"/>
  <c r="Q83" i="11"/>
  <c r="P83" i="11"/>
  <c r="O83" i="11"/>
  <c r="N83" i="11"/>
  <c r="U82" i="11"/>
  <c r="Q6" i="27" s="1"/>
  <c r="T82" i="11"/>
  <c r="N6" i="27" s="1"/>
  <c r="S82" i="11"/>
  <c r="R82" i="11"/>
  <c r="Q82" i="11"/>
  <c r="P82" i="11"/>
  <c r="O82" i="11"/>
  <c r="N82" i="11"/>
  <c r="U81" i="11"/>
  <c r="Q73" i="27" s="1"/>
  <c r="T81" i="11"/>
  <c r="N73" i="27" s="1"/>
  <c r="S81" i="11"/>
  <c r="R81" i="11"/>
  <c r="Q81" i="11"/>
  <c r="P81" i="11"/>
  <c r="O81" i="11"/>
  <c r="N81" i="11"/>
  <c r="U80" i="11"/>
  <c r="T80" i="11"/>
  <c r="S80" i="11"/>
  <c r="R80" i="11"/>
  <c r="Q80" i="11"/>
  <c r="P80" i="11"/>
  <c r="O80" i="11"/>
  <c r="N80" i="11"/>
  <c r="U79" i="11"/>
  <c r="T79" i="11"/>
  <c r="S79" i="11"/>
  <c r="R79" i="11"/>
  <c r="Q79" i="11"/>
  <c r="P79" i="11"/>
  <c r="O79" i="11"/>
  <c r="N79" i="11"/>
  <c r="U78" i="11"/>
  <c r="T78" i="11"/>
  <c r="S78" i="11"/>
  <c r="R78" i="11"/>
  <c r="Q78" i="11"/>
  <c r="P78" i="11"/>
  <c r="O78" i="11"/>
  <c r="N78" i="11"/>
  <c r="U77" i="11"/>
  <c r="T77" i="11"/>
  <c r="S77" i="11"/>
  <c r="R77" i="11"/>
  <c r="Q77" i="11"/>
  <c r="P77" i="11"/>
  <c r="O77" i="11"/>
  <c r="N77" i="11"/>
  <c r="U76" i="11"/>
  <c r="T76" i="11"/>
  <c r="S76" i="11"/>
  <c r="R76" i="11"/>
  <c r="Q76" i="11"/>
  <c r="P76" i="11"/>
  <c r="O76" i="11"/>
  <c r="N76" i="11"/>
  <c r="U75" i="11"/>
  <c r="Q61" i="27" s="1"/>
  <c r="T75" i="11"/>
  <c r="N61" i="27" s="1"/>
  <c r="S75" i="11"/>
  <c r="R75" i="11"/>
  <c r="Q75" i="11"/>
  <c r="P75" i="11"/>
  <c r="O75" i="11"/>
  <c r="N75" i="11"/>
  <c r="U74" i="11"/>
  <c r="T74" i="11"/>
  <c r="S74" i="11"/>
  <c r="R74" i="11"/>
  <c r="Q74" i="11"/>
  <c r="P74" i="11"/>
  <c r="O74" i="11"/>
  <c r="N74" i="11"/>
  <c r="U73" i="11"/>
  <c r="T73" i="11"/>
  <c r="S73" i="11"/>
  <c r="R73" i="11"/>
  <c r="Q73" i="11"/>
  <c r="P73" i="11"/>
  <c r="O73" i="11"/>
  <c r="N73" i="11"/>
  <c r="U72" i="11"/>
  <c r="T72" i="11"/>
  <c r="S72" i="11"/>
  <c r="R72" i="11"/>
  <c r="Q72" i="11"/>
  <c r="P72" i="11"/>
  <c r="O72" i="11"/>
  <c r="N72" i="11"/>
  <c r="U71" i="11"/>
  <c r="T71" i="11"/>
  <c r="S71" i="11"/>
  <c r="R71" i="11"/>
  <c r="Q71" i="11"/>
  <c r="P71" i="11"/>
  <c r="O71" i="11"/>
  <c r="N71" i="11"/>
  <c r="U70" i="11"/>
  <c r="T70" i="11"/>
  <c r="S70" i="11"/>
  <c r="R70" i="11"/>
  <c r="Q70" i="11"/>
  <c r="P70" i="11"/>
  <c r="O70" i="11"/>
  <c r="N70" i="11"/>
  <c r="U69" i="11"/>
  <c r="T69" i="11"/>
  <c r="S69" i="11"/>
  <c r="R69" i="11"/>
  <c r="Q69" i="11"/>
  <c r="P69" i="11"/>
  <c r="O69" i="11"/>
  <c r="N69" i="11"/>
  <c r="U68" i="11"/>
  <c r="T68" i="11"/>
  <c r="S68" i="11"/>
  <c r="R68" i="11"/>
  <c r="Q68" i="11"/>
  <c r="P68" i="11"/>
  <c r="O68" i="11"/>
  <c r="N68" i="11"/>
  <c r="U67" i="11"/>
  <c r="Q28" i="27" s="1"/>
  <c r="T67" i="11"/>
  <c r="N28" i="27" s="1"/>
  <c r="S67" i="11"/>
  <c r="R67" i="11"/>
  <c r="Q67" i="11"/>
  <c r="P67" i="11"/>
  <c r="O67" i="11"/>
  <c r="N67" i="11"/>
  <c r="U66" i="11"/>
  <c r="T66" i="11"/>
  <c r="S66" i="11"/>
  <c r="R66" i="11"/>
  <c r="Q66" i="11"/>
  <c r="P66" i="11"/>
  <c r="O66" i="11"/>
  <c r="N66" i="11"/>
  <c r="U65" i="11"/>
  <c r="T65" i="11"/>
  <c r="S65" i="11"/>
  <c r="R65" i="11"/>
  <c r="Q65" i="11"/>
  <c r="P65" i="11"/>
  <c r="O65" i="11"/>
  <c r="N65" i="11"/>
  <c r="U64" i="11"/>
  <c r="Q8" i="27" s="1"/>
  <c r="T64" i="11"/>
  <c r="N8" i="27" s="1"/>
  <c r="S64" i="11"/>
  <c r="R64" i="11"/>
  <c r="Q64" i="11"/>
  <c r="P64" i="11"/>
  <c r="O64" i="11"/>
  <c r="N64" i="11"/>
  <c r="U63" i="11"/>
  <c r="Q5" i="27" s="1"/>
  <c r="T63" i="11"/>
  <c r="N5" i="27" s="1"/>
  <c r="S63" i="11"/>
  <c r="R63" i="11"/>
  <c r="Q63" i="11"/>
  <c r="P63" i="11"/>
  <c r="O63" i="11"/>
  <c r="N63" i="11"/>
  <c r="U62" i="11"/>
  <c r="Q16" i="27" s="1"/>
  <c r="T62" i="11"/>
  <c r="N16" i="27" s="1"/>
  <c r="S62" i="11"/>
  <c r="R62" i="11"/>
  <c r="Q62" i="11"/>
  <c r="P62" i="11"/>
  <c r="O62" i="11"/>
  <c r="N62" i="11"/>
  <c r="U61" i="11"/>
  <c r="Q15" i="27" s="1"/>
  <c r="T61" i="11"/>
  <c r="N15" i="27" s="1"/>
  <c r="S61" i="11"/>
  <c r="R61" i="11"/>
  <c r="Q61" i="11"/>
  <c r="P61" i="11"/>
  <c r="O61" i="11"/>
  <c r="N61" i="11"/>
  <c r="U60" i="11"/>
  <c r="Q14" i="27" s="1"/>
  <c r="T60" i="11"/>
  <c r="N14" i="27" s="1"/>
  <c r="S60" i="11"/>
  <c r="R60" i="11"/>
  <c r="Q60" i="11"/>
  <c r="P60" i="11"/>
  <c r="O60" i="11"/>
  <c r="N60" i="11"/>
  <c r="U59" i="11"/>
  <c r="T59" i="11"/>
  <c r="S59" i="11"/>
  <c r="R59" i="11"/>
  <c r="Q59" i="11"/>
  <c r="P59" i="11"/>
  <c r="O59" i="11"/>
  <c r="N59" i="11"/>
  <c r="U58" i="11"/>
  <c r="Q12" i="27" s="1"/>
  <c r="T58" i="11"/>
  <c r="N12" i="27" s="1"/>
  <c r="S58" i="11"/>
  <c r="R58" i="11"/>
  <c r="Q58" i="11"/>
  <c r="P58" i="11"/>
  <c r="O58" i="11"/>
  <c r="N58" i="11"/>
  <c r="U57" i="11"/>
  <c r="Q51" i="27" s="1"/>
  <c r="T57" i="11"/>
  <c r="N51" i="27" s="1"/>
  <c r="S57" i="11"/>
  <c r="R57" i="11"/>
  <c r="Q57" i="11"/>
  <c r="P57" i="11"/>
  <c r="O57" i="11"/>
  <c r="N57" i="11"/>
  <c r="U56" i="11"/>
  <c r="T56" i="11"/>
  <c r="S56" i="11"/>
  <c r="R56" i="11"/>
  <c r="Q56" i="11"/>
  <c r="P56" i="11"/>
  <c r="O56" i="11"/>
  <c r="N56" i="11"/>
  <c r="U55" i="11"/>
  <c r="Q60" i="27" s="1"/>
  <c r="T55" i="11"/>
  <c r="N60" i="27" s="1"/>
  <c r="S55" i="11"/>
  <c r="R55" i="11"/>
  <c r="Q55" i="11"/>
  <c r="P55" i="11"/>
  <c r="O55" i="11"/>
  <c r="N55" i="11"/>
  <c r="U54" i="11"/>
  <c r="Q59" i="27" s="1"/>
  <c r="T54" i="11"/>
  <c r="N59" i="27" s="1"/>
  <c r="S54" i="11"/>
  <c r="R54" i="11"/>
  <c r="Q54" i="11"/>
  <c r="P54" i="11"/>
  <c r="O54" i="11"/>
  <c r="N54" i="11"/>
  <c r="U53" i="11"/>
  <c r="T53" i="11"/>
  <c r="S53" i="11"/>
  <c r="R53" i="11"/>
  <c r="Q53" i="11"/>
  <c r="P53" i="11"/>
  <c r="O53" i="11"/>
  <c r="N53" i="11"/>
  <c r="U52" i="11"/>
  <c r="T52" i="11"/>
  <c r="S52" i="11"/>
  <c r="R52" i="11"/>
  <c r="Q52" i="11"/>
  <c r="P52" i="11"/>
  <c r="O52" i="11"/>
  <c r="N52" i="11"/>
  <c r="U51" i="11"/>
  <c r="T51" i="11"/>
  <c r="S51" i="11"/>
  <c r="R51" i="11"/>
  <c r="Q51" i="11"/>
  <c r="P51" i="11"/>
  <c r="O51" i="11"/>
  <c r="N51" i="11"/>
  <c r="U50" i="11"/>
  <c r="Q25" i="27" s="1"/>
  <c r="T50" i="11"/>
  <c r="N25" i="27" s="1"/>
  <c r="S50" i="11"/>
  <c r="R50" i="11"/>
  <c r="Q50" i="11"/>
  <c r="P50" i="11"/>
  <c r="O50" i="11"/>
  <c r="N50" i="11"/>
  <c r="U49" i="11"/>
  <c r="Q24" i="27" s="1"/>
  <c r="T49" i="11"/>
  <c r="N24" i="27" s="1"/>
  <c r="S49" i="11"/>
  <c r="R49" i="11"/>
  <c r="Q49" i="11"/>
  <c r="P49" i="11"/>
  <c r="O49" i="11"/>
  <c r="N49" i="11"/>
  <c r="U48" i="11"/>
  <c r="Q41" i="27" s="1"/>
  <c r="T48" i="11"/>
  <c r="N41" i="27" s="1"/>
  <c r="S48" i="11"/>
  <c r="R48" i="11"/>
  <c r="Q48" i="11"/>
  <c r="P48" i="11"/>
  <c r="O48" i="11"/>
  <c r="N48" i="11"/>
  <c r="U47" i="11"/>
  <c r="T47" i="11"/>
  <c r="S47" i="11"/>
  <c r="R47" i="11"/>
  <c r="Q47" i="11"/>
  <c r="P47" i="11"/>
  <c r="O47" i="11"/>
  <c r="N47" i="11"/>
  <c r="U46" i="11"/>
  <c r="Q55" i="27" s="1"/>
  <c r="T46" i="11"/>
  <c r="N55" i="27" s="1"/>
  <c r="S46" i="11"/>
  <c r="R46" i="11"/>
  <c r="Q46" i="11"/>
  <c r="P46" i="11"/>
  <c r="O46" i="11"/>
  <c r="N46" i="11"/>
  <c r="U45" i="11"/>
  <c r="Q54" i="27" s="1"/>
  <c r="T45" i="11"/>
  <c r="N54" i="27" s="1"/>
  <c r="S45" i="11"/>
  <c r="R45" i="11"/>
  <c r="Q45" i="11"/>
  <c r="P45" i="11"/>
  <c r="O45" i="11"/>
  <c r="N45" i="11"/>
  <c r="U44" i="11"/>
  <c r="Q53" i="27" s="1"/>
  <c r="T44" i="11"/>
  <c r="N53" i="27" s="1"/>
  <c r="S44" i="11"/>
  <c r="R44" i="11"/>
  <c r="Q44" i="11"/>
  <c r="P44" i="11"/>
  <c r="O44" i="11"/>
  <c r="N44" i="11"/>
  <c r="U43" i="11"/>
  <c r="Q49" i="27" s="1"/>
  <c r="T43" i="11"/>
  <c r="N49" i="27" s="1"/>
  <c r="S43" i="11"/>
  <c r="R43" i="11"/>
  <c r="Q43" i="11"/>
  <c r="P43" i="11"/>
  <c r="O43" i="11"/>
  <c r="N43" i="11"/>
  <c r="U42" i="11"/>
  <c r="Q48" i="27" s="1"/>
  <c r="T42" i="11"/>
  <c r="N48" i="27" s="1"/>
  <c r="S42" i="11"/>
  <c r="R42" i="11"/>
  <c r="Q42" i="11"/>
  <c r="P42" i="11"/>
  <c r="O42" i="11"/>
  <c r="N42" i="11"/>
  <c r="U41" i="11"/>
  <c r="Q20" i="27" s="1"/>
  <c r="T41" i="11"/>
  <c r="N20" i="27" s="1"/>
  <c r="S41" i="11"/>
  <c r="R41" i="11"/>
  <c r="Q41" i="11"/>
  <c r="P41" i="11"/>
  <c r="O41" i="11"/>
  <c r="N41" i="11"/>
  <c r="U40" i="11"/>
  <c r="Q19" i="27" s="1"/>
  <c r="T40" i="11"/>
  <c r="N19" i="27" s="1"/>
  <c r="S40" i="11"/>
  <c r="R40" i="11"/>
  <c r="Q40" i="11"/>
  <c r="P40" i="11"/>
  <c r="O40" i="11"/>
  <c r="N40" i="11"/>
  <c r="U39" i="11"/>
  <c r="T39" i="11"/>
  <c r="S39" i="11"/>
  <c r="R39" i="11"/>
  <c r="Q39" i="11"/>
  <c r="P39" i="11"/>
  <c r="O39" i="11"/>
  <c r="N39" i="11"/>
  <c r="U38" i="11"/>
  <c r="Q21" i="27" s="1"/>
  <c r="T38" i="11"/>
  <c r="N21" i="27" s="1"/>
  <c r="S38" i="11"/>
  <c r="R38" i="11"/>
  <c r="Q38" i="11"/>
  <c r="P38" i="11"/>
  <c r="O38" i="11"/>
  <c r="N38" i="11"/>
  <c r="U37" i="11"/>
  <c r="T37" i="11"/>
  <c r="S37" i="11"/>
  <c r="R37" i="11"/>
  <c r="Q37" i="11"/>
  <c r="P37" i="11"/>
  <c r="O37" i="11"/>
  <c r="N37" i="11"/>
  <c r="U36" i="11"/>
  <c r="Q39" i="27" s="1"/>
  <c r="T36" i="11"/>
  <c r="N39" i="27" s="1"/>
  <c r="S36" i="11"/>
  <c r="R36" i="11"/>
  <c r="Q36" i="11"/>
  <c r="P36" i="11"/>
  <c r="O36" i="11"/>
  <c r="N36" i="11"/>
  <c r="U35" i="11"/>
  <c r="Q4" i="27" s="1"/>
  <c r="T35" i="11"/>
  <c r="N4" i="27" s="1"/>
  <c r="S35" i="11"/>
  <c r="R35" i="11"/>
  <c r="Q35" i="11"/>
  <c r="P35" i="11"/>
  <c r="O35" i="11"/>
  <c r="N35" i="11"/>
  <c r="U34" i="11"/>
  <c r="Q23" i="27" s="1"/>
  <c r="T34" i="11"/>
  <c r="N23" i="27" s="1"/>
  <c r="S34" i="11"/>
  <c r="R34" i="11"/>
  <c r="Q34" i="11"/>
  <c r="P34" i="11"/>
  <c r="O34" i="11"/>
  <c r="N34" i="11"/>
  <c r="U33" i="11"/>
  <c r="Q22" i="27" s="1"/>
  <c r="T33" i="11"/>
  <c r="N22" i="27" s="1"/>
  <c r="S33" i="11"/>
  <c r="R33" i="11"/>
  <c r="Q33" i="11"/>
  <c r="P33" i="11"/>
  <c r="O33" i="11"/>
  <c r="N33" i="11"/>
  <c r="U32" i="11"/>
  <c r="Q38" i="27" s="1"/>
  <c r="T32" i="11"/>
  <c r="N38" i="27" s="1"/>
  <c r="S32" i="11"/>
  <c r="R32" i="11"/>
  <c r="Q32" i="11"/>
  <c r="P32" i="11"/>
  <c r="O32" i="11"/>
  <c r="N32" i="11"/>
  <c r="U31" i="11"/>
  <c r="Q37" i="27" s="1"/>
  <c r="T31" i="11"/>
  <c r="N37" i="27" s="1"/>
  <c r="S31" i="11"/>
  <c r="R31" i="11"/>
  <c r="Q31" i="11"/>
  <c r="P31" i="11"/>
  <c r="O31" i="11"/>
  <c r="N31" i="11"/>
  <c r="U30" i="11"/>
  <c r="Q36" i="27" s="1"/>
  <c r="T30" i="11"/>
  <c r="N36" i="27" s="1"/>
  <c r="S30" i="11"/>
  <c r="R30" i="11"/>
  <c r="Q30" i="11"/>
  <c r="P30" i="11"/>
  <c r="O30" i="11"/>
  <c r="N30" i="11"/>
  <c r="U29" i="11"/>
  <c r="T29" i="11"/>
  <c r="S29" i="11"/>
  <c r="R29" i="11"/>
  <c r="Q29" i="11"/>
  <c r="P29" i="11"/>
  <c r="O29" i="11"/>
  <c r="N29" i="11"/>
  <c r="U28" i="11"/>
  <c r="Q35" i="27" s="1"/>
  <c r="T28" i="11"/>
  <c r="N35" i="27" s="1"/>
  <c r="S28" i="11"/>
  <c r="R28" i="11"/>
  <c r="Q28" i="11"/>
  <c r="P28" i="11"/>
  <c r="O28" i="11"/>
  <c r="N28" i="11"/>
  <c r="U27" i="11"/>
  <c r="Q7" i="27" s="1"/>
  <c r="T27" i="11"/>
  <c r="N7" i="27" s="1"/>
  <c r="S27" i="11"/>
  <c r="R27" i="11"/>
  <c r="Q27" i="11"/>
  <c r="P27" i="11"/>
  <c r="O27" i="11"/>
  <c r="N27" i="11"/>
  <c r="U26" i="11"/>
  <c r="Q34" i="27" s="1"/>
  <c r="T26" i="11"/>
  <c r="N34" i="27" s="1"/>
  <c r="S26" i="11"/>
  <c r="R26" i="11"/>
  <c r="Q26" i="11"/>
  <c r="P26" i="11"/>
  <c r="O26" i="11"/>
  <c r="N26" i="11"/>
  <c r="U25" i="11"/>
  <c r="Q33" i="27" s="1"/>
  <c r="T25" i="11"/>
  <c r="N33" i="27" s="1"/>
  <c r="S25" i="11"/>
  <c r="R25" i="11"/>
  <c r="Q25" i="11"/>
  <c r="P25" i="11"/>
  <c r="O25" i="11"/>
  <c r="N25" i="11"/>
  <c r="U24" i="11"/>
  <c r="Q58" i="27" s="1"/>
  <c r="T24" i="11"/>
  <c r="N58" i="27" s="1"/>
  <c r="S24" i="11"/>
  <c r="R24" i="11"/>
  <c r="Q24" i="11"/>
  <c r="P24" i="11"/>
  <c r="O24" i="11"/>
  <c r="N24" i="11"/>
  <c r="U23" i="11"/>
  <c r="Q57" i="27" s="1"/>
  <c r="T23" i="11"/>
  <c r="N57" i="27" s="1"/>
  <c r="S23" i="11"/>
  <c r="R23" i="11"/>
  <c r="Q23" i="11"/>
  <c r="P23" i="11"/>
  <c r="O23" i="11"/>
  <c r="N23" i="11"/>
  <c r="U22" i="11"/>
  <c r="T22" i="11"/>
  <c r="S22" i="11"/>
  <c r="R22" i="11"/>
  <c r="Q22" i="11"/>
  <c r="P22" i="11"/>
  <c r="O22" i="11"/>
  <c r="N22" i="11"/>
  <c r="U21" i="11"/>
  <c r="Q72" i="27" s="1"/>
  <c r="T21" i="11"/>
  <c r="N72" i="27" s="1"/>
  <c r="S21" i="11"/>
  <c r="R21" i="11"/>
  <c r="Q21" i="11"/>
  <c r="P21" i="11"/>
  <c r="O21" i="11"/>
  <c r="N21" i="11"/>
  <c r="U20" i="11"/>
  <c r="Q32" i="27" s="1"/>
  <c r="T20" i="11"/>
  <c r="N32" i="27" s="1"/>
  <c r="S20" i="11"/>
  <c r="R20" i="11"/>
  <c r="Q20" i="11"/>
  <c r="P20" i="11"/>
  <c r="O20" i="11"/>
  <c r="N20" i="11"/>
  <c r="U19" i="11"/>
  <c r="Q31" i="27" s="1"/>
  <c r="T19" i="11"/>
  <c r="N31" i="27" s="1"/>
  <c r="S19" i="11"/>
  <c r="R19" i="11"/>
  <c r="Q19" i="11"/>
  <c r="P19" i="11"/>
  <c r="O19" i="11"/>
  <c r="N19" i="11"/>
  <c r="U18" i="11"/>
  <c r="Q30" i="27" s="1"/>
  <c r="T18" i="11"/>
  <c r="N30" i="27" s="1"/>
  <c r="S18" i="11"/>
  <c r="R18" i="11"/>
  <c r="Q18" i="11"/>
  <c r="P18" i="11"/>
  <c r="O18" i="11"/>
  <c r="N18" i="11"/>
  <c r="U17" i="11"/>
  <c r="Q71" i="27" s="1"/>
  <c r="T17" i="11"/>
  <c r="N71" i="27" s="1"/>
  <c r="S17" i="11"/>
  <c r="R17" i="11"/>
  <c r="Q17" i="11"/>
  <c r="P17" i="11"/>
  <c r="O17" i="11"/>
  <c r="N17" i="11"/>
  <c r="U16" i="11"/>
  <c r="Q70" i="27" s="1"/>
  <c r="T16" i="11"/>
  <c r="N70" i="27" s="1"/>
  <c r="S16" i="11"/>
  <c r="R16" i="11"/>
  <c r="Q16" i="11"/>
  <c r="P16" i="11"/>
  <c r="O16" i="11"/>
  <c r="N16" i="11"/>
  <c r="U15" i="11"/>
  <c r="Q69" i="27" s="1"/>
  <c r="T15" i="11"/>
  <c r="N69" i="27" s="1"/>
  <c r="S15" i="11"/>
  <c r="R15" i="11"/>
  <c r="Q15" i="11"/>
  <c r="P15" i="11"/>
  <c r="O15" i="11"/>
  <c r="N15" i="11"/>
  <c r="U14" i="11"/>
  <c r="Q29" i="27" s="1"/>
  <c r="T14" i="11"/>
  <c r="N29" i="27" s="1"/>
  <c r="S14" i="11"/>
  <c r="R14" i="11"/>
  <c r="Q14" i="11"/>
  <c r="P14" i="11"/>
  <c r="O14" i="11"/>
  <c r="N14" i="11"/>
  <c r="U13" i="11"/>
  <c r="Q68" i="27" s="1"/>
  <c r="T13" i="11"/>
  <c r="N68" i="27" s="1"/>
  <c r="S13" i="11"/>
  <c r="R13" i="11"/>
  <c r="Q13" i="11"/>
  <c r="P13" i="11"/>
  <c r="O13" i="11"/>
  <c r="N13" i="11"/>
  <c r="U12" i="11"/>
  <c r="Q67" i="27" s="1"/>
  <c r="T12" i="11"/>
  <c r="N67" i="27" s="1"/>
  <c r="S12" i="11"/>
  <c r="R12" i="11"/>
  <c r="Q12" i="11"/>
  <c r="P12" i="11"/>
  <c r="O12" i="11"/>
  <c r="N12" i="11"/>
  <c r="U11" i="11"/>
  <c r="Q66" i="27" s="1"/>
  <c r="T11" i="11"/>
  <c r="N66" i="27" s="1"/>
  <c r="S11" i="11"/>
  <c r="R11" i="11"/>
  <c r="Q11" i="11"/>
  <c r="P11" i="11"/>
  <c r="O11" i="11"/>
  <c r="N11" i="11"/>
  <c r="U10" i="11"/>
  <c r="Q65" i="27" s="1"/>
  <c r="T10" i="11"/>
  <c r="N65" i="27" s="1"/>
  <c r="S10" i="11"/>
  <c r="R10" i="11"/>
  <c r="Q10" i="11"/>
  <c r="P10" i="11"/>
  <c r="O10" i="11"/>
  <c r="N10" i="11"/>
  <c r="U9" i="11"/>
  <c r="Q64" i="27" s="1"/>
  <c r="T9" i="11"/>
  <c r="N64" i="27" s="1"/>
  <c r="S9" i="11"/>
  <c r="R9" i="11"/>
  <c r="Q9" i="11"/>
  <c r="P9" i="11"/>
  <c r="O9" i="11"/>
  <c r="N9" i="11"/>
  <c r="U8" i="11"/>
  <c r="Q63" i="27" s="1"/>
  <c r="T8" i="11"/>
  <c r="N63" i="27" s="1"/>
  <c r="S8" i="11"/>
  <c r="R8" i="11"/>
  <c r="Q8" i="11"/>
  <c r="P8" i="11"/>
  <c r="O8" i="11"/>
  <c r="N8" i="11"/>
  <c r="U7" i="11"/>
  <c r="Q62" i="27" s="1"/>
  <c r="T7" i="11"/>
  <c r="N62" i="27" s="1"/>
  <c r="S7" i="11"/>
  <c r="R7" i="11"/>
  <c r="Q7" i="11"/>
  <c r="P7" i="11"/>
  <c r="O7" i="11"/>
  <c r="N7" i="11"/>
  <c r="U6" i="11"/>
  <c r="T6" i="11"/>
  <c r="S6" i="11"/>
  <c r="R6" i="11"/>
  <c r="Q6" i="11"/>
  <c r="P6" i="11"/>
  <c r="O6" i="11"/>
  <c r="N6" i="11"/>
  <c r="V194" i="11" l="1"/>
  <c r="Q50" i="27"/>
  <c r="Q40" i="27"/>
  <c r="E56" i="27"/>
  <c r="G56" i="27" s="1"/>
  <c r="M56" i="27"/>
  <c r="N50" i="27"/>
  <c r="N40" i="27"/>
  <c r="L77" i="27"/>
  <c r="L78" i="27"/>
  <c r="N3" i="27"/>
  <c r="V88" i="11"/>
  <c r="V97" i="11"/>
  <c r="V136" i="11"/>
  <c r="V28" i="11"/>
  <c r="V66" i="11"/>
  <c r="V12" i="11"/>
  <c r="V113" i="11"/>
  <c r="V67" i="11"/>
  <c r="V82" i="11"/>
  <c r="V21" i="11"/>
  <c r="V24" i="11"/>
  <c r="V30" i="11"/>
  <c r="V61" i="11"/>
  <c r="V27" i="11"/>
  <c r="V216" i="11"/>
  <c r="V73" i="11"/>
  <c r="V39" i="11"/>
  <c r="V45" i="11"/>
  <c r="V198" i="11"/>
  <c r="V42" i="11"/>
  <c r="V55" i="11"/>
  <c r="V140" i="11"/>
  <c r="V95" i="11"/>
  <c r="V98" i="11"/>
  <c r="V25" i="11"/>
  <c r="V7" i="11"/>
  <c r="V72" i="11"/>
  <c r="V93" i="11"/>
  <c r="V112" i="11"/>
  <c r="V134" i="11"/>
  <c r="V149" i="11"/>
  <c r="V219" i="11"/>
  <c r="V225" i="11"/>
  <c r="V15" i="11"/>
  <c r="V69" i="11"/>
  <c r="V104" i="11"/>
  <c r="V215" i="11"/>
  <c r="V221" i="11"/>
  <c r="V193" i="11"/>
  <c r="V196" i="11"/>
  <c r="M77" i="27" s="1"/>
  <c r="V205" i="11"/>
  <c r="V217" i="11"/>
  <c r="V220" i="11"/>
  <c r="V226" i="11"/>
  <c r="M79" i="27" s="1"/>
  <c r="V81" i="11"/>
  <c r="V135" i="11"/>
  <c r="V100" i="11"/>
  <c r="V8" i="11"/>
  <c r="V14" i="11"/>
  <c r="V17" i="11"/>
  <c r="V23" i="11"/>
  <c r="V32" i="11"/>
  <c r="V35" i="11"/>
  <c r="V41" i="11"/>
  <c r="V47" i="11"/>
  <c r="V56" i="11"/>
  <c r="V62" i="11"/>
  <c r="V65" i="11"/>
  <c r="V77" i="11"/>
  <c r="V129" i="11"/>
  <c r="V151" i="11"/>
  <c r="V90" i="11"/>
  <c r="V70" i="11"/>
  <c r="V18" i="11"/>
  <c r="V36" i="11"/>
  <c r="V48" i="11"/>
  <c r="V51" i="11"/>
  <c r="V54" i="11"/>
  <c r="V147" i="11"/>
  <c r="V146" i="11"/>
  <c r="V57" i="11"/>
  <c r="V101" i="11"/>
  <c r="V116" i="11"/>
  <c r="V11" i="11"/>
  <c r="V53" i="11"/>
  <c r="V167" i="11"/>
  <c r="V60" i="11"/>
  <c r="V13" i="11"/>
  <c r="V156" i="11"/>
  <c r="V16" i="11"/>
  <c r="V19" i="11"/>
  <c r="V22" i="11"/>
  <c r="V31" i="11"/>
  <c r="V34" i="11"/>
  <c r="V37" i="11"/>
  <c r="V40" i="11"/>
  <c r="V43" i="11"/>
  <c r="V46" i="11"/>
  <c r="V155" i="11"/>
  <c r="V179" i="11"/>
  <c r="V197" i="11"/>
  <c r="V209" i="11"/>
  <c r="V10" i="11"/>
  <c r="V178" i="11"/>
  <c r="V63" i="11"/>
  <c r="V75" i="11"/>
  <c r="V78" i="11"/>
  <c r="V87" i="11"/>
  <c r="V96" i="11"/>
  <c r="V99" i="11"/>
  <c r="V114" i="11"/>
  <c r="V120" i="11"/>
  <c r="V126" i="11"/>
  <c r="V150" i="11"/>
  <c r="V68" i="11"/>
  <c r="V71" i="11"/>
  <c r="V74" i="11"/>
  <c r="V80" i="11"/>
  <c r="V89" i="11"/>
  <c r="V92" i="11"/>
  <c r="V119" i="11"/>
  <c r="V122" i="11"/>
  <c r="V125" i="11"/>
  <c r="V9" i="11"/>
  <c r="V33" i="11"/>
  <c r="V20" i="11"/>
  <c r="V26" i="11"/>
  <c r="V29" i="11"/>
  <c r="V38" i="11"/>
  <c r="V44" i="11"/>
  <c r="V50" i="11"/>
  <c r="V59" i="11"/>
  <c r="V171" i="11"/>
  <c r="V174" i="11"/>
  <c r="V170" i="11"/>
  <c r="V173" i="11"/>
  <c r="V188" i="11"/>
  <c r="V191" i="11"/>
  <c r="V200" i="11"/>
  <c r="V203" i="11"/>
  <c r="V206" i="11"/>
  <c r="V212" i="11"/>
  <c r="V218" i="11"/>
  <c r="V181" i="11"/>
  <c r="V184" i="11"/>
  <c r="V187" i="11"/>
  <c r="V190" i="11"/>
  <c r="V199" i="11"/>
  <c r="V202" i="11"/>
  <c r="V208" i="11"/>
  <c r="V211" i="11"/>
  <c r="V214" i="11"/>
  <c r="V223" i="11"/>
  <c r="V84" i="11"/>
  <c r="V102" i="11"/>
  <c r="V105" i="11"/>
  <c r="V108" i="11"/>
  <c r="V111" i="11"/>
  <c r="V117" i="11"/>
  <c r="V123" i="11"/>
  <c r="V132" i="11"/>
  <c r="V138" i="11"/>
  <c r="V141" i="11"/>
  <c r="V144" i="11"/>
  <c r="V153" i="11"/>
  <c r="V159" i="11"/>
  <c r="V162" i="11"/>
  <c r="V165" i="11"/>
  <c r="V168" i="11"/>
  <c r="V83" i="11"/>
  <c r="V86" i="11"/>
  <c r="V107" i="11"/>
  <c r="V110" i="11"/>
  <c r="V128" i="11"/>
  <c r="V131" i="11"/>
  <c r="V137" i="11"/>
  <c r="V143" i="11"/>
  <c r="V152" i="11"/>
  <c r="V158" i="11"/>
  <c r="V161" i="11"/>
  <c r="V164" i="11"/>
  <c r="V177" i="11"/>
  <c r="V180" i="11"/>
  <c r="V183" i="11"/>
  <c r="V186" i="11"/>
  <c r="V189" i="11"/>
  <c r="V192" i="11"/>
  <c r="V195" i="11"/>
  <c r="V201" i="11"/>
  <c r="V204" i="11"/>
  <c r="V207" i="11"/>
  <c r="V210" i="11"/>
  <c r="V213" i="11"/>
  <c r="V222" i="11"/>
  <c r="V176" i="11"/>
  <c r="V182" i="11"/>
  <c r="V185" i="11"/>
  <c r="V224" i="11"/>
  <c r="V115" i="11"/>
  <c r="V118" i="11"/>
  <c r="V121" i="11"/>
  <c r="V124" i="11"/>
  <c r="V127" i="11"/>
  <c r="V130" i="11"/>
  <c r="V133" i="11"/>
  <c r="V139" i="11"/>
  <c r="V142" i="11"/>
  <c r="V145" i="11"/>
  <c r="V148" i="11"/>
  <c r="V154" i="11"/>
  <c r="V157" i="11"/>
  <c r="V160" i="11"/>
  <c r="V163" i="11"/>
  <c r="V166" i="11"/>
  <c r="V169" i="11"/>
  <c r="V172" i="11"/>
  <c r="V175" i="11"/>
  <c r="V49" i="11"/>
  <c r="V52" i="11"/>
  <c r="V58" i="11"/>
  <c r="V64" i="11"/>
  <c r="V76" i="11"/>
  <c r="V79" i="11"/>
  <c r="V85" i="11"/>
  <c r="V91" i="11"/>
  <c r="V94" i="11"/>
  <c r="V103" i="11"/>
  <c r="V106" i="11"/>
  <c r="V109" i="11"/>
  <c r="H156" i="12"/>
  <c r="H155" i="12"/>
  <c r="H154" i="12"/>
  <c r="M226" i="11"/>
  <c r="M225" i="11"/>
  <c r="M224" i="11"/>
  <c r="M223" i="11"/>
  <c r="M222" i="11"/>
  <c r="M221" i="11"/>
  <c r="M220" i="11"/>
  <c r="M219" i="11"/>
  <c r="M218" i="11"/>
  <c r="M217" i="11"/>
  <c r="M216" i="11"/>
  <c r="M215" i="11"/>
  <c r="M214" i="11"/>
  <c r="M213" i="11"/>
  <c r="M212" i="11"/>
  <c r="M211" i="11"/>
  <c r="L211" i="11" s="1"/>
  <c r="M210" i="11"/>
  <c r="M209" i="11"/>
  <c r="M208" i="11"/>
  <c r="M207" i="11"/>
  <c r="M206" i="11"/>
  <c r="M205" i="11"/>
  <c r="M204" i="11"/>
  <c r="M203" i="11"/>
  <c r="M202" i="11"/>
  <c r="M201" i="11"/>
  <c r="M200" i="11"/>
  <c r="M199" i="11"/>
  <c r="M198" i="11"/>
  <c r="M197" i="11"/>
  <c r="M196" i="11"/>
  <c r="M195" i="11"/>
  <c r="M194" i="11"/>
  <c r="M193" i="11"/>
  <c r="M192" i="11"/>
  <c r="M191" i="11"/>
  <c r="M190" i="11"/>
  <c r="M189" i="11"/>
  <c r="M188" i="11"/>
  <c r="M187" i="11"/>
  <c r="M186" i="11"/>
  <c r="M185" i="11"/>
  <c r="M184" i="11"/>
  <c r="M183" i="11"/>
  <c r="M182" i="11"/>
  <c r="M181" i="11"/>
  <c r="M180" i="11"/>
  <c r="M179" i="11"/>
  <c r="M178" i="11"/>
  <c r="M177" i="11"/>
  <c r="M176" i="11"/>
  <c r="M175" i="11"/>
  <c r="M174" i="11"/>
  <c r="M173" i="11"/>
  <c r="M172" i="11"/>
  <c r="M171" i="11"/>
  <c r="M170" i="11"/>
  <c r="M169" i="11"/>
  <c r="M168" i="11"/>
  <c r="M167" i="11"/>
  <c r="M166" i="11"/>
  <c r="M165" i="11"/>
  <c r="M164" i="11"/>
  <c r="M163" i="11"/>
  <c r="M162" i="11"/>
  <c r="M161" i="11"/>
  <c r="M160" i="11"/>
  <c r="M159" i="11"/>
  <c r="M158" i="11"/>
  <c r="M157" i="11"/>
  <c r="M156" i="11"/>
  <c r="M155" i="11"/>
  <c r="M154" i="11"/>
  <c r="M153" i="11"/>
  <c r="M152" i="11"/>
  <c r="M151" i="11"/>
  <c r="M150" i="11"/>
  <c r="M149" i="11"/>
  <c r="M148" i="11"/>
  <c r="M147" i="11"/>
  <c r="M146" i="11"/>
  <c r="M145" i="11"/>
  <c r="M144" i="11"/>
  <c r="M143" i="11"/>
  <c r="M142" i="11"/>
  <c r="M141" i="11"/>
  <c r="M140" i="11"/>
  <c r="M139" i="11"/>
  <c r="M138" i="11"/>
  <c r="M137" i="11"/>
  <c r="M136" i="11"/>
  <c r="M135" i="11"/>
  <c r="M134" i="11"/>
  <c r="M133" i="11"/>
  <c r="M132" i="11"/>
  <c r="M131" i="11"/>
  <c r="M130" i="11"/>
  <c r="M129" i="11"/>
  <c r="M128" i="11"/>
  <c r="M127" i="11"/>
  <c r="M126" i="11"/>
  <c r="M125" i="11"/>
  <c r="M124" i="11"/>
  <c r="M123" i="11"/>
  <c r="M122" i="11"/>
  <c r="M121" i="11"/>
  <c r="M120" i="11"/>
  <c r="M119" i="11"/>
  <c r="M118" i="11"/>
  <c r="M117" i="11"/>
  <c r="M116" i="11"/>
  <c r="M115" i="11"/>
  <c r="M114" i="11"/>
  <c r="M113" i="11"/>
  <c r="M112" i="11"/>
  <c r="M111" i="11"/>
  <c r="M110" i="11"/>
  <c r="M109" i="11"/>
  <c r="M108" i="11"/>
  <c r="M107" i="11"/>
  <c r="M106" i="11"/>
  <c r="M105" i="11"/>
  <c r="M104" i="11"/>
  <c r="M103" i="11"/>
  <c r="M102" i="11"/>
  <c r="M101" i="11"/>
  <c r="M100" i="11"/>
  <c r="M99" i="11"/>
  <c r="M98" i="11"/>
  <c r="M97" i="11"/>
  <c r="M96" i="11"/>
  <c r="M95" i="11"/>
  <c r="M94" i="11"/>
  <c r="M93" i="11"/>
  <c r="M92" i="11"/>
  <c r="M91" i="11"/>
  <c r="M90" i="11"/>
  <c r="M89" i="1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G154" i="12"/>
  <c r="F154" i="12"/>
  <c r="G153" i="12"/>
  <c r="F153" i="12"/>
  <c r="G155" i="12"/>
  <c r="F155" i="12"/>
  <c r="E27" i="27" l="1"/>
  <c r="M27" i="27"/>
  <c r="E25" i="27"/>
  <c r="M25" i="27"/>
  <c r="M26" i="27"/>
  <c r="E26" i="27"/>
  <c r="E71" i="27"/>
  <c r="M71" i="27"/>
  <c r="E51" i="27"/>
  <c r="M51" i="27"/>
  <c r="M24" i="27"/>
  <c r="E24" i="27"/>
  <c r="M68" i="27"/>
  <c r="E68" i="27"/>
  <c r="E65" i="27"/>
  <c r="M65" i="27"/>
  <c r="E43" i="27"/>
  <c r="M43" i="27"/>
  <c r="E61" i="27"/>
  <c r="M61" i="27"/>
  <c r="E49" i="27"/>
  <c r="M49" i="27"/>
  <c r="M8" i="27"/>
  <c r="E8" i="27"/>
  <c r="E66" i="27"/>
  <c r="M66" i="27"/>
  <c r="E13" i="27"/>
  <c r="M13" i="27"/>
  <c r="E47" i="27"/>
  <c r="M47" i="27"/>
  <c r="M70" i="27"/>
  <c r="E70" i="27"/>
  <c r="E20" i="27"/>
  <c r="M20" i="27"/>
  <c r="E19" i="27"/>
  <c r="M19" i="27"/>
  <c r="E69" i="27"/>
  <c r="M69" i="27"/>
  <c r="E64" i="27"/>
  <c r="M64" i="27"/>
  <c r="E75" i="27"/>
  <c r="M75" i="27"/>
  <c r="E45" i="27"/>
  <c r="M45" i="27"/>
  <c r="E41" i="27"/>
  <c r="M41" i="27"/>
  <c r="E23" i="27"/>
  <c r="M23" i="27"/>
  <c r="E46" i="27"/>
  <c r="M46" i="27"/>
  <c r="M12" i="27"/>
  <c r="E12" i="27"/>
  <c r="E48" i="27"/>
  <c r="M48" i="27"/>
  <c r="E10" i="27"/>
  <c r="M10" i="27"/>
  <c r="E52" i="27"/>
  <c r="M52" i="27"/>
  <c r="E11" i="27"/>
  <c r="M11" i="27"/>
  <c r="E39" i="27"/>
  <c r="M39" i="27"/>
  <c r="E76" i="27"/>
  <c r="M76" i="27"/>
  <c r="E16" i="27"/>
  <c r="M16" i="27"/>
  <c r="E55" i="27"/>
  <c r="M55" i="27"/>
  <c r="E29" i="27"/>
  <c r="M29" i="27"/>
  <c r="E74" i="27"/>
  <c r="M74" i="27"/>
  <c r="E6" i="27"/>
  <c r="M6" i="27"/>
  <c r="E21" i="27"/>
  <c r="M21" i="27"/>
  <c r="E54" i="27"/>
  <c r="M54" i="27"/>
  <c r="E38" i="27"/>
  <c r="M38" i="27"/>
  <c r="E59" i="27"/>
  <c r="M59" i="27"/>
  <c r="E18" i="27"/>
  <c r="M18" i="27"/>
  <c r="E34" i="27"/>
  <c r="M34" i="27"/>
  <c r="E14" i="27"/>
  <c r="M14" i="27"/>
  <c r="E5" i="27"/>
  <c r="M5" i="27"/>
  <c r="E42" i="27"/>
  <c r="M42" i="27"/>
  <c r="E9" i="27"/>
  <c r="M9" i="27"/>
  <c r="E32" i="27"/>
  <c r="M32" i="27"/>
  <c r="E60" i="27"/>
  <c r="M60" i="27"/>
  <c r="E7" i="27"/>
  <c r="M7" i="27"/>
  <c r="E57" i="27"/>
  <c r="M57" i="27"/>
  <c r="E31" i="27"/>
  <c r="M31" i="27"/>
  <c r="E33" i="27"/>
  <c r="M33" i="27"/>
  <c r="E62" i="27"/>
  <c r="M62" i="27"/>
  <c r="E30" i="27"/>
  <c r="M30" i="27"/>
  <c r="E17" i="27"/>
  <c r="M17" i="27"/>
  <c r="E44" i="27"/>
  <c r="M44" i="27"/>
  <c r="E53" i="27"/>
  <c r="M53" i="27"/>
  <c r="E28" i="27"/>
  <c r="M28" i="27"/>
  <c r="E37" i="27"/>
  <c r="M37" i="27"/>
  <c r="E15" i="27"/>
  <c r="M15" i="27"/>
  <c r="J56" i="27"/>
  <c r="H56" i="27"/>
  <c r="I56" i="27" s="1"/>
  <c r="E63" i="27"/>
  <c r="M63" i="27"/>
  <c r="M40" i="27"/>
  <c r="M50" i="27"/>
  <c r="E22" i="27"/>
  <c r="M22" i="27"/>
  <c r="E36" i="27"/>
  <c r="M36" i="27"/>
  <c r="E4" i="27"/>
  <c r="M4" i="27"/>
  <c r="E35" i="27"/>
  <c r="M35" i="27"/>
  <c r="E67" i="27"/>
  <c r="M67" i="27"/>
  <c r="E72" i="27"/>
  <c r="M72" i="27"/>
  <c r="E73" i="27"/>
  <c r="M73" i="27"/>
  <c r="E58" i="27"/>
  <c r="M58" i="27"/>
  <c r="E78" i="27"/>
  <c r="J78" i="27" s="1"/>
  <c r="M78" i="27"/>
  <c r="E3" i="27"/>
  <c r="M3" i="27"/>
  <c r="E40" i="27"/>
  <c r="E50" i="27"/>
  <c r="E79" i="27"/>
  <c r="E77" i="27"/>
  <c r="K21" i="13"/>
  <c r="J21" i="13"/>
  <c r="I21" i="13"/>
  <c r="H21" i="13"/>
  <c r="G21" i="13"/>
  <c r="F21" i="13"/>
  <c r="E21" i="13"/>
  <c r="D21" i="13"/>
  <c r="C21" i="13"/>
  <c r="B21" i="13"/>
  <c r="K20" i="13"/>
  <c r="J20" i="13"/>
  <c r="I20" i="13"/>
  <c r="H20" i="13"/>
  <c r="G20" i="13"/>
  <c r="F20" i="13"/>
  <c r="E20" i="13"/>
  <c r="D20" i="13"/>
  <c r="C20" i="13"/>
  <c r="B20" i="13"/>
  <c r="K19" i="13"/>
  <c r="J19" i="13"/>
  <c r="I19" i="13"/>
  <c r="H19" i="13"/>
  <c r="G19" i="13"/>
  <c r="F19" i="13"/>
  <c r="E19" i="13"/>
  <c r="D19" i="13"/>
  <c r="C19" i="13"/>
  <c r="B19" i="13"/>
  <c r="K18" i="13"/>
  <c r="J18" i="13"/>
  <c r="I18" i="13"/>
  <c r="H18" i="13"/>
  <c r="G18" i="13"/>
  <c r="F18" i="13"/>
  <c r="E18" i="13"/>
  <c r="D18" i="13"/>
  <c r="C18" i="13"/>
  <c r="B18" i="13"/>
  <c r="K17" i="13"/>
  <c r="J17" i="13"/>
  <c r="I17" i="13"/>
  <c r="H17" i="13"/>
  <c r="G17" i="13"/>
  <c r="F17" i="13"/>
  <c r="E17" i="13"/>
  <c r="D17" i="13"/>
  <c r="C17" i="13"/>
  <c r="B17" i="13"/>
  <c r="K11" i="13"/>
  <c r="J11" i="13"/>
  <c r="I11" i="13"/>
  <c r="H11" i="13"/>
  <c r="G11" i="13"/>
  <c r="F11" i="13"/>
  <c r="E11" i="13"/>
  <c r="D11" i="13"/>
  <c r="C11" i="13"/>
  <c r="B11" i="13"/>
  <c r="K10" i="13"/>
  <c r="J10" i="13"/>
  <c r="I10" i="13"/>
  <c r="H10" i="13"/>
  <c r="G10" i="13"/>
  <c r="F10" i="13"/>
  <c r="E10" i="13"/>
  <c r="D10" i="13"/>
  <c r="C10" i="13"/>
  <c r="B10" i="13"/>
  <c r="K9" i="13"/>
  <c r="J9" i="13"/>
  <c r="I9" i="13"/>
  <c r="H9" i="13"/>
  <c r="G9" i="13"/>
  <c r="F9" i="13"/>
  <c r="E9" i="13"/>
  <c r="D9" i="13"/>
  <c r="C9" i="13"/>
  <c r="B9" i="13"/>
  <c r="J77" i="27" l="1"/>
  <c r="K88" i="12"/>
  <c r="J88" i="12"/>
  <c r="I88" i="12"/>
  <c r="K87" i="12"/>
  <c r="J87" i="12"/>
  <c r="L87" i="12" s="1"/>
  <c r="I87" i="12"/>
  <c r="K86" i="12"/>
  <c r="J86" i="12"/>
  <c r="I86" i="12"/>
  <c r="K85" i="12"/>
  <c r="J85" i="12"/>
  <c r="I85" i="12"/>
  <c r="G88" i="12"/>
  <c r="F88" i="12"/>
  <c r="F87" i="12"/>
  <c r="G86" i="12"/>
  <c r="G87" i="12"/>
  <c r="F85" i="12"/>
  <c r="F86" i="12"/>
  <c r="G85" i="12"/>
  <c r="H87" i="12" l="1"/>
  <c r="L86" i="12"/>
  <c r="H86" i="12" s="1"/>
  <c r="L85" i="12"/>
  <c r="H85" i="12" s="1"/>
  <c r="L88" i="12"/>
  <c r="H88" i="12" s="1"/>
  <c r="D379" i="17" l="1"/>
  <c r="D378" i="17"/>
  <c r="D377" i="17"/>
  <c r="D376" i="17"/>
  <c r="D375" i="17"/>
  <c r="D225" i="17" l="1"/>
  <c r="D223" i="17"/>
  <c r="I226" i="11"/>
  <c r="H225" i="11"/>
  <c r="H226" i="11"/>
  <c r="J226" i="11"/>
  <c r="G226" i="11"/>
  <c r="J225" i="11"/>
  <c r="I225" i="11"/>
  <c r="G225" i="11"/>
  <c r="K226" i="11"/>
  <c r="K225" i="11"/>
  <c r="L225" i="11" l="1"/>
  <c r="L226" i="11"/>
  <c r="F79" i="27" s="1"/>
  <c r="G79" i="27" s="1"/>
  <c r="Q1" i="23"/>
  <c r="F91" i="12"/>
  <c r="G80" i="12"/>
  <c r="H219" i="11"/>
  <c r="H218" i="11"/>
  <c r="L219" i="11" l="1"/>
  <c r="L218" i="11"/>
  <c r="P1" i="17"/>
  <c r="L3" i="11"/>
  <c r="F7" i="12"/>
  <c r="F149" i="12"/>
  <c r="F148" i="12"/>
  <c r="F9" i="12"/>
  <c r="F6" i="12"/>
  <c r="F2" i="12"/>
  <c r="F4" i="12"/>
  <c r="G2" i="12"/>
  <c r="F3" i="12"/>
  <c r="F5" i="12"/>
  <c r="T6" i="12" l="1"/>
  <c r="T4" i="12"/>
  <c r="T5" i="12"/>
  <c r="T3" i="12"/>
  <c r="T7" i="12"/>
  <c r="T2" i="12"/>
  <c r="D229" i="17"/>
  <c r="H36" i="11"/>
  <c r="H37" i="11"/>
  <c r="H28" i="11"/>
  <c r="H29" i="11"/>
  <c r="H119" i="11"/>
  <c r="H111" i="11"/>
  <c r="H77" i="11"/>
  <c r="H89" i="11"/>
  <c r="H144" i="11"/>
  <c r="H49" i="11"/>
  <c r="H126" i="11"/>
  <c r="H58" i="11"/>
  <c r="H150" i="11"/>
  <c r="H177" i="11"/>
  <c r="H127" i="11"/>
  <c r="H120" i="11"/>
  <c r="H179" i="11"/>
  <c r="H161" i="11"/>
  <c r="H220" i="11"/>
  <c r="H59" i="11"/>
  <c r="H160" i="11"/>
  <c r="H209" i="11"/>
  <c r="H215" i="11"/>
  <c r="H109" i="11"/>
  <c r="H115" i="11"/>
  <c r="H50" i="11"/>
  <c r="H88" i="11"/>
  <c r="H162" i="11"/>
  <c r="H110" i="11"/>
  <c r="H118" i="11"/>
  <c r="H97" i="11"/>
  <c r="H66" i="11"/>
  <c r="H76" i="11"/>
  <c r="H91" i="11"/>
  <c r="H80" i="11"/>
  <c r="H217" i="11"/>
  <c r="H196" i="11"/>
  <c r="H60" i="11"/>
  <c r="H72" i="11"/>
  <c r="H82" i="11"/>
  <c r="H57" i="11"/>
  <c r="H15" i="11"/>
  <c r="H42" i="11"/>
  <c r="H78" i="11"/>
  <c r="H40" i="11"/>
  <c r="H100" i="11"/>
  <c r="H43" i="11"/>
  <c r="H81" i="11"/>
  <c r="H92" i="11"/>
  <c r="H114" i="11"/>
  <c r="H198" i="11"/>
  <c r="H41" i="11"/>
  <c r="H73" i="11"/>
  <c r="H35" i="11"/>
  <c r="H65" i="11"/>
  <c r="H23" i="11"/>
  <c r="H63" i="11"/>
  <c r="H121" i="11"/>
  <c r="H17" i="11"/>
  <c r="H93" i="11"/>
  <c r="H64" i="11"/>
  <c r="H61" i="11"/>
  <c r="H24" i="11"/>
  <c r="H113" i="11"/>
  <c r="H13" i="11"/>
  <c r="H62" i="11"/>
  <c r="H71" i="11"/>
  <c r="H116" i="11"/>
  <c r="H55" i="11"/>
  <c r="H27" i="11"/>
  <c r="H146" i="11"/>
  <c r="H8" i="11"/>
  <c r="H54" i="11"/>
  <c r="H79" i="11"/>
  <c r="H75" i="11"/>
  <c r="H56" i="11"/>
  <c r="H74" i="11"/>
  <c r="H112" i="11"/>
  <c r="H67" i="11"/>
  <c r="H70" i="11"/>
  <c r="H21" i="11"/>
  <c r="H34" i="11"/>
  <c r="H136" i="11"/>
  <c r="H46" i="11"/>
  <c r="H45" i="11"/>
  <c r="H47" i="11"/>
  <c r="H33" i="11"/>
  <c r="H48" i="11"/>
  <c r="H31" i="11"/>
  <c r="H26" i="11"/>
  <c r="H30" i="11"/>
  <c r="H25" i="11"/>
  <c r="H12" i="11"/>
  <c r="H7" i="11"/>
  <c r="H11" i="11"/>
  <c r="H10" i="11"/>
  <c r="H16" i="11"/>
  <c r="H9" i="11"/>
  <c r="H83" i="11"/>
  <c r="H123" i="11"/>
  <c r="H38" i="11"/>
  <c r="H143" i="11"/>
  <c r="H99" i="11"/>
  <c r="H216" i="11"/>
  <c r="H210" i="11"/>
  <c r="H32" i="11"/>
  <c r="H20" i="11"/>
  <c r="H168" i="11"/>
  <c r="H102" i="11"/>
  <c r="H53" i="11"/>
  <c r="H190" i="11"/>
  <c r="H164" i="11"/>
  <c r="H140" i="11"/>
  <c r="H170" i="11"/>
  <c r="H52" i="11"/>
  <c r="H129" i="11"/>
  <c r="H104" i="11"/>
  <c r="H84" i="11"/>
  <c r="H197" i="11"/>
  <c r="H145" i="11"/>
  <c r="H107" i="11"/>
  <c r="H69" i="11"/>
  <c r="H147" i="11"/>
  <c r="H106" i="11"/>
  <c r="H108" i="11"/>
  <c r="H125" i="11"/>
  <c r="H51" i="11"/>
  <c r="H149" i="11"/>
  <c r="H163" i="11"/>
  <c r="H166" i="11"/>
  <c r="H44" i="11"/>
  <c r="H189" i="11"/>
  <c r="H95" i="11"/>
  <c r="H122" i="11"/>
  <c r="H130" i="11"/>
  <c r="H188" i="11"/>
  <c r="H192" i="11"/>
  <c r="H90" i="11"/>
  <c r="H98" i="11"/>
  <c r="H117" i="11"/>
  <c r="H124" i="11"/>
  <c r="H94" i="11"/>
  <c r="H39" i="11"/>
  <c r="H14" i="11"/>
  <c r="H148" i="11"/>
  <c r="H173" i="11"/>
  <c r="H205" i="11"/>
  <c r="H87" i="11"/>
  <c r="H172" i="11"/>
  <c r="H128" i="11"/>
  <c r="H155" i="11"/>
  <c r="H167" i="11"/>
  <c r="H199" i="11"/>
  <c r="H85" i="11"/>
  <c r="H134" i="11"/>
  <c r="H158" i="11"/>
  <c r="H174" i="11"/>
  <c r="H207" i="11"/>
  <c r="H221" i="11"/>
  <c r="H101" i="11"/>
  <c r="H194" i="11"/>
  <c r="H200" i="11"/>
  <c r="H19" i="11"/>
  <c r="H184" i="11"/>
  <c r="H86" i="11"/>
  <c r="H171" i="11"/>
  <c r="H154" i="11"/>
  <c r="H185" i="11"/>
  <c r="H203" i="11"/>
  <c r="H153" i="11"/>
  <c r="H105" i="11"/>
  <c r="H224" i="11"/>
  <c r="H138" i="11"/>
  <c r="H137" i="11"/>
  <c r="H208" i="11"/>
  <c r="H103" i="11"/>
  <c r="H159" i="11"/>
  <c r="H151" i="11"/>
  <c r="H178" i="11"/>
  <c r="H223" i="11"/>
  <c r="H182" i="11"/>
  <c r="H131" i="11"/>
  <c r="H165" i="11"/>
  <c r="H96" i="11"/>
  <c r="H141" i="11"/>
  <c r="H139" i="11"/>
  <c r="H204" i="11"/>
  <c r="H180" i="11"/>
  <c r="H133" i="11"/>
  <c r="H214" i="11"/>
  <c r="H206" i="11"/>
  <c r="H132" i="11"/>
  <c r="H183" i="11"/>
  <c r="H181" i="11"/>
  <c r="H169" i="11"/>
  <c r="H142" i="11"/>
  <c r="H157" i="11"/>
  <c r="H187" i="11"/>
  <c r="H156" i="11"/>
  <c r="H191" i="11"/>
  <c r="H135" i="11"/>
  <c r="H176" i="11"/>
  <c r="H186" i="11"/>
  <c r="H175" i="11"/>
  <c r="H195" i="11"/>
  <c r="H222" i="11"/>
  <c r="H22" i="11"/>
  <c r="H193" i="11"/>
  <c r="H18" i="11"/>
  <c r="H202" i="11"/>
  <c r="H201" i="11"/>
  <c r="H68" i="11"/>
  <c r="H152" i="11"/>
  <c r="G218" i="11"/>
  <c r="L165" i="11" l="1"/>
  <c r="L184" i="11"/>
  <c r="L189" i="11"/>
  <c r="L135" i="11"/>
  <c r="F44" i="27" s="1"/>
  <c r="G44" i="27" s="1"/>
  <c r="L107" i="11"/>
  <c r="L120" i="11"/>
  <c r="L19" i="11"/>
  <c r="F31" i="27" s="1"/>
  <c r="G31" i="27" s="1"/>
  <c r="L164" i="11"/>
  <c r="L138" i="11"/>
  <c r="L97" i="11"/>
  <c r="L183" i="11"/>
  <c r="L32" i="11"/>
  <c r="F38" i="27" s="1"/>
  <c r="G38" i="27" s="1"/>
  <c r="L34" i="11"/>
  <c r="F23" i="27" s="1"/>
  <c r="G23" i="27" s="1"/>
  <c r="L21" i="11"/>
  <c r="F72" i="27" s="1"/>
  <c r="G72" i="27" s="1"/>
  <c r="L55" i="11"/>
  <c r="F60" i="27" s="1"/>
  <c r="G60" i="27" s="1"/>
  <c r="L60" i="11"/>
  <c r="F14" i="27" s="1"/>
  <c r="G14" i="27" s="1"/>
  <c r="L29" i="11"/>
  <c r="L206" i="11"/>
  <c r="L199" i="11"/>
  <c r="L111" i="11"/>
  <c r="L190" i="11"/>
  <c r="L90" i="11"/>
  <c r="L129" i="11"/>
  <c r="L84" i="11"/>
  <c r="L215" i="11"/>
  <c r="F18" i="27" s="1"/>
  <c r="G18" i="27" s="1"/>
  <c r="L172" i="11"/>
  <c r="L31" i="11"/>
  <c r="F37" i="27" s="1"/>
  <c r="G37" i="27" s="1"/>
  <c r="L81" i="11"/>
  <c r="F73" i="27" s="1"/>
  <c r="G73" i="27" s="1"/>
  <c r="L43" i="11"/>
  <c r="F49" i="27" s="1"/>
  <c r="G49" i="27" s="1"/>
  <c r="L196" i="11"/>
  <c r="F77" i="27" s="1"/>
  <c r="G77" i="27" s="1"/>
  <c r="L112" i="11"/>
  <c r="F74" i="27" s="1"/>
  <c r="G74" i="27" s="1"/>
  <c r="L37" i="11"/>
  <c r="L208" i="11"/>
  <c r="L39" i="11"/>
  <c r="L162" i="11"/>
  <c r="L174" i="11"/>
  <c r="L99" i="11"/>
  <c r="L204" i="11"/>
  <c r="L145" i="11"/>
  <c r="L167" i="11"/>
  <c r="L200" i="11"/>
  <c r="L136" i="11"/>
  <c r="F45" i="27" s="1"/>
  <c r="G45" i="27" s="1"/>
  <c r="L8" i="11"/>
  <c r="F63" i="27" s="1"/>
  <c r="G63" i="27" s="1"/>
  <c r="L57" i="11"/>
  <c r="F51" i="27" s="1"/>
  <c r="G51" i="27" s="1"/>
  <c r="L17" i="11"/>
  <c r="F71" i="27" s="1"/>
  <c r="G71" i="27" s="1"/>
  <c r="L100" i="11"/>
  <c r="L28" i="11"/>
  <c r="F35" i="27" s="1"/>
  <c r="G35" i="27" s="1"/>
  <c r="L87" i="11"/>
  <c r="F52" i="27" s="1"/>
  <c r="G52" i="27" s="1"/>
  <c r="L88" i="11"/>
  <c r="L192" i="11"/>
  <c r="L148" i="11"/>
  <c r="L108" i="11"/>
  <c r="L175" i="11"/>
  <c r="L137" i="11"/>
  <c r="L157" i="11"/>
  <c r="L95" i="11"/>
  <c r="L188" i="11"/>
  <c r="L205" i="11"/>
  <c r="F17" i="27" s="1"/>
  <c r="G17" i="27" s="1"/>
  <c r="L154" i="11"/>
  <c r="L26" i="11"/>
  <c r="F34" i="27" s="1"/>
  <c r="G34" i="27" s="1"/>
  <c r="L13" i="11"/>
  <c r="F68" i="27" s="1"/>
  <c r="G68" i="27" s="1"/>
  <c r="L62" i="11"/>
  <c r="F16" i="27" s="1"/>
  <c r="G16" i="27" s="1"/>
  <c r="L64" i="11"/>
  <c r="F8" i="27" s="1"/>
  <c r="G8" i="27" s="1"/>
  <c r="L36" i="11"/>
  <c r="F39" i="27" s="1"/>
  <c r="G39" i="27" s="1"/>
  <c r="L14" i="11"/>
  <c r="F29" i="27" s="1"/>
  <c r="G29" i="27" s="1"/>
  <c r="L94" i="11"/>
  <c r="L50" i="11"/>
  <c r="F25" i="27" s="1"/>
  <c r="G25" i="27" s="1"/>
  <c r="L153" i="11"/>
  <c r="L185" i="11"/>
  <c r="L150" i="11"/>
  <c r="L163" i="11"/>
  <c r="F46" i="27" s="1"/>
  <c r="G46" i="27" s="1"/>
  <c r="L110" i="11"/>
  <c r="L155" i="11"/>
  <c r="L134" i="11"/>
  <c r="L186" i="11"/>
  <c r="L45" i="11"/>
  <c r="F54" i="27" s="1"/>
  <c r="G54" i="27" s="1"/>
  <c r="L24" i="11"/>
  <c r="F58" i="27" s="1"/>
  <c r="G58" i="27" s="1"/>
  <c r="L40" i="11"/>
  <c r="F19" i="27" s="1"/>
  <c r="G19" i="27" s="1"/>
  <c r="L116" i="11"/>
  <c r="F76" i="27" s="1"/>
  <c r="G76" i="27" s="1"/>
  <c r="L143" i="11"/>
  <c r="L139" i="11"/>
  <c r="L22" i="11"/>
  <c r="L44" i="11"/>
  <c r="F53" i="27" s="1"/>
  <c r="G53" i="27" s="1"/>
  <c r="L130" i="11"/>
  <c r="L159" i="11"/>
  <c r="L209" i="11"/>
  <c r="L168" i="11"/>
  <c r="L210" i="11"/>
  <c r="L158" i="11"/>
  <c r="L176" i="11"/>
  <c r="L195" i="11"/>
  <c r="L16" i="11"/>
  <c r="F70" i="27" s="1"/>
  <c r="G70" i="27" s="1"/>
  <c r="L47" i="11"/>
  <c r="L80" i="11"/>
  <c r="L73" i="11"/>
  <c r="L217" i="11"/>
  <c r="L113" i="11"/>
  <c r="L161" i="11"/>
  <c r="L141" i="11"/>
  <c r="L166" i="11"/>
  <c r="L85" i="11"/>
  <c r="L203" i="11"/>
  <c r="L20" i="11"/>
  <c r="F32" i="27" s="1"/>
  <c r="G32" i="27" s="1"/>
  <c r="L149" i="11"/>
  <c r="L197" i="11"/>
  <c r="L160" i="11"/>
  <c r="L220" i="11"/>
  <c r="F78" i="27" s="1"/>
  <c r="G78" i="27" s="1"/>
  <c r="L10" i="11"/>
  <c r="F65" i="27" s="1"/>
  <c r="G65" i="27" s="1"/>
  <c r="L46" i="11"/>
  <c r="F55" i="27" s="1"/>
  <c r="G55" i="27" s="1"/>
  <c r="L54" i="11"/>
  <c r="F59" i="27" s="1"/>
  <c r="G59" i="27" s="1"/>
  <c r="L27" i="11"/>
  <c r="F7" i="27" s="1"/>
  <c r="G7" i="27" s="1"/>
  <c r="L114" i="11"/>
  <c r="F75" i="27" s="1"/>
  <c r="G75" i="27" s="1"/>
  <c r="L198" i="11"/>
  <c r="F13" i="27" s="1"/>
  <c r="G13" i="27" s="1"/>
  <c r="L140" i="11"/>
  <c r="L109" i="11"/>
  <c r="L123" i="11"/>
  <c r="L202" i="11"/>
  <c r="L52" i="11"/>
  <c r="L207" i="11"/>
  <c r="L169" i="11"/>
  <c r="L103" i="11"/>
  <c r="L152" i="11"/>
  <c r="L171" i="11"/>
  <c r="L222" i="11"/>
  <c r="L147" i="11"/>
  <c r="L11" i="11"/>
  <c r="F66" i="27" s="1"/>
  <c r="G66" i="27" s="1"/>
  <c r="L30" i="11"/>
  <c r="F36" i="27" s="1"/>
  <c r="G36" i="27" s="1"/>
  <c r="L76" i="11"/>
  <c r="L41" i="11"/>
  <c r="F20" i="27" s="1"/>
  <c r="G20" i="27" s="1"/>
  <c r="L72" i="11"/>
  <c r="L125" i="11"/>
  <c r="L83" i="11"/>
  <c r="L221" i="11"/>
  <c r="L132" i="11"/>
  <c r="L102" i="11"/>
  <c r="L18" i="11"/>
  <c r="F30" i="27" s="1"/>
  <c r="G30" i="27" s="1"/>
  <c r="L58" i="11"/>
  <c r="F12" i="27" s="1"/>
  <c r="G12" i="27" s="1"/>
  <c r="L51" i="11"/>
  <c r="L182" i="11"/>
  <c r="L117" i="11"/>
  <c r="L38" i="11"/>
  <c r="F21" i="27" s="1"/>
  <c r="G21" i="27" s="1"/>
  <c r="L53" i="11"/>
  <c r="L98" i="11"/>
  <c r="L7" i="11"/>
  <c r="F62" i="27" s="1"/>
  <c r="G62" i="27" s="1"/>
  <c r="L25" i="11"/>
  <c r="F33" i="27" s="1"/>
  <c r="G33" i="27" s="1"/>
  <c r="L66" i="11"/>
  <c r="L92" i="11"/>
  <c r="F27" i="27" s="1"/>
  <c r="G27" i="27" s="1"/>
  <c r="L74" i="11"/>
  <c r="L170" i="11"/>
  <c r="L104" i="11"/>
  <c r="L77" i="11"/>
  <c r="L133" i="11"/>
  <c r="L101" i="11"/>
  <c r="L142" i="11"/>
  <c r="L180" i="11"/>
  <c r="L68" i="11"/>
  <c r="L96" i="11"/>
  <c r="L156" i="11"/>
  <c r="L131" i="11"/>
  <c r="L173" i="11"/>
  <c r="L144" i="11"/>
  <c r="L9" i="11"/>
  <c r="F64" i="27" s="1"/>
  <c r="G64" i="27" s="1"/>
  <c r="L48" i="11"/>
  <c r="F41" i="27" s="1"/>
  <c r="G41" i="27" s="1"/>
  <c r="L23" i="11"/>
  <c r="F57" i="27" s="1"/>
  <c r="G57" i="27" s="1"/>
  <c r="L61" i="11"/>
  <c r="F15" i="27" s="1"/>
  <c r="G15" i="27" s="1"/>
  <c r="L121" i="11"/>
  <c r="F10" i="27" s="1"/>
  <c r="G10" i="27" s="1"/>
  <c r="L91" i="11"/>
  <c r="F26" i="27" s="1"/>
  <c r="G26" i="27" s="1"/>
  <c r="L151" i="11"/>
  <c r="L224" i="11"/>
  <c r="L216" i="11"/>
  <c r="L191" i="11"/>
  <c r="L214" i="11"/>
  <c r="L193" i="11"/>
  <c r="L126" i="11"/>
  <c r="F43" i="27" s="1"/>
  <c r="G43" i="27" s="1"/>
  <c r="L89" i="11"/>
  <c r="L194" i="11"/>
  <c r="L124" i="11"/>
  <c r="L69" i="11"/>
  <c r="L59" i="11"/>
  <c r="L178" i="11"/>
  <c r="F47" i="27" s="1"/>
  <c r="G47" i="27" s="1"/>
  <c r="L119" i="11"/>
  <c r="L105" i="11"/>
  <c r="L12" i="11"/>
  <c r="F67" i="27" s="1"/>
  <c r="G67" i="27" s="1"/>
  <c r="L15" i="11"/>
  <c r="F69" i="27" s="1"/>
  <c r="G69" i="27" s="1"/>
  <c r="L65" i="11"/>
  <c r="L35" i="11"/>
  <c r="F4" i="27" s="1"/>
  <c r="G4" i="27" s="1"/>
  <c r="L63" i="11"/>
  <c r="F5" i="27" s="1"/>
  <c r="G5" i="27" s="1"/>
  <c r="L82" i="11"/>
  <c r="F6" i="27" s="1"/>
  <c r="G6" i="27" s="1"/>
  <c r="L115" i="11"/>
  <c r="L181" i="11"/>
  <c r="L177" i="11"/>
  <c r="L128" i="11"/>
  <c r="L86" i="11"/>
  <c r="L201" i="11"/>
  <c r="L187" i="11"/>
  <c r="L127" i="11"/>
  <c r="L49" i="11"/>
  <c r="F24" i="27" s="1"/>
  <c r="G24" i="27" s="1"/>
  <c r="L106" i="11"/>
  <c r="L118" i="11"/>
  <c r="L122" i="11"/>
  <c r="F42" i="27" s="1"/>
  <c r="G42" i="27" s="1"/>
  <c r="L223" i="11"/>
  <c r="L179" i="11"/>
  <c r="L33" i="11"/>
  <c r="F22" i="27" s="1"/>
  <c r="G22" i="27" s="1"/>
  <c r="L75" i="11"/>
  <c r="F61" i="27" s="1"/>
  <c r="G61" i="27" s="1"/>
  <c r="L42" i="11"/>
  <c r="F48" i="27" s="1"/>
  <c r="G48" i="27" s="1"/>
  <c r="L56" i="11"/>
  <c r="L146" i="11"/>
  <c r="F11" i="27" s="1"/>
  <c r="G11" i="27" s="1"/>
  <c r="L93" i="11"/>
  <c r="F9" i="27" s="1"/>
  <c r="G9" i="27" s="1"/>
  <c r="L67" i="11"/>
  <c r="F28" i="27" s="1"/>
  <c r="G28" i="27" s="1"/>
  <c r="L71" i="11"/>
  <c r="L79" i="11"/>
  <c r="L78" i="11"/>
  <c r="L70" i="11"/>
  <c r="I143" i="12"/>
  <c r="F139" i="12"/>
  <c r="F3" i="27" l="1"/>
  <c r="G3" i="27" s="1"/>
  <c r="K78" i="27"/>
  <c r="H78" i="27"/>
  <c r="I78" i="27" s="1"/>
  <c r="F40" i="27"/>
  <c r="G40" i="27" s="1"/>
  <c r="F50" i="27"/>
  <c r="G50" i="27" s="1"/>
  <c r="K77" i="27"/>
  <c r="H77" i="27"/>
  <c r="I77" i="27" s="1"/>
  <c r="Q96" i="27"/>
  <c r="N96" i="27"/>
  <c r="M96" i="27"/>
  <c r="F96" i="27"/>
  <c r="E96" i="27"/>
  <c r="Q95" i="27"/>
  <c r="N95" i="27"/>
  <c r="M95" i="27"/>
  <c r="F95" i="27"/>
  <c r="E95" i="27"/>
  <c r="Q92" i="27"/>
  <c r="N92" i="27"/>
  <c r="M92" i="27"/>
  <c r="F92" i="27"/>
  <c r="E92" i="27"/>
  <c r="Q91" i="27"/>
  <c r="N91" i="27"/>
  <c r="M91" i="27"/>
  <c r="F91" i="27"/>
  <c r="E91" i="27"/>
  <c r="Q90" i="27"/>
  <c r="N90" i="27"/>
  <c r="M90" i="27"/>
  <c r="F90" i="27"/>
  <c r="E90" i="27"/>
  <c r="Q89" i="27"/>
  <c r="N89" i="27"/>
  <c r="M89" i="27"/>
  <c r="F89" i="27"/>
  <c r="E89" i="27"/>
  <c r="Q88" i="27"/>
  <c r="N88" i="27"/>
  <c r="M88" i="27"/>
  <c r="F88" i="27"/>
  <c r="E88" i="27"/>
  <c r="Q87" i="27"/>
  <c r="N87" i="27"/>
  <c r="M87" i="27"/>
  <c r="F87" i="27"/>
  <c r="E87" i="27"/>
  <c r="Q86" i="27"/>
  <c r="N86" i="27"/>
  <c r="M86" i="27"/>
  <c r="F86" i="27"/>
  <c r="E86" i="27"/>
  <c r="Q84" i="27"/>
  <c r="N84" i="27"/>
  <c r="M84" i="27"/>
  <c r="F84" i="27"/>
  <c r="E84" i="27"/>
  <c r="AD79" i="27"/>
  <c r="AD76" i="27"/>
  <c r="AG75" i="27"/>
  <c r="AD75" i="27"/>
  <c r="AG74" i="27"/>
  <c r="AD74" i="27"/>
  <c r="AG73" i="27"/>
  <c r="AD73" i="27"/>
  <c r="AG72" i="27"/>
  <c r="AD72" i="27"/>
  <c r="AG71" i="27"/>
  <c r="AD71" i="27"/>
  <c r="AG70" i="27"/>
  <c r="AD70" i="27"/>
  <c r="AG69" i="27"/>
  <c r="AD69" i="27"/>
  <c r="AG68" i="27"/>
  <c r="AD68" i="27"/>
  <c r="AG67" i="27"/>
  <c r="AD67" i="27"/>
  <c r="AG66" i="27"/>
  <c r="AD66" i="27"/>
  <c r="AG65" i="27"/>
  <c r="AD65" i="27"/>
  <c r="AG64" i="27"/>
  <c r="AD64" i="27"/>
  <c r="AG63" i="27"/>
  <c r="AD63" i="27"/>
  <c r="AG62" i="27"/>
  <c r="AD62" i="27"/>
  <c r="AD61" i="27"/>
  <c r="AD60" i="27"/>
  <c r="AD59" i="27"/>
  <c r="AD58" i="27"/>
  <c r="AD57" i="27"/>
  <c r="L76" i="27" l="1"/>
  <c r="L53" i="27"/>
  <c r="L30" i="27"/>
  <c r="L73" i="27"/>
  <c r="L79" i="27"/>
  <c r="L96" i="27"/>
  <c r="L4" i="27"/>
  <c r="L19" i="27"/>
  <c r="L26" i="27"/>
  <c r="L6" i="27"/>
  <c r="L36" i="27"/>
  <c r="L18" i="27"/>
  <c r="L21" i="27"/>
  <c r="L25" i="27"/>
  <c r="H24" i="27"/>
  <c r="L27" i="27"/>
  <c r="H53" i="27"/>
  <c r="L55" i="27"/>
  <c r="L16" i="27"/>
  <c r="L3" i="27"/>
  <c r="L23" i="27"/>
  <c r="L7" i="27"/>
  <c r="L38" i="27"/>
  <c r="L42" i="27"/>
  <c r="L43" i="27"/>
  <c r="L44" i="27"/>
  <c r="L45" i="27"/>
  <c r="L51" i="27"/>
  <c r="L17" i="27"/>
  <c r="L15" i="27"/>
  <c r="L34" i="27"/>
  <c r="L48" i="27"/>
  <c r="L68" i="27"/>
  <c r="L11" i="27"/>
  <c r="L32" i="27"/>
  <c r="L40" i="27"/>
  <c r="H42" i="27"/>
  <c r="L49" i="27"/>
  <c r="L59" i="27"/>
  <c r="H64" i="27"/>
  <c r="L72" i="27"/>
  <c r="L20" i="27"/>
  <c r="L9" i="27"/>
  <c r="L47" i="27"/>
  <c r="L69" i="27"/>
  <c r="L70" i="27"/>
  <c r="L71" i="27"/>
  <c r="L74" i="27"/>
  <c r="L39" i="27"/>
  <c r="L64" i="27"/>
  <c r="L67" i="27"/>
  <c r="L14" i="27"/>
  <c r="L24" i="27"/>
  <c r="L28" i="27"/>
  <c r="L35" i="27"/>
  <c r="H44" i="27"/>
  <c r="L46" i="27"/>
  <c r="L54" i="27"/>
  <c r="L65" i="27"/>
  <c r="L95" i="27"/>
  <c r="L5" i="27"/>
  <c r="L12" i="27"/>
  <c r="H17" i="27"/>
  <c r="L22" i="27"/>
  <c r="L10" i="27"/>
  <c r="L31" i="27"/>
  <c r="L52" i="27"/>
  <c r="L60" i="27"/>
  <c r="L62" i="27"/>
  <c r="L63" i="27"/>
  <c r="L13" i="27"/>
  <c r="H12" i="27"/>
  <c r="H47" i="27"/>
  <c r="H25" i="27"/>
  <c r="H18" i="27"/>
  <c r="H21" i="27"/>
  <c r="H69" i="27"/>
  <c r="H89" i="27"/>
  <c r="G89" i="27"/>
  <c r="H95" i="27"/>
  <c r="G95" i="27"/>
  <c r="H35" i="27"/>
  <c r="L41" i="27"/>
  <c r="H87" i="27"/>
  <c r="G87" i="27"/>
  <c r="H91" i="27"/>
  <c r="G91" i="27"/>
  <c r="L8" i="27"/>
  <c r="L29" i="27"/>
  <c r="L37" i="27"/>
  <c r="L33" i="27"/>
  <c r="H43" i="27"/>
  <c r="H65" i="27"/>
  <c r="H52" i="27"/>
  <c r="H84" i="27"/>
  <c r="G84" i="27"/>
  <c r="H86" i="27"/>
  <c r="G86" i="27"/>
  <c r="H88" i="27"/>
  <c r="G88" i="27"/>
  <c r="H90" i="27"/>
  <c r="G90" i="27"/>
  <c r="H92" i="27"/>
  <c r="G92" i="27"/>
  <c r="H96" i="27"/>
  <c r="G96" i="27"/>
  <c r="H46" i="27"/>
  <c r="L50" i="27"/>
  <c r="H62" i="27"/>
  <c r="H70" i="27"/>
  <c r="L57" i="27"/>
  <c r="L61" i="27"/>
  <c r="L66" i="27"/>
  <c r="L75" i="27"/>
  <c r="L84" i="27"/>
  <c r="L86" i="27"/>
  <c r="L87" i="27"/>
  <c r="L88" i="27"/>
  <c r="L89" i="27"/>
  <c r="L90" i="27"/>
  <c r="L91" i="27"/>
  <c r="L92" i="27"/>
  <c r="L58" i="27"/>
  <c r="H66" i="27"/>
  <c r="H67" i="27"/>
  <c r="H76" i="27"/>
  <c r="H55" i="27" l="1"/>
  <c r="H54" i="27"/>
  <c r="H51" i="27" l="1"/>
  <c r="H26" i="27"/>
  <c r="H10" i="27"/>
  <c r="H11" i="27"/>
  <c r="H23" i="27" l="1"/>
  <c r="H22" i="27"/>
  <c r="H50" i="27"/>
  <c r="H49" i="27"/>
  <c r="H40" i="27"/>
  <c r="H48" i="27"/>
  <c r="H27" i="27"/>
  <c r="H7" i="27" l="1"/>
  <c r="H8" i="27"/>
  <c r="H68" i="27"/>
  <c r="H73" i="27" l="1"/>
  <c r="H79" i="27"/>
  <c r="H75" i="27"/>
  <c r="H74" i="27"/>
  <c r="H72" i="27"/>
  <c r="H63" i="27"/>
  <c r="H61" i="27"/>
  <c r="H9" i="27"/>
  <c r="H57" i="27" l="1"/>
  <c r="H59" i="27"/>
  <c r="H60" i="27" l="1"/>
  <c r="H58" i="27" l="1"/>
  <c r="H38" i="27" l="1"/>
  <c r="H30" i="27"/>
  <c r="H32" i="27"/>
  <c r="H31" i="27" l="1"/>
  <c r="H29" i="27"/>
  <c r="H41" i="27"/>
  <c r="H45" i="27"/>
  <c r="H36" i="27" l="1"/>
  <c r="H37" i="27"/>
  <c r="H34" i="27"/>
  <c r="H39" i="27"/>
  <c r="M85" i="27" l="1"/>
  <c r="Q85" i="27"/>
  <c r="N85" i="27"/>
  <c r="H33" i="27"/>
  <c r="F85" i="27" l="1"/>
  <c r="E85" i="27"/>
  <c r="L85" i="27"/>
  <c r="H5" i="27" l="1"/>
  <c r="H85" i="27"/>
  <c r="G85" i="27"/>
  <c r="H4" i="27"/>
  <c r="H20" i="27" l="1"/>
  <c r="H16" i="27"/>
  <c r="H14" i="27" l="1"/>
  <c r="H3" i="27" l="1"/>
  <c r="H19" i="27"/>
  <c r="H6" i="27"/>
  <c r="H28" i="27"/>
  <c r="H71" i="27"/>
  <c r="AB96" i="27" l="1"/>
  <c r="X96" i="27"/>
  <c r="T96" i="27"/>
  <c r="J96" i="27" s="1"/>
  <c r="V95" i="27"/>
  <c r="AB92" i="27"/>
  <c r="X92" i="27"/>
  <c r="T92" i="27"/>
  <c r="J92" i="27" s="1"/>
  <c r="V91" i="27"/>
  <c r="AB90" i="27"/>
  <c r="X90" i="27"/>
  <c r="T90" i="27"/>
  <c r="J90" i="27" s="1"/>
  <c r="V89" i="27"/>
  <c r="AB88" i="27"/>
  <c r="X88" i="27"/>
  <c r="T88" i="27"/>
  <c r="J88" i="27" s="1"/>
  <c r="V87" i="27"/>
  <c r="AB86" i="27"/>
  <c r="X86" i="27"/>
  <c r="T86" i="27"/>
  <c r="J86" i="27" s="1"/>
  <c r="V85" i="27"/>
  <c r="AB84" i="27"/>
  <c r="X84" i="27"/>
  <c r="T84" i="27"/>
  <c r="J84" i="27" s="1"/>
  <c r="AA96" i="27"/>
  <c r="W96" i="27"/>
  <c r="I96" i="27" s="1"/>
  <c r="Y95" i="27"/>
  <c r="U95" i="27"/>
  <c r="K95" i="27" s="1"/>
  <c r="AA92" i="27"/>
  <c r="W92" i="27"/>
  <c r="I92" i="27" s="1"/>
  <c r="Y91" i="27"/>
  <c r="U91" i="27"/>
  <c r="K91" i="27" s="1"/>
  <c r="AA90" i="27"/>
  <c r="W90" i="27"/>
  <c r="I90" i="27" s="1"/>
  <c r="Y89" i="27"/>
  <c r="U89" i="27"/>
  <c r="K89" i="27" s="1"/>
  <c r="AA88" i="27"/>
  <c r="W88" i="27"/>
  <c r="I88" i="27" s="1"/>
  <c r="Y87" i="27"/>
  <c r="U87" i="27"/>
  <c r="K87" i="27" s="1"/>
  <c r="AA86" i="27"/>
  <c r="W86" i="27"/>
  <c r="I86" i="27" s="1"/>
  <c r="Y85" i="27"/>
  <c r="U85" i="27"/>
  <c r="K85" i="27" s="1"/>
  <c r="AA84" i="27"/>
  <c r="W84" i="27"/>
  <c r="I84" i="27" s="1"/>
  <c r="V96" i="27"/>
  <c r="AB95" i="27"/>
  <c r="X95" i="27"/>
  <c r="T95" i="27"/>
  <c r="J95" i="27" s="1"/>
  <c r="V92" i="27"/>
  <c r="AB91" i="27"/>
  <c r="X91" i="27"/>
  <c r="T91" i="27"/>
  <c r="J91" i="27" s="1"/>
  <c r="V90" i="27"/>
  <c r="AB89" i="27"/>
  <c r="X89" i="27"/>
  <c r="T89" i="27"/>
  <c r="J89" i="27" s="1"/>
  <c r="V88" i="27"/>
  <c r="AB87" i="27"/>
  <c r="X87" i="27"/>
  <c r="T87" i="27"/>
  <c r="J87" i="27" s="1"/>
  <c r="V86" i="27"/>
  <c r="AB85" i="27"/>
  <c r="X85" i="27"/>
  <c r="T85" i="27"/>
  <c r="J85" i="27" s="1"/>
  <c r="V84" i="27"/>
  <c r="Y96" i="27"/>
  <c r="W95" i="27"/>
  <c r="I95" i="27" s="1"/>
  <c r="Y90" i="27"/>
  <c r="W89" i="27"/>
  <c r="I89" i="27" s="1"/>
  <c r="Y86" i="27"/>
  <c r="W85" i="27"/>
  <c r="I85" i="27" s="1"/>
  <c r="U84" i="27"/>
  <c r="K84" i="27" s="1"/>
  <c r="U96" i="27"/>
  <c r="K96" i="27" s="1"/>
  <c r="AA91" i="27"/>
  <c r="U90" i="27"/>
  <c r="K90" i="27" s="1"/>
  <c r="AA87" i="27"/>
  <c r="U86" i="27"/>
  <c r="K86" i="27" s="1"/>
  <c r="Y92" i="27"/>
  <c r="W91" i="27"/>
  <c r="I91" i="27" s="1"/>
  <c r="Y88" i="27"/>
  <c r="W87" i="27"/>
  <c r="I87" i="27" s="1"/>
  <c r="AA95" i="27"/>
  <c r="U88" i="27"/>
  <c r="K88" i="27" s="1"/>
  <c r="AA85" i="27"/>
  <c r="Y84" i="27"/>
  <c r="U92" i="27"/>
  <c r="K92" i="27" s="1"/>
  <c r="AA89" i="27"/>
  <c r="H13" i="27"/>
  <c r="H15" i="27"/>
  <c r="Z91" i="27" l="1"/>
  <c r="Z95" i="27"/>
  <c r="Z96" i="27"/>
  <c r="Z90" i="27"/>
  <c r="Z84" i="27"/>
  <c r="Z86" i="27"/>
  <c r="Z88" i="27"/>
  <c r="Z92" i="27"/>
  <c r="Z89" i="27"/>
  <c r="Z85" i="27"/>
  <c r="Z87" i="27"/>
  <c r="J75" i="27" l="1"/>
  <c r="K74" i="27"/>
  <c r="J73" i="27"/>
  <c r="K71" i="27"/>
  <c r="I70" i="27"/>
  <c r="I69" i="27"/>
  <c r="I68" i="27"/>
  <c r="I67" i="27"/>
  <c r="K66" i="27"/>
  <c r="K65" i="27"/>
  <c r="J64" i="27"/>
  <c r="J63" i="27"/>
  <c r="K79" i="27"/>
  <c r="K76" i="27"/>
  <c r="I75" i="27"/>
  <c r="J74" i="27"/>
  <c r="I73" i="27"/>
  <c r="K72" i="27"/>
  <c r="J71" i="27"/>
  <c r="J66" i="27"/>
  <c r="J65" i="27"/>
  <c r="I64" i="27"/>
  <c r="I63" i="27"/>
  <c r="K62" i="27"/>
  <c r="J79" i="27"/>
  <c r="J76" i="27"/>
  <c r="I74" i="27"/>
  <c r="J72" i="27"/>
  <c r="I71" i="27"/>
  <c r="K70" i="27"/>
  <c r="K69" i="27"/>
  <c r="K68" i="27"/>
  <c r="K67" i="27"/>
  <c r="I66" i="27"/>
  <c r="I65" i="27"/>
  <c r="J62" i="27"/>
  <c r="I61" i="27"/>
  <c r="I79" i="27"/>
  <c r="K75" i="27"/>
  <c r="I72" i="27"/>
  <c r="J67" i="27"/>
  <c r="J60" i="27"/>
  <c r="J59" i="27"/>
  <c r="I58" i="27"/>
  <c r="K57" i="27"/>
  <c r="K54" i="27"/>
  <c r="K53" i="27"/>
  <c r="J52" i="27"/>
  <c r="K51" i="27"/>
  <c r="J50" i="27"/>
  <c r="J49" i="27"/>
  <c r="I48" i="27"/>
  <c r="I47" i="27"/>
  <c r="K46" i="27"/>
  <c r="I44" i="27"/>
  <c r="I76" i="27"/>
  <c r="I62" i="27"/>
  <c r="K61" i="27"/>
  <c r="I60" i="27"/>
  <c r="I59" i="27"/>
  <c r="J57" i="27"/>
  <c r="K55" i="27"/>
  <c r="J54" i="27"/>
  <c r="J53" i="27"/>
  <c r="I52" i="27"/>
  <c r="J51" i="27"/>
  <c r="I50" i="27"/>
  <c r="I49" i="27"/>
  <c r="J46" i="27"/>
  <c r="K73" i="27"/>
  <c r="J70" i="27"/>
  <c r="K63" i="27"/>
  <c r="J61" i="27"/>
  <c r="K58" i="27"/>
  <c r="I57" i="27"/>
  <c r="J55" i="27"/>
  <c r="I54" i="27"/>
  <c r="I53" i="27"/>
  <c r="I51" i="27"/>
  <c r="K48" i="27"/>
  <c r="K47" i="27"/>
  <c r="I46" i="27"/>
  <c r="J45" i="27"/>
  <c r="K44" i="27"/>
  <c r="K43" i="27"/>
  <c r="I42" i="27"/>
  <c r="K64" i="27"/>
  <c r="K60" i="27"/>
  <c r="J47" i="27"/>
  <c r="K45" i="27"/>
  <c r="J44" i="27"/>
  <c r="I41" i="27"/>
  <c r="J40" i="27"/>
  <c r="J39" i="27"/>
  <c r="I36" i="27"/>
  <c r="I35" i="27"/>
  <c r="K34" i="27"/>
  <c r="K33" i="27"/>
  <c r="J30" i="27"/>
  <c r="J29" i="27"/>
  <c r="K52" i="27"/>
  <c r="J48" i="27"/>
  <c r="J43" i="27"/>
  <c r="I40" i="27"/>
  <c r="I39" i="27"/>
  <c r="K38" i="27"/>
  <c r="K37" i="27"/>
  <c r="J34" i="27"/>
  <c r="J33" i="27"/>
  <c r="K32" i="27"/>
  <c r="K31" i="27"/>
  <c r="I30" i="27"/>
  <c r="I29" i="27"/>
  <c r="K6" i="27"/>
  <c r="K28" i="27"/>
  <c r="J68" i="27"/>
  <c r="J58" i="27"/>
  <c r="I55" i="27"/>
  <c r="K42" i="27"/>
  <c r="K41" i="27"/>
  <c r="J38" i="27"/>
  <c r="J37" i="27"/>
  <c r="K36" i="27"/>
  <c r="K35" i="27"/>
  <c r="I34" i="27"/>
  <c r="I33" i="27"/>
  <c r="J32" i="27"/>
  <c r="J31" i="27"/>
  <c r="J6" i="27"/>
  <c r="J28" i="27"/>
  <c r="K11" i="27"/>
  <c r="K10" i="27"/>
  <c r="K49" i="27"/>
  <c r="I45" i="27"/>
  <c r="J35" i="27"/>
  <c r="I31" i="27"/>
  <c r="K30" i="27"/>
  <c r="I9" i="27"/>
  <c r="I8" i="27"/>
  <c r="I7" i="27"/>
  <c r="I27" i="27"/>
  <c r="J26" i="27"/>
  <c r="K25" i="27"/>
  <c r="I24" i="27"/>
  <c r="K23" i="27"/>
  <c r="I20" i="27"/>
  <c r="J19" i="27"/>
  <c r="K18" i="27"/>
  <c r="I16" i="27"/>
  <c r="J15" i="27"/>
  <c r="K14" i="27"/>
  <c r="I12" i="27"/>
  <c r="J5" i="27"/>
  <c r="I3" i="27"/>
  <c r="J9" i="27"/>
  <c r="I22" i="27"/>
  <c r="J16" i="27"/>
  <c r="K15" i="27"/>
  <c r="I13" i="27"/>
  <c r="J12" i="27"/>
  <c r="J42" i="27"/>
  <c r="K40" i="27"/>
  <c r="I37" i="27"/>
  <c r="J36" i="27"/>
  <c r="K29" i="27"/>
  <c r="I11" i="27"/>
  <c r="I10" i="27"/>
  <c r="I26" i="27"/>
  <c r="J25" i="27"/>
  <c r="J23" i="27"/>
  <c r="K22" i="27"/>
  <c r="K21" i="27"/>
  <c r="I19" i="27"/>
  <c r="J18" i="27"/>
  <c r="K17" i="27"/>
  <c r="I15" i="27"/>
  <c r="J14" i="27"/>
  <c r="K13" i="27"/>
  <c r="I5" i="27"/>
  <c r="K4" i="27"/>
  <c r="J17" i="27"/>
  <c r="I14" i="27"/>
  <c r="K3" i="27"/>
  <c r="I43" i="27"/>
  <c r="I38" i="27"/>
  <c r="J8" i="27"/>
  <c r="J7" i="27"/>
  <c r="J27" i="27"/>
  <c r="K26" i="27"/>
  <c r="J24" i="27"/>
  <c r="J20" i="27"/>
  <c r="K19" i="27"/>
  <c r="I17" i="27"/>
  <c r="I4" i="27"/>
  <c r="J69" i="27"/>
  <c r="K59" i="27"/>
  <c r="K50" i="27"/>
  <c r="J41" i="27"/>
  <c r="K39" i="27"/>
  <c r="I32" i="27"/>
  <c r="I28" i="27"/>
  <c r="J11" i="27"/>
  <c r="J10" i="27"/>
  <c r="K9" i="27"/>
  <c r="K8" i="27"/>
  <c r="K7" i="27"/>
  <c r="K27" i="27"/>
  <c r="I25" i="27"/>
  <c r="K24" i="27"/>
  <c r="I23" i="27"/>
  <c r="J22" i="27"/>
  <c r="J21" i="27"/>
  <c r="K20" i="27"/>
  <c r="I18" i="27"/>
  <c r="K16" i="27"/>
  <c r="J13" i="27"/>
  <c r="K12" i="27"/>
  <c r="J4" i="27"/>
  <c r="I6" i="27"/>
  <c r="I21" i="27"/>
  <c r="K5" i="27"/>
  <c r="J3" i="27"/>
  <c r="AC63" i="27" l="1"/>
  <c r="AE63" i="27" s="1"/>
  <c r="AC67" i="27"/>
  <c r="AE67" i="27" s="1"/>
  <c r="AC3" i="27"/>
  <c r="AC12" i="27"/>
  <c r="AC16" i="27"/>
  <c r="AC46" i="27"/>
  <c r="AC44" i="27"/>
  <c r="AC25" i="27"/>
  <c r="AC23" i="27"/>
  <c r="AC31" i="27"/>
  <c r="AC28" i="27"/>
  <c r="AC48" i="27"/>
  <c r="AC55" i="27"/>
  <c r="AC18" i="27"/>
  <c r="AC51" i="27"/>
  <c r="AC15" i="27"/>
  <c r="AC20" i="27"/>
  <c r="AC24" i="27"/>
  <c r="AC34" i="27"/>
  <c r="AC22" i="27"/>
  <c r="AC4" i="27"/>
  <c r="AC13" i="27"/>
  <c r="AC17" i="27"/>
  <c r="AC21" i="27"/>
  <c r="AC40" i="27"/>
  <c r="AC42" i="27"/>
  <c r="AC57" i="27"/>
  <c r="AE57" i="27" s="1"/>
  <c r="AC43" i="27"/>
  <c r="AC49" i="27"/>
  <c r="AC54" i="27"/>
  <c r="AC60" i="27"/>
  <c r="AE60" i="27" s="1"/>
  <c r="AC68" i="27"/>
  <c r="AE68" i="27" s="1"/>
  <c r="AC76" i="27"/>
  <c r="AE76" i="27" s="1"/>
  <c r="AC19" i="27"/>
  <c r="AC8" i="27"/>
  <c r="AC61" i="27"/>
  <c r="AE61" i="27" s="1"/>
  <c r="AC65" i="27"/>
  <c r="AE65" i="27" s="1"/>
  <c r="AC73" i="27"/>
  <c r="AE73" i="27" s="1"/>
  <c r="AC5" i="27"/>
  <c r="AC11" i="27"/>
  <c r="AC36" i="27"/>
  <c r="AC35" i="27"/>
  <c r="AC41" i="27"/>
  <c r="AC47" i="27"/>
  <c r="AC62" i="27"/>
  <c r="AE62" i="27" s="1"/>
  <c r="AC64" i="27"/>
  <c r="AE64" i="27" s="1"/>
  <c r="AC66" i="27"/>
  <c r="AE66" i="27" s="1"/>
  <c r="AC74" i="27"/>
  <c r="AE74" i="27" s="1"/>
  <c r="AC75" i="27"/>
  <c r="AE75" i="27" s="1"/>
  <c r="AC69" i="27"/>
  <c r="AE69" i="27" s="1"/>
  <c r="AC6" i="27"/>
  <c r="AC10" i="27"/>
  <c r="AC7" i="27"/>
  <c r="AC27" i="27"/>
  <c r="AC30" i="27"/>
  <c r="AC29" i="27"/>
  <c r="AC39" i="27"/>
  <c r="AC32" i="27"/>
  <c r="AC58" i="27"/>
  <c r="AE58" i="27" s="1"/>
  <c r="AC70" i="27"/>
  <c r="AE70" i="27" s="1"/>
  <c r="AC26" i="27"/>
  <c r="AC53" i="27"/>
  <c r="AC9" i="27"/>
  <c r="AC14" i="27"/>
  <c r="AC37" i="27"/>
  <c r="AC33" i="27"/>
  <c r="AC71" i="27"/>
  <c r="AE71" i="27" s="1"/>
  <c r="AC38" i="27"/>
  <c r="AC45" i="27"/>
  <c r="AC50" i="27"/>
  <c r="AC52" i="27"/>
  <c r="AC59" i="27"/>
  <c r="AE59" i="27" s="1"/>
  <c r="AC72" i="27"/>
  <c r="AE72" i="27" s="1"/>
  <c r="AC79" i="27"/>
  <c r="AE79" i="27" s="1"/>
  <c r="F144" i="12"/>
  <c r="F70" i="12"/>
  <c r="F108" i="12"/>
  <c r="F107" i="12"/>
  <c r="F143" i="12"/>
  <c r="I195" i="11"/>
  <c r="F71" i="12"/>
  <c r="F106" i="12"/>
  <c r="K151" i="12" l="1"/>
  <c r="J151" i="12"/>
  <c r="D374" i="17"/>
  <c r="K150" i="12"/>
  <c r="J150" i="12"/>
  <c r="K149" i="12"/>
  <c r="J149" i="12"/>
  <c r="K148" i="12"/>
  <c r="J148" i="12"/>
  <c r="K147" i="12"/>
  <c r="J147" i="12"/>
  <c r="K146" i="12"/>
  <c r="J146" i="12"/>
  <c r="F150" i="12"/>
  <c r="G146" i="12"/>
  <c r="F146" i="12"/>
  <c r="G150" i="12"/>
  <c r="F151" i="12"/>
  <c r="G151" i="12"/>
  <c r="G149" i="12"/>
  <c r="G148" i="12"/>
  <c r="G147" i="12"/>
  <c r="F147" i="12"/>
  <c r="L151" i="12" l="1"/>
  <c r="H151" i="12" s="1"/>
  <c r="L149" i="12"/>
  <c r="H149" i="12" s="1"/>
  <c r="L150" i="12"/>
  <c r="H150" i="12" s="1"/>
  <c r="L148" i="12"/>
  <c r="H148" i="12" s="1"/>
  <c r="L146" i="12"/>
  <c r="H146" i="12" s="1"/>
  <c r="L147" i="12"/>
  <c r="H147" i="12" s="1"/>
  <c r="D395" i="17" l="1"/>
  <c r="D394" i="17"/>
  <c r="D393" i="17"/>
  <c r="D392" i="17"/>
  <c r="D391" i="17"/>
  <c r="D390" i="17"/>
  <c r="D389" i="17"/>
  <c r="D388" i="17"/>
  <c r="D387" i="17"/>
  <c r="D386" i="17"/>
  <c r="D385" i="17"/>
  <c r="D384" i="17"/>
  <c r="D383" i="17" l="1"/>
  <c r="D382" i="17"/>
  <c r="D381" i="17"/>
  <c r="K145" i="12"/>
  <c r="J145" i="12"/>
  <c r="I145" i="12"/>
  <c r="K144" i="12"/>
  <c r="J144" i="12"/>
  <c r="I144" i="12"/>
  <c r="K143" i="12"/>
  <c r="J143" i="12"/>
  <c r="G144" i="12"/>
  <c r="G143" i="12"/>
  <c r="G145" i="12"/>
  <c r="F145" i="12"/>
  <c r="L145" i="12" l="1"/>
  <c r="H145" i="12" s="1"/>
  <c r="L144" i="12"/>
  <c r="H144" i="12" s="1"/>
  <c r="L143" i="12"/>
  <c r="H143" i="12" s="1"/>
  <c r="F140" i="12"/>
  <c r="G5" i="12"/>
  <c r="I98" i="12" l="1"/>
  <c r="F46" i="12"/>
  <c r="D373" i="17" l="1"/>
  <c r="D372" i="17"/>
  <c r="K142" i="12"/>
  <c r="J142" i="12"/>
  <c r="I142" i="12"/>
  <c r="K141" i="12"/>
  <c r="J141" i="12"/>
  <c r="I141" i="12"/>
  <c r="K140" i="12"/>
  <c r="J140" i="12"/>
  <c r="L140" i="12" s="1"/>
  <c r="I140" i="12"/>
  <c r="G140" i="12"/>
  <c r="F142" i="12"/>
  <c r="G142" i="12"/>
  <c r="G141" i="12"/>
  <c r="F141" i="12"/>
  <c r="H140" i="12" l="1"/>
  <c r="L141" i="12"/>
  <c r="H141" i="12" s="1"/>
  <c r="L142" i="12"/>
  <c r="H142" i="12" s="1"/>
  <c r="L2" i="24"/>
  <c r="K2" i="24"/>
  <c r="J2" i="24"/>
  <c r="G2" i="24"/>
  <c r="F2" i="24"/>
  <c r="E2" i="24"/>
  <c r="D2" i="24"/>
  <c r="C2" i="24"/>
  <c r="B2" i="24"/>
  <c r="A2" i="24"/>
  <c r="D380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8" i="17"/>
  <c r="D227" i="17"/>
  <c r="D226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P2" i="17"/>
  <c r="J329" i="17" s="1"/>
  <c r="A21" i="13"/>
  <c r="A20" i="13"/>
  <c r="L19" i="13"/>
  <c r="A19" i="13"/>
  <c r="A18" i="13"/>
  <c r="L17" i="13"/>
  <c r="A17" i="13"/>
  <c r="A16" i="13"/>
  <c r="L15" i="13"/>
  <c r="A15" i="13"/>
  <c r="A14" i="13"/>
  <c r="L13" i="13"/>
  <c r="A13" i="13"/>
  <c r="A12" i="13"/>
  <c r="A11" i="13"/>
  <c r="A10" i="13"/>
  <c r="L9" i="13"/>
  <c r="A9" i="13"/>
  <c r="A8" i="13"/>
  <c r="A7" i="13"/>
  <c r="A6" i="13"/>
  <c r="K139" i="12"/>
  <c r="J139" i="12"/>
  <c r="I139" i="12"/>
  <c r="K138" i="12"/>
  <c r="J138" i="12"/>
  <c r="L138" i="12" s="1"/>
  <c r="I138" i="12"/>
  <c r="K137" i="12"/>
  <c r="J137" i="12"/>
  <c r="L137" i="12" s="1"/>
  <c r="I137" i="12"/>
  <c r="K136" i="12"/>
  <c r="J136" i="12"/>
  <c r="I136" i="12"/>
  <c r="K135" i="12"/>
  <c r="J135" i="12"/>
  <c r="L135" i="12" s="1"/>
  <c r="I135" i="12"/>
  <c r="K134" i="12"/>
  <c r="J134" i="12"/>
  <c r="L134" i="12" s="1"/>
  <c r="I134" i="12"/>
  <c r="K133" i="12"/>
  <c r="J133" i="12"/>
  <c r="L133" i="12" s="1"/>
  <c r="I133" i="12"/>
  <c r="K132" i="12"/>
  <c r="J132" i="12"/>
  <c r="I132" i="12"/>
  <c r="K131" i="12"/>
  <c r="J131" i="12"/>
  <c r="L131" i="12" s="1"/>
  <c r="I131" i="12"/>
  <c r="K130" i="12"/>
  <c r="J130" i="12"/>
  <c r="I130" i="12"/>
  <c r="K129" i="12"/>
  <c r="J129" i="12"/>
  <c r="L129" i="12" s="1"/>
  <c r="I129" i="12"/>
  <c r="K128" i="12"/>
  <c r="J128" i="12"/>
  <c r="L128" i="12" s="1"/>
  <c r="I128" i="12"/>
  <c r="K127" i="12"/>
  <c r="J127" i="12"/>
  <c r="L127" i="12" s="1"/>
  <c r="I127" i="12"/>
  <c r="K126" i="12"/>
  <c r="J126" i="12"/>
  <c r="I126" i="12"/>
  <c r="K125" i="12"/>
  <c r="J125" i="12"/>
  <c r="L125" i="12" s="1"/>
  <c r="I125" i="12"/>
  <c r="K124" i="12"/>
  <c r="J124" i="12"/>
  <c r="L124" i="12" s="1"/>
  <c r="I124" i="12"/>
  <c r="K123" i="12"/>
  <c r="J123" i="12"/>
  <c r="L123" i="12" s="1"/>
  <c r="I123" i="12"/>
  <c r="K122" i="12"/>
  <c r="J122" i="12"/>
  <c r="I122" i="12"/>
  <c r="K121" i="12"/>
  <c r="J121" i="12"/>
  <c r="L121" i="12" s="1"/>
  <c r="I121" i="12"/>
  <c r="K120" i="12"/>
  <c r="J120" i="12"/>
  <c r="L120" i="12" s="1"/>
  <c r="I120" i="12"/>
  <c r="K119" i="12"/>
  <c r="J119" i="12"/>
  <c r="L119" i="12" s="1"/>
  <c r="I119" i="12"/>
  <c r="K118" i="12"/>
  <c r="J118" i="12"/>
  <c r="L118" i="12" s="1"/>
  <c r="I118" i="12"/>
  <c r="K117" i="12"/>
  <c r="J117" i="12"/>
  <c r="L117" i="12" s="1"/>
  <c r="I117" i="12"/>
  <c r="K116" i="12"/>
  <c r="J116" i="12"/>
  <c r="L116" i="12" s="1"/>
  <c r="I116" i="12"/>
  <c r="K115" i="12"/>
  <c r="J115" i="12"/>
  <c r="I115" i="12"/>
  <c r="K114" i="12"/>
  <c r="J114" i="12"/>
  <c r="L114" i="12" s="1"/>
  <c r="I114" i="12"/>
  <c r="K113" i="12"/>
  <c r="J113" i="12"/>
  <c r="I113" i="12"/>
  <c r="K112" i="12"/>
  <c r="J112" i="12"/>
  <c r="L112" i="12" s="1"/>
  <c r="I112" i="12"/>
  <c r="K111" i="12"/>
  <c r="J111" i="12"/>
  <c r="I111" i="12"/>
  <c r="K110" i="12"/>
  <c r="J110" i="12"/>
  <c r="L110" i="12" s="1"/>
  <c r="I110" i="12"/>
  <c r="K109" i="12"/>
  <c r="J109" i="12"/>
  <c r="I109" i="12"/>
  <c r="K108" i="12"/>
  <c r="J108" i="12"/>
  <c r="L108" i="12" s="1"/>
  <c r="I108" i="12"/>
  <c r="K107" i="12"/>
  <c r="J107" i="12"/>
  <c r="L107" i="12" s="1"/>
  <c r="I107" i="12"/>
  <c r="K106" i="12"/>
  <c r="J106" i="12"/>
  <c r="L106" i="12" s="1"/>
  <c r="I106" i="12"/>
  <c r="K105" i="12"/>
  <c r="J105" i="12"/>
  <c r="I105" i="12"/>
  <c r="K104" i="12"/>
  <c r="J104" i="12"/>
  <c r="L104" i="12" s="1"/>
  <c r="I104" i="12"/>
  <c r="K103" i="12"/>
  <c r="J103" i="12"/>
  <c r="L103" i="12" s="1"/>
  <c r="I103" i="12"/>
  <c r="K102" i="12"/>
  <c r="J102" i="12"/>
  <c r="L102" i="12" s="1"/>
  <c r="I102" i="12"/>
  <c r="K101" i="12"/>
  <c r="J101" i="12"/>
  <c r="I101" i="12"/>
  <c r="K100" i="12"/>
  <c r="J100" i="12"/>
  <c r="L100" i="12" s="1"/>
  <c r="I100" i="12"/>
  <c r="K99" i="12"/>
  <c r="J99" i="12"/>
  <c r="L99" i="12" s="1"/>
  <c r="I99" i="12"/>
  <c r="K98" i="12"/>
  <c r="J98" i="12"/>
  <c r="L98" i="12" s="1"/>
  <c r="K97" i="12"/>
  <c r="J97" i="12"/>
  <c r="I97" i="12"/>
  <c r="K96" i="12"/>
  <c r="J96" i="12"/>
  <c r="L96" i="12" s="1"/>
  <c r="I96" i="12"/>
  <c r="K95" i="12"/>
  <c r="J95" i="12"/>
  <c r="I95" i="12"/>
  <c r="K94" i="12"/>
  <c r="J94" i="12"/>
  <c r="L94" i="12" s="1"/>
  <c r="I94" i="12"/>
  <c r="K93" i="12"/>
  <c r="J93" i="12"/>
  <c r="I93" i="12"/>
  <c r="K92" i="12"/>
  <c r="J92" i="12"/>
  <c r="L92" i="12" s="1"/>
  <c r="I92" i="12"/>
  <c r="K91" i="12"/>
  <c r="J91" i="12"/>
  <c r="I91" i="12"/>
  <c r="K90" i="12"/>
  <c r="J90" i="12"/>
  <c r="L90" i="12" s="1"/>
  <c r="I90" i="12"/>
  <c r="K89" i="12"/>
  <c r="J89" i="12"/>
  <c r="L89" i="12" s="1"/>
  <c r="I89" i="12"/>
  <c r="K84" i="12"/>
  <c r="J84" i="12"/>
  <c r="L84" i="12" s="1"/>
  <c r="I84" i="12"/>
  <c r="K83" i="12"/>
  <c r="J83" i="12"/>
  <c r="I83" i="12"/>
  <c r="K82" i="12"/>
  <c r="J82" i="12"/>
  <c r="L82" i="12" s="1"/>
  <c r="I82" i="12"/>
  <c r="K81" i="12"/>
  <c r="J81" i="12"/>
  <c r="I81" i="12"/>
  <c r="K80" i="12"/>
  <c r="J80" i="12"/>
  <c r="L80" i="12" s="1"/>
  <c r="I80" i="12"/>
  <c r="K79" i="12"/>
  <c r="J79" i="12"/>
  <c r="I79" i="12"/>
  <c r="K78" i="12"/>
  <c r="J78" i="12"/>
  <c r="L78" i="12" s="1"/>
  <c r="I78" i="12"/>
  <c r="K77" i="12"/>
  <c r="J77" i="12"/>
  <c r="L77" i="12" s="1"/>
  <c r="I77" i="12"/>
  <c r="K76" i="12"/>
  <c r="J76" i="12"/>
  <c r="L76" i="12" s="1"/>
  <c r="I76" i="12"/>
  <c r="K75" i="12"/>
  <c r="J75" i="12"/>
  <c r="I75" i="12"/>
  <c r="K74" i="12"/>
  <c r="J74" i="12"/>
  <c r="L74" i="12" s="1"/>
  <c r="I74" i="12"/>
  <c r="K73" i="12"/>
  <c r="J73" i="12"/>
  <c r="I73" i="12"/>
  <c r="K72" i="12"/>
  <c r="J72" i="12"/>
  <c r="L72" i="12" s="1"/>
  <c r="I72" i="12"/>
  <c r="K71" i="12"/>
  <c r="J71" i="12"/>
  <c r="L71" i="12" s="1"/>
  <c r="I71" i="12"/>
  <c r="K70" i="12"/>
  <c r="J70" i="12"/>
  <c r="L70" i="12" s="1"/>
  <c r="I70" i="12"/>
  <c r="K69" i="12"/>
  <c r="J69" i="12"/>
  <c r="L69" i="12" s="1"/>
  <c r="I69" i="12"/>
  <c r="K68" i="12"/>
  <c r="J68" i="12"/>
  <c r="L68" i="12" s="1"/>
  <c r="I68" i="12"/>
  <c r="K67" i="12"/>
  <c r="J67" i="12"/>
  <c r="I67" i="12"/>
  <c r="K66" i="12"/>
  <c r="J66" i="12"/>
  <c r="L66" i="12" s="1"/>
  <c r="I66" i="12"/>
  <c r="K65" i="12"/>
  <c r="J65" i="12"/>
  <c r="I65" i="12"/>
  <c r="K64" i="12"/>
  <c r="J64" i="12"/>
  <c r="L64" i="12" s="1"/>
  <c r="I64" i="12"/>
  <c r="K63" i="12"/>
  <c r="J63" i="12"/>
  <c r="L63" i="12" s="1"/>
  <c r="I63" i="12"/>
  <c r="K62" i="12"/>
  <c r="J62" i="12"/>
  <c r="L62" i="12" s="1"/>
  <c r="I62" i="12"/>
  <c r="K61" i="12"/>
  <c r="J61" i="12"/>
  <c r="I61" i="12"/>
  <c r="K60" i="12"/>
  <c r="J60" i="12"/>
  <c r="L60" i="12" s="1"/>
  <c r="I60" i="12"/>
  <c r="K59" i="12"/>
  <c r="J59" i="12"/>
  <c r="L59" i="12" s="1"/>
  <c r="I59" i="12"/>
  <c r="K58" i="12"/>
  <c r="J58" i="12"/>
  <c r="L58" i="12" s="1"/>
  <c r="I58" i="12"/>
  <c r="K57" i="12"/>
  <c r="J57" i="12"/>
  <c r="L57" i="12" s="1"/>
  <c r="I57" i="12"/>
  <c r="K56" i="12"/>
  <c r="J56" i="12"/>
  <c r="L56" i="12" s="1"/>
  <c r="I56" i="12"/>
  <c r="K55" i="12"/>
  <c r="J55" i="12"/>
  <c r="I55" i="12"/>
  <c r="K54" i="12"/>
  <c r="J54" i="12"/>
  <c r="L54" i="12" s="1"/>
  <c r="I54" i="12"/>
  <c r="K53" i="12"/>
  <c r="J53" i="12"/>
  <c r="I53" i="12"/>
  <c r="K52" i="12"/>
  <c r="J52" i="12"/>
  <c r="L52" i="12" s="1"/>
  <c r="I52" i="12"/>
  <c r="K51" i="12"/>
  <c r="J51" i="12"/>
  <c r="L51" i="12" s="1"/>
  <c r="I51" i="12"/>
  <c r="K50" i="12"/>
  <c r="J50" i="12"/>
  <c r="I50" i="12"/>
  <c r="K49" i="12"/>
  <c r="J49" i="12"/>
  <c r="I49" i="12"/>
  <c r="K48" i="12"/>
  <c r="J48" i="12"/>
  <c r="L48" i="12" s="1"/>
  <c r="I48" i="12"/>
  <c r="K47" i="12"/>
  <c r="J47" i="12"/>
  <c r="I47" i="12"/>
  <c r="K46" i="12"/>
  <c r="J46" i="12"/>
  <c r="L46" i="12" s="1"/>
  <c r="I46" i="12"/>
  <c r="K45" i="12"/>
  <c r="J45" i="12"/>
  <c r="I45" i="12"/>
  <c r="K44" i="12"/>
  <c r="J44" i="12"/>
  <c r="I44" i="12"/>
  <c r="K43" i="12"/>
  <c r="J43" i="12"/>
  <c r="I43" i="12"/>
  <c r="K42" i="12"/>
  <c r="J42" i="12"/>
  <c r="L42" i="12" s="1"/>
  <c r="I42" i="12"/>
  <c r="K41" i="12"/>
  <c r="J41" i="12"/>
  <c r="L41" i="12" s="1"/>
  <c r="I41" i="12"/>
  <c r="K40" i="12"/>
  <c r="J40" i="12"/>
  <c r="L40" i="12" s="1"/>
  <c r="I40" i="12"/>
  <c r="K39" i="12"/>
  <c r="J39" i="12"/>
  <c r="L39" i="12" s="1"/>
  <c r="I39" i="12"/>
  <c r="K38" i="12"/>
  <c r="J38" i="12"/>
  <c r="I38" i="12"/>
  <c r="K37" i="12"/>
  <c r="J37" i="12"/>
  <c r="I37" i="12"/>
  <c r="K36" i="12"/>
  <c r="J36" i="12"/>
  <c r="L36" i="12" s="1"/>
  <c r="I36" i="12"/>
  <c r="K35" i="12"/>
  <c r="J35" i="12"/>
  <c r="I35" i="12"/>
  <c r="K34" i="12"/>
  <c r="J34" i="12"/>
  <c r="L34" i="12" s="1"/>
  <c r="I34" i="12"/>
  <c r="K33" i="12"/>
  <c r="J33" i="12"/>
  <c r="L33" i="12" s="1"/>
  <c r="I33" i="12"/>
  <c r="K32" i="12"/>
  <c r="J32" i="12"/>
  <c r="I32" i="12"/>
  <c r="K31" i="12"/>
  <c r="J31" i="12"/>
  <c r="L31" i="12" s="1"/>
  <c r="I31" i="12"/>
  <c r="K30" i="12"/>
  <c r="J30" i="12"/>
  <c r="I30" i="12"/>
  <c r="K29" i="12"/>
  <c r="J29" i="12"/>
  <c r="I29" i="12"/>
  <c r="K28" i="12"/>
  <c r="J28" i="12"/>
  <c r="L28" i="12" s="1"/>
  <c r="I28" i="12"/>
  <c r="K27" i="12"/>
  <c r="J27" i="12"/>
  <c r="I27" i="12"/>
  <c r="K26" i="12"/>
  <c r="J26" i="12"/>
  <c r="L26" i="12" s="1"/>
  <c r="I26" i="12"/>
  <c r="K25" i="12"/>
  <c r="J25" i="12"/>
  <c r="L25" i="12" s="1"/>
  <c r="I25" i="12"/>
  <c r="K24" i="12"/>
  <c r="J24" i="12"/>
  <c r="I24" i="12"/>
  <c r="K23" i="12"/>
  <c r="J23" i="12"/>
  <c r="L23" i="12" s="1"/>
  <c r="I23" i="12"/>
  <c r="K19" i="12"/>
  <c r="J19" i="12"/>
  <c r="I19" i="12"/>
  <c r="K18" i="12"/>
  <c r="J18" i="12"/>
  <c r="L18" i="12" s="1"/>
  <c r="I18" i="12"/>
  <c r="K22" i="12"/>
  <c r="J22" i="12"/>
  <c r="I22" i="12"/>
  <c r="K21" i="12"/>
  <c r="J21" i="12"/>
  <c r="L21" i="12" s="1"/>
  <c r="I21" i="12"/>
  <c r="K20" i="12"/>
  <c r="J20" i="12"/>
  <c r="L20" i="12" s="1"/>
  <c r="I20" i="12"/>
  <c r="K17" i="12"/>
  <c r="J17" i="12"/>
  <c r="L17" i="12" s="1"/>
  <c r="I17" i="12"/>
  <c r="K16" i="12"/>
  <c r="J16" i="12"/>
  <c r="I16" i="12"/>
  <c r="K15" i="12"/>
  <c r="J15" i="12"/>
  <c r="L15" i="12" s="1"/>
  <c r="I15" i="12"/>
  <c r="K14" i="12"/>
  <c r="J14" i="12"/>
  <c r="I14" i="12"/>
  <c r="X13" i="12"/>
  <c r="M87" i="12" s="1"/>
  <c r="B87" i="12" s="1"/>
  <c r="K13" i="12"/>
  <c r="J13" i="12"/>
  <c r="I13" i="12"/>
  <c r="X12" i="12"/>
  <c r="K12" i="12"/>
  <c r="J12" i="12"/>
  <c r="L12" i="12" s="1"/>
  <c r="I12" i="12"/>
  <c r="X11" i="12"/>
  <c r="K11" i="12"/>
  <c r="J11" i="12"/>
  <c r="L11" i="12" s="1"/>
  <c r="I11" i="12"/>
  <c r="X10" i="12"/>
  <c r="M86" i="12" s="1"/>
  <c r="B86" i="12" s="1"/>
  <c r="K10" i="12"/>
  <c r="J10" i="12"/>
  <c r="L10" i="12" s="1"/>
  <c r="I10" i="12"/>
  <c r="X9" i="12"/>
  <c r="K9" i="12"/>
  <c r="J9" i="12"/>
  <c r="L9" i="12" s="1"/>
  <c r="I9" i="12"/>
  <c r="X8" i="12"/>
  <c r="K8" i="12"/>
  <c r="J8" i="12"/>
  <c r="L8" i="12" s="1"/>
  <c r="I8" i="12"/>
  <c r="X7" i="12"/>
  <c r="M85" i="12" s="1"/>
  <c r="B85" i="12" s="1"/>
  <c r="X6" i="12"/>
  <c r="X5" i="12"/>
  <c r="X4" i="12"/>
  <c r="X3" i="12"/>
  <c r="X2" i="12"/>
  <c r="J490" i="23"/>
  <c r="E490" i="23"/>
  <c r="D490" i="23"/>
  <c r="J489" i="23"/>
  <c r="E489" i="23"/>
  <c r="D489" i="23"/>
  <c r="J488" i="23"/>
  <c r="E488" i="23"/>
  <c r="D488" i="23"/>
  <c r="J487" i="23"/>
  <c r="E487" i="23"/>
  <c r="D487" i="23"/>
  <c r="J486" i="23"/>
  <c r="E486" i="23"/>
  <c r="D486" i="23"/>
  <c r="J485" i="23"/>
  <c r="E485" i="23"/>
  <c r="D485" i="23"/>
  <c r="J484" i="23"/>
  <c r="E484" i="23"/>
  <c r="D484" i="23"/>
  <c r="J483" i="23"/>
  <c r="E483" i="23"/>
  <c r="D483" i="23"/>
  <c r="J482" i="23"/>
  <c r="E482" i="23"/>
  <c r="D482" i="23"/>
  <c r="J481" i="23"/>
  <c r="E481" i="23"/>
  <c r="D481" i="23"/>
  <c r="J480" i="23"/>
  <c r="E480" i="23"/>
  <c r="D480" i="23"/>
  <c r="J479" i="23"/>
  <c r="E479" i="23"/>
  <c r="D479" i="23"/>
  <c r="J478" i="23"/>
  <c r="E478" i="23"/>
  <c r="D478" i="23"/>
  <c r="J477" i="23"/>
  <c r="E477" i="23"/>
  <c r="D477" i="23"/>
  <c r="J476" i="23"/>
  <c r="E476" i="23"/>
  <c r="D476" i="23"/>
  <c r="J475" i="23"/>
  <c r="E475" i="23"/>
  <c r="D475" i="23"/>
  <c r="J474" i="23"/>
  <c r="E474" i="23"/>
  <c r="D474" i="23"/>
  <c r="J473" i="23"/>
  <c r="E473" i="23"/>
  <c r="D473" i="23"/>
  <c r="J472" i="23"/>
  <c r="E472" i="23"/>
  <c r="D472" i="23"/>
  <c r="J471" i="23"/>
  <c r="E471" i="23"/>
  <c r="D471" i="23"/>
  <c r="J470" i="23"/>
  <c r="E470" i="23"/>
  <c r="D470" i="23"/>
  <c r="J469" i="23"/>
  <c r="E469" i="23"/>
  <c r="D469" i="23"/>
  <c r="J468" i="23"/>
  <c r="E468" i="23"/>
  <c r="D468" i="23"/>
  <c r="J467" i="23"/>
  <c r="E467" i="23"/>
  <c r="D467" i="23"/>
  <c r="J466" i="23"/>
  <c r="E466" i="23"/>
  <c r="D466" i="23"/>
  <c r="J465" i="23"/>
  <c r="E465" i="23"/>
  <c r="D465" i="23"/>
  <c r="J464" i="23"/>
  <c r="E464" i="23"/>
  <c r="D464" i="23"/>
  <c r="J463" i="23"/>
  <c r="E463" i="23"/>
  <c r="D463" i="23"/>
  <c r="J462" i="23"/>
  <c r="E462" i="23"/>
  <c r="D462" i="23"/>
  <c r="J461" i="23"/>
  <c r="E461" i="23"/>
  <c r="D461" i="23"/>
  <c r="J460" i="23"/>
  <c r="E460" i="23"/>
  <c r="D460" i="23"/>
  <c r="J459" i="23"/>
  <c r="E459" i="23"/>
  <c r="D459" i="23"/>
  <c r="J458" i="23"/>
  <c r="E458" i="23"/>
  <c r="D458" i="23"/>
  <c r="J457" i="23"/>
  <c r="E457" i="23"/>
  <c r="D457" i="23"/>
  <c r="J456" i="23"/>
  <c r="E456" i="23"/>
  <c r="D456" i="23"/>
  <c r="J455" i="23"/>
  <c r="E455" i="23"/>
  <c r="D455" i="23"/>
  <c r="J454" i="23"/>
  <c r="E454" i="23"/>
  <c r="D454" i="23"/>
  <c r="J453" i="23"/>
  <c r="E453" i="23"/>
  <c r="D453" i="23"/>
  <c r="J452" i="23"/>
  <c r="E452" i="23"/>
  <c r="D452" i="23"/>
  <c r="J451" i="23"/>
  <c r="E451" i="23"/>
  <c r="D451" i="23"/>
  <c r="J450" i="23"/>
  <c r="E450" i="23"/>
  <c r="D450" i="23"/>
  <c r="J449" i="23"/>
  <c r="E449" i="23"/>
  <c r="D449" i="23"/>
  <c r="J448" i="23"/>
  <c r="E448" i="23"/>
  <c r="D448" i="23"/>
  <c r="J447" i="23"/>
  <c r="E447" i="23"/>
  <c r="D447" i="23"/>
  <c r="J446" i="23"/>
  <c r="E446" i="23"/>
  <c r="D446" i="23"/>
  <c r="J445" i="23"/>
  <c r="E445" i="23"/>
  <c r="D445" i="23"/>
  <c r="J444" i="23"/>
  <c r="E444" i="23"/>
  <c r="D444" i="23"/>
  <c r="J443" i="23"/>
  <c r="E443" i="23"/>
  <c r="D443" i="23"/>
  <c r="J442" i="23"/>
  <c r="E442" i="23"/>
  <c r="D442" i="23"/>
  <c r="J441" i="23"/>
  <c r="E441" i="23"/>
  <c r="D441" i="23"/>
  <c r="J440" i="23"/>
  <c r="E440" i="23"/>
  <c r="D440" i="23"/>
  <c r="J439" i="23"/>
  <c r="E439" i="23"/>
  <c r="D439" i="23"/>
  <c r="J438" i="23"/>
  <c r="E438" i="23"/>
  <c r="D438" i="23"/>
  <c r="J437" i="23"/>
  <c r="E437" i="23"/>
  <c r="D437" i="23"/>
  <c r="J436" i="23"/>
  <c r="E436" i="23"/>
  <c r="D436" i="23"/>
  <c r="J435" i="23"/>
  <c r="E435" i="23"/>
  <c r="D435" i="23"/>
  <c r="J434" i="23"/>
  <c r="E434" i="23"/>
  <c r="D434" i="23"/>
  <c r="J433" i="23"/>
  <c r="E433" i="23"/>
  <c r="D433" i="23"/>
  <c r="J432" i="23"/>
  <c r="E432" i="23"/>
  <c r="D432" i="23"/>
  <c r="J431" i="23"/>
  <c r="E431" i="23"/>
  <c r="D431" i="23"/>
  <c r="J430" i="23"/>
  <c r="E430" i="23"/>
  <c r="D430" i="23"/>
  <c r="J429" i="23"/>
  <c r="E429" i="23"/>
  <c r="D429" i="23"/>
  <c r="J428" i="23"/>
  <c r="E428" i="23"/>
  <c r="D428" i="23"/>
  <c r="J427" i="23"/>
  <c r="E427" i="23"/>
  <c r="D427" i="23"/>
  <c r="J426" i="23"/>
  <c r="E426" i="23"/>
  <c r="D426" i="23"/>
  <c r="J425" i="23"/>
  <c r="E425" i="23"/>
  <c r="D425" i="23"/>
  <c r="J424" i="23"/>
  <c r="E424" i="23"/>
  <c r="D424" i="23"/>
  <c r="J423" i="23"/>
  <c r="E423" i="23"/>
  <c r="D423" i="23"/>
  <c r="J422" i="23"/>
  <c r="E422" i="23"/>
  <c r="D422" i="23"/>
  <c r="J421" i="23"/>
  <c r="E421" i="23"/>
  <c r="D421" i="23"/>
  <c r="J420" i="23"/>
  <c r="E420" i="23"/>
  <c r="D420" i="23"/>
  <c r="J419" i="23"/>
  <c r="E419" i="23"/>
  <c r="D419" i="23"/>
  <c r="J418" i="23"/>
  <c r="E418" i="23"/>
  <c r="D418" i="23"/>
  <c r="J417" i="23"/>
  <c r="E417" i="23"/>
  <c r="D417" i="23"/>
  <c r="J416" i="23"/>
  <c r="E416" i="23"/>
  <c r="D416" i="23"/>
  <c r="J415" i="23"/>
  <c r="E415" i="23"/>
  <c r="D415" i="23"/>
  <c r="J414" i="23"/>
  <c r="E414" i="23"/>
  <c r="D414" i="23"/>
  <c r="J413" i="23"/>
  <c r="E413" i="23"/>
  <c r="D413" i="23"/>
  <c r="J412" i="23"/>
  <c r="E412" i="23"/>
  <c r="D412" i="23"/>
  <c r="J411" i="23"/>
  <c r="E411" i="23"/>
  <c r="D411" i="23"/>
  <c r="J410" i="23"/>
  <c r="E410" i="23"/>
  <c r="D410" i="23"/>
  <c r="J409" i="23"/>
  <c r="E409" i="23"/>
  <c r="D409" i="23"/>
  <c r="J408" i="23"/>
  <c r="E408" i="23"/>
  <c r="D408" i="23"/>
  <c r="J407" i="23"/>
  <c r="E407" i="23"/>
  <c r="D407" i="23"/>
  <c r="J406" i="23"/>
  <c r="E406" i="23"/>
  <c r="D406" i="23"/>
  <c r="J405" i="23"/>
  <c r="E405" i="23"/>
  <c r="D405" i="23"/>
  <c r="J404" i="23"/>
  <c r="E404" i="23"/>
  <c r="D404" i="23"/>
  <c r="J403" i="23"/>
  <c r="E403" i="23"/>
  <c r="D403" i="23"/>
  <c r="J402" i="23"/>
  <c r="E402" i="23"/>
  <c r="D402" i="23"/>
  <c r="J401" i="23"/>
  <c r="E401" i="23"/>
  <c r="D401" i="23"/>
  <c r="J400" i="23"/>
  <c r="E400" i="23"/>
  <c r="D400" i="23"/>
  <c r="J399" i="23"/>
  <c r="E399" i="23"/>
  <c r="D399" i="23"/>
  <c r="J398" i="23"/>
  <c r="E398" i="23"/>
  <c r="D398" i="23"/>
  <c r="J397" i="23"/>
  <c r="E397" i="23"/>
  <c r="D397" i="23"/>
  <c r="J396" i="23"/>
  <c r="E396" i="23"/>
  <c r="D396" i="23"/>
  <c r="J395" i="23"/>
  <c r="E395" i="23"/>
  <c r="D395" i="23"/>
  <c r="J394" i="23"/>
  <c r="E394" i="23"/>
  <c r="D394" i="23"/>
  <c r="J393" i="23"/>
  <c r="E393" i="23"/>
  <c r="D393" i="23"/>
  <c r="J392" i="23"/>
  <c r="E392" i="23"/>
  <c r="D392" i="23"/>
  <c r="J391" i="23"/>
  <c r="E391" i="23"/>
  <c r="D391" i="23"/>
  <c r="J390" i="23"/>
  <c r="E390" i="23"/>
  <c r="D390" i="23"/>
  <c r="J389" i="23"/>
  <c r="E389" i="23"/>
  <c r="D389" i="23"/>
  <c r="J388" i="23"/>
  <c r="E388" i="23"/>
  <c r="D388" i="23"/>
  <c r="J387" i="23"/>
  <c r="E387" i="23"/>
  <c r="D387" i="23"/>
  <c r="J386" i="23"/>
  <c r="E386" i="23"/>
  <c r="D386" i="23"/>
  <c r="J385" i="23"/>
  <c r="E385" i="23"/>
  <c r="D385" i="23"/>
  <c r="J384" i="23"/>
  <c r="E384" i="23"/>
  <c r="D384" i="23"/>
  <c r="J383" i="23"/>
  <c r="E383" i="23"/>
  <c r="D383" i="23"/>
  <c r="J382" i="23"/>
  <c r="E382" i="23"/>
  <c r="D382" i="23"/>
  <c r="J381" i="23"/>
  <c r="E381" i="23"/>
  <c r="D381" i="23"/>
  <c r="J380" i="23"/>
  <c r="E380" i="23"/>
  <c r="D380" i="23"/>
  <c r="J379" i="23"/>
  <c r="E379" i="23"/>
  <c r="D379" i="23"/>
  <c r="J378" i="23"/>
  <c r="E378" i="23"/>
  <c r="D378" i="23"/>
  <c r="J377" i="23"/>
  <c r="E377" i="23"/>
  <c r="D377" i="23"/>
  <c r="J376" i="23"/>
  <c r="E376" i="23"/>
  <c r="D376" i="23"/>
  <c r="J375" i="23"/>
  <c r="E375" i="23"/>
  <c r="D375" i="23"/>
  <c r="J374" i="23"/>
  <c r="E374" i="23"/>
  <c r="D374" i="23"/>
  <c r="J373" i="23"/>
  <c r="E373" i="23"/>
  <c r="D373" i="23"/>
  <c r="J372" i="23"/>
  <c r="E372" i="23"/>
  <c r="D372" i="23"/>
  <c r="J371" i="23"/>
  <c r="E371" i="23"/>
  <c r="D371" i="23"/>
  <c r="J370" i="23"/>
  <c r="E370" i="23"/>
  <c r="D370" i="23"/>
  <c r="J369" i="23"/>
  <c r="E369" i="23"/>
  <c r="D369" i="23"/>
  <c r="J368" i="23"/>
  <c r="E368" i="23"/>
  <c r="D368" i="23"/>
  <c r="J367" i="23"/>
  <c r="E367" i="23"/>
  <c r="D367" i="23"/>
  <c r="J366" i="23"/>
  <c r="E366" i="23"/>
  <c r="D366" i="23"/>
  <c r="J365" i="23"/>
  <c r="E365" i="23"/>
  <c r="D365" i="23"/>
  <c r="J364" i="23"/>
  <c r="E364" i="23"/>
  <c r="D364" i="23"/>
  <c r="J363" i="23"/>
  <c r="E363" i="23"/>
  <c r="D363" i="23"/>
  <c r="J362" i="23"/>
  <c r="E362" i="23"/>
  <c r="D362" i="23"/>
  <c r="J361" i="23"/>
  <c r="E361" i="23"/>
  <c r="D361" i="23"/>
  <c r="J360" i="23"/>
  <c r="E360" i="23"/>
  <c r="D360" i="23"/>
  <c r="J359" i="23"/>
  <c r="E359" i="23"/>
  <c r="D359" i="23"/>
  <c r="J358" i="23"/>
  <c r="E358" i="23"/>
  <c r="D358" i="23"/>
  <c r="J357" i="23"/>
  <c r="E357" i="23"/>
  <c r="D357" i="23"/>
  <c r="J356" i="23"/>
  <c r="E356" i="23"/>
  <c r="D356" i="23"/>
  <c r="J355" i="23"/>
  <c r="E355" i="23"/>
  <c r="D355" i="23"/>
  <c r="J354" i="23"/>
  <c r="E354" i="23"/>
  <c r="D354" i="23"/>
  <c r="J353" i="23"/>
  <c r="E353" i="23"/>
  <c r="D353" i="23"/>
  <c r="J352" i="23"/>
  <c r="E352" i="23"/>
  <c r="D352" i="23"/>
  <c r="J351" i="23"/>
  <c r="E351" i="23"/>
  <c r="D351" i="23"/>
  <c r="J350" i="23"/>
  <c r="E350" i="23"/>
  <c r="D350" i="23"/>
  <c r="J349" i="23"/>
  <c r="E349" i="23"/>
  <c r="D349" i="23"/>
  <c r="J348" i="23"/>
  <c r="E348" i="23"/>
  <c r="D348" i="23"/>
  <c r="J347" i="23"/>
  <c r="E347" i="23"/>
  <c r="D347" i="23"/>
  <c r="J346" i="23"/>
  <c r="E346" i="23"/>
  <c r="D346" i="23"/>
  <c r="J345" i="23"/>
  <c r="E345" i="23"/>
  <c r="D345" i="23"/>
  <c r="J344" i="23"/>
  <c r="E344" i="23"/>
  <c r="D344" i="23"/>
  <c r="J343" i="23"/>
  <c r="E343" i="23"/>
  <c r="D343" i="23"/>
  <c r="J342" i="23"/>
  <c r="E342" i="23"/>
  <c r="D342" i="23"/>
  <c r="J341" i="23"/>
  <c r="E341" i="23"/>
  <c r="D341" i="23"/>
  <c r="J340" i="23"/>
  <c r="E340" i="23"/>
  <c r="D340" i="23"/>
  <c r="J339" i="23"/>
  <c r="E339" i="23"/>
  <c r="D339" i="23"/>
  <c r="J338" i="23"/>
  <c r="E338" i="23"/>
  <c r="D338" i="23"/>
  <c r="J337" i="23"/>
  <c r="E337" i="23"/>
  <c r="D337" i="23"/>
  <c r="J336" i="23"/>
  <c r="E336" i="23"/>
  <c r="D336" i="23"/>
  <c r="J335" i="23"/>
  <c r="E335" i="23"/>
  <c r="D335" i="23"/>
  <c r="J334" i="23"/>
  <c r="E334" i="23"/>
  <c r="D334" i="23"/>
  <c r="J333" i="23"/>
  <c r="E333" i="23"/>
  <c r="D333" i="23"/>
  <c r="J332" i="23"/>
  <c r="E332" i="23"/>
  <c r="D332" i="23"/>
  <c r="J331" i="23"/>
  <c r="E331" i="23"/>
  <c r="D331" i="23"/>
  <c r="J330" i="23"/>
  <c r="E330" i="23"/>
  <c r="D330" i="23"/>
  <c r="J329" i="23"/>
  <c r="E329" i="23"/>
  <c r="D329" i="23"/>
  <c r="J328" i="23"/>
  <c r="E328" i="23"/>
  <c r="D328" i="23"/>
  <c r="J327" i="23"/>
  <c r="E327" i="23"/>
  <c r="D327" i="23"/>
  <c r="J326" i="23"/>
  <c r="E326" i="23"/>
  <c r="D326" i="23"/>
  <c r="J325" i="23"/>
  <c r="E325" i="23"/>
  <c r="D325" i="23"/>
  <c r="J324" i="23"/>
  <c r="E324" i="23"/>
  <c r="D324" i="23"/>
  <c r="J323" i="23"/>
  <c r="E323" i="23"/>
  <c r="D323" i="23"/>
  <c r="J322" i="23"/>
  <c r="E322" i="23"/>
  <c r="D322" i="23"/>
  <c r="J321" i="23"/>
  <c r="E321" i="23"/>
  <c r="D321" i="23"/>
  <c r="J320" i="23"/>
  <c r="E320" i="23"/>
  <c r="D320" i="23"/>
  <c r="J319" i="23"/>
  <c r="E319" i="23"/>
  <c r="D319" i="23"/>
  <c r="J318" i="23"/>
  <c r="E318" i="23"/>
  <c r="D318" i="23"/>
  <c r="J317" i="23"/>
  <c r="E317" i="23"/>
  <c r="D317" i="23"/>
  <c r="J316" i="23"/>
  <c r="E316" i="23"/>
  <c r="D316" i="23"/>
  <c r="J315" i="23"/>
  <c r="E315" i="23"/>
  <c r="D315" i="23"/>
  <c r="J314" i="23"/>
  <c r="E314" i="23"/>
  <c r="D314" i="23"/>
  <c r="J313" i="23"/>
  <c r="E313" i="23"/>
  <c r="D313" i="23"/>
  <c r="J312" i="23"/>
  <c r="E312" i="23"/>
  <c r="D312" i="23"/>
  <c r="J311" i="23"/>
  <c r="E311" i="23"/>
  <c r="D311" i="23"/>
  <c r="J310" i="23"/>
  <c r="E310" i="23"/>
  <c r="D310" i="23"/>
  <c r="J309" i="23"/>
  <c r="E309" i="23"/>
  <c r="D309" i="23"/>
  <c r="J308" i="23"/>
  <c r="E308" i="23"/>
  <c r="D308" i="23"/>
  <c r="J307" i="23"/>
  <c r="E307" i="23"/>
  <c r="D307" i="23"/>
  <c r="J306" i="23"/>
  <c r="E306" i="23"/>
  <c r="D306" i="23"/>
  <c r="J305" i="23"/>
  <c r="E305" i="23"/>
  <c r="D305" i="23"/>
  <c r="J304" i="23"/>
  <c r="E304" i="23"/>
  <c r="D304" i="23"/>
  <c r="J303" i="23"/>
  <c r="E303" i="23"/>
  <c r="D303" i="23"/>
  <c r="J302" i="23"/>
  <c r="E302" i="23"/>
  <c r="D302" i="23"/>
  <c r="J301" i="23"/>
  <c r="E301" i="23"/>
  <c r="D301" i="23"/>
  <c r="J300" i="23"/>
  <c r="E300" i="23"/>
  <c r="D300" i="23"/>
  <c r="J299" i="23"/>
  <c r="E299" i="23"/>
  <c r="D299" i="23"/>
  <c r="J298" i="23"/>
  <c r="E298" i="23"/>
  <c r="D298" i="23"/>
  <c r="J297" i="23"/>
  <c r="E297" i="23"/>
  <c r="D297" i="23"/>
  <c r="J296" i="23"/>
  <c r="E296" i="23"/>
  <c r="D296" i="23"/>
  <c r="J295" i="23"/>
  <c r="E295" i="23"/>
  <c r="D295" i="23"/>
  <c r="J294" i="23"/>
  <c r="E294" i="23"/>
  <c r="D294" i="23"/>
  <c r="J293" i="23"/>
  <c r="E293" i="23"/>
  <c r="D293" i="23"/>
  <c r="J292" i="23"/>
  <c r="E292" i="23"/>
  <c r="D292" i="23"/>
  <c r="J291" i="23"/>
  <c r="E291" i="23"/>
  <c r="D291" i="23"/>
  <c r="J290" i="23"/>
  <c r="E290" i="23"/>
  <c r="D290" i="23"/>
  <c r="J289" i="23"/>
  <c r="E289" i="23"/>
  <c r="D289" i="23"/>
  <c r="J288" i="23"/>
  <c r="E288" i="23"/>
  <c r="D288" i="23"/>
  <c r="J287" i="23"/>
  <c r="E287" i="23"/>
  <c r="D287" i="23"/>
  <c r="J286" i="23"/>
  <c r="E286" i="23"/>
  <c r="D286" i="23"/>
  <c r="J285" i="23"/>
  <c r="E285" i="23"/>
  <c r="D285" i="23"/>
  <c r="J284" i="23"/>
  <c r="E284" i="23"/>
  <c r="D284" i="23"/>
  <c r="J283" i="23"/>
  <c r="E283" i="23"/>
  <c r="D283" i="23"/>
  <c r="J282" i="23"/>
  <c r="E282" i="23"/>
  <c r="D282" i="23"/>
  <c r="J281" i="23"/>
  <c r="E281" i="23"/>
  <c r="D281" i="23"/>
  <c r="J280" i="23"/>
  <c r="E280" i="23"/>
  <c r="D280" i="23"/>
  <c r="J279" i="23"/>
  <c r="E279" i="23"/>
  <c r="D279" i="23"/>
  <c r="J278" i="23"/>
  <c r="E278" i="23"/>
  <c r="D278" i="23"/>
  <c r="J277" i="23"/>
  <c r="E277" i="23"/>
  <c r="D277" i="23"/>
  <c r="J276" i="23"/>
  <c r="E276" i="23"/>
  <c r="D276" i="23"/>
  <c r="J275" i="23"/>
  <c r="E275" i="23"/>
  <c r="D275" i="23"/>
  <c r="J274" i="23"/>
  <c r="E274" i="23"/>
  <c r="D274" i="23"/>
  <c r="J273" i="23"/>
  <c r="E273" i="23"/>
  <c r="D273" i="23"/>
  <c r="J272" i="23"/>
  <c r="E272" i="23"/>
  <c r="D272" i="23"/>
  <c r="J271" i="23"/>
  <c r="E271" i="23"/>
  <c r="D271" i="23"/>
  <c r="J270" i="23"/>
  <c r="E270" i="23"/>
  <c r="D270" i="23"/>
  <c r="J269" i="23"/>
  <c r="E269" i="23"/>
  <c r="D269" i="23"/>
  <c r="J268" i="23"/>
  <c r="E268" i="23"/>
  <c r="D268" i="23"/>
  <c r="J267" i="23"/>
  <c r="E267" i="23"/>
  <c r="D267" i="23"/>
  <c r="J266" i="23"/>
  <c r="E266" i="23"/>
  <c r="D266" i="23"/>
  <c r="J265" i="23"/>
  <c r="E265" i="23"/>
  <c r="D265" i="23"/>
  <c r="J264" i="23"/>
  <c r="E264" i="23"/>
  <c r="D264" i="23"/>
  <c r="J263" i="23"/>
  <c r="E263" i="23"/>
  <c r="D263" i="23"/>
  <c r="J262" i="23"/>
  <c r="E262" i="23"/>
  <c r="D262" i="23"/>
  <c r="J261" i="23"/>
  <c r="E261" i="23"/>
  <c r="D261" i="23"/>
  <c r="J260" i="23"/>
  <c r="E260" i="23"/>
  <c r="D260" i="23"/>
  <c r="J259" i="23"/>
  <c r="E259" i="23"/>
  <c r="D259" i="23"/>
  <c r="J258" i="23"/>
  <c r="E258" i="23"/>
  <c r="D258" i="23"/>
  <c r="J257" i="23"/>
  <c r="E257" i="23"/>
  <c r="D257" i="23"/>
  <c r="J256" i="23"/>
  <c r="E256" i="23"/>
  <c r="D256" i="23"/>
  <c r="J255" i="23"/>
  <c r="E255" i="23"/>
  <c r="D255" i="23"/>
  <c r="J254" i="23"/>
  <c r="E254" i="23"/>
  <c r="D254" i="23"/>
  <c r="J253" i="23"/>
  <c r="E253" i="23"/>
  <c r="D253" i="23"/>
  <c r="J252" i="23"/>
  <c r="E252" i="23"/>
  <c r="D252" i="23"/>
  <c r="J251" i="23"/>
  <c r="E251" i="23"/>
  <c r="D251" i="23"/>
  <c r="J250" i="23"/>
  <c r="E250" i="23"/>
  <c r="D250" i="23"/>
  <c r="J249" i="23"/>
  <c r="E249" i="23"/>
  <c r="D249" i="23"/>
  <c r="J248" i="23"/>
  <c r="E248" i="23"/>
  <c r="D248" i="23"/>
  <c r="J247" i="23"/>
  <c r="E247" i="23"/>
  <c r="D247" i="23"/>
  <c r="J246" i="23"/>
  <c r="E246" i="23"/>
  <c r="D246" i="23"/>
  <c r="J245" i="23"/>
  <c r="E245" i="23"/>
  <c r="D245" i="23"/>
  <c r="J244" i="23"/>
  <c r="E244" i="23"/>
  <c r="D244" i="23"/>
  <c r="J243" i="23"/>
  <c r="E243" i="23"/>
  <c r="D243" i="23"/>
  <c r="J242" i="23"/>
  <c r="E242" i="23"/>
  <c r="D242" i="23"/>
  <c r="J241" i="23"/>
  <c r="E241" i="23"/>
  <c r="D241" i="23"/>
  <c r="J240" i="23"/>
  <c r="E240" i="23"/>
  <c r="D240" i="23"/>
  <c r="J239" i="23"/>
  <c r="E239" i="23"/>
  <c r="D239" i="23"/>
  <c r="J238" i="23"/>
  <c r="E238" i="23"/>
  <c r="D238" i="23"/>
  <c r="J237" i="23"/>
  <c r="E237" i="23"/>
  <c r="D237" i="23"/>
  <c r="J236" i="23"/>
  <c r="E236" i="23"/>
  <c r="D236" i="23"/>
  <c r="J235" i="23"/>
  <c r="E235" i="23"/>
  <c r="D235" i="23"/>
  <c r="J234" i="23"/>
  <c r="E234" i="23"/>
  <c r="D234" i="23"/>
  <c r="J233" i="23"/>
  <c r="E233" i="23"/>
  <c r="D233" i="23"/>
  <c r="J232" i="23"/>
  <c r="E232" i="23"/>
  <c r="D232" i="23"/>
  <c r="J231" i="23"/>
  <c r="E231" i="23"/>
  <c r="D231" i="23"/>
  <c r="J230" i="23"/>
  <c r="E230" i="23"/>
  <c r="D230" i="23"/>
  <c r="J229" i="23"/>
  <c r="E229" i="23"/>
  <c r="D229" i="23"/>
  <c r="J228" i="23"/>
  <c r="E228" i="23"/>
  <c r="D228" i="23"/>
  <c r="J227" i="23"/>
  <c r="E227" i="23"/>
  <c r="D227" i="23"/>
  <c r="J226" i="23"/>
  <c r="E226" i="23"/>
  <c r="D226" i="23"/>
  <c r="J225" i="23"/>
  <c r="E225" i="23"/>
  <c r="D225" i="23"/>
  <c r="J224" i="23"/>
  <c r="E224" i="23"/>
  <c r="D224" i="23"/>
  <c r="J223" i="23"/>
  <c r="E223" i="23"/>
  <c r="D223" i="23"/>
  <c r="J222" i="23"/>
  <c r="E222" i="23"/>
  <c r="D222" i="23"/>
  <c r="J221" i="23"/>
  <c r="E221" i="23"/>
  <c r="D221" i="23"/>
  <c r="J220" i="23"/>
  <c r="E220" i="23"/>
  <c r="D220" i="23"/>
  <c r="J219" i="23"/>
  <c r="E219" i="23"/>
  <c r="D219" i="23"/>
  <c r="J218" i="23"/>
  <c r="E218" i="23"/>
  <c r="D218" i="23"/>
  <c r="J217" i="23"/>
  <c r="E217" i="23"/>
  <c r="D217" i="23"/>
  <c r="J216" i="23"/>
  <c r="E216" i="23"/>
  <c r="D216" i="23"/>
  <c r="J215" i="23"/>
  <c r="E215" i="23"/>
  <c r="D215" i="23"/>
  <c r="J214" i="23"/>
  <c r="E214" i="23"/>
  <c r="D214" i="23"/>
  <c r="J213" i="23"/>
  <c r="E213" i="23"/>
  <c r="D213" i="23"/>
  <c r="J212" i="23"/>
  <c r="E212" i="23"/>
  <c r="D212" i="23"/>
  <c r="J211" i="23"/>
  <c r="E211" i="23"/>
  <c r="D211" i="23"/>
  <c r="J210" i="23"/>
  <c r="E210" i="23"/>
  <c r="D210" i="23"/>
  <c r="J209" i="23"/>
  <c r="E209" i="23"/>
  <c r="D209" i="23"/>
  <c r="J208" i="23"/>
  <c r="E208" i="23"/>
  <c r="D208" i="23"/>
  <c r="J207" i="23"/>
  <c r="E207" i="23"/>
  <c r="D207" i="23"/>
  <c r="J206" i="23"/>
  <c r="E206" i="23"/>
  <c r="D206" i="23"/>
  <c r="J205" i="23"/>
  <c r="E205" i="23"/>
  <c r="D205" i="23"/>
  <c r="J204" i="23"/>
  <c r="E204" i="23"/>
  <c r="D204" i="23"/>
  <c r="J203" i="23"/>
  <c r="E203" i="23"/>
  <c r="D203" i="23"/>
  <c r="J202" i="23"/>
  <c r="E202" i="23"/>
  <c r="D202" i="23"/>
  <c r="J201" i="23"/>
  <c r="E201" i="23"/>
  <c r="D201" i="23"/>
  <c r="J200" i="23"/>
  <c r="E200" i="23"/>
  <c r="D200" i="23"/>
  <c r="J199" i="23"/>
  <c r="E199" i="23"/>
  <c r="D199" i="23"/>
  <c r="J198" i="23"/>
  <c r="E198" i="23"/>
  <c r="D198" i="23"/>
  <c r="J197" i="23"/>
  <c r="E197" i="23"/>
  <c r="D197" i="23"/>
  <c r="J196" i="23"/>
  <c r="E196" i="23"/>
  <c r="D196" i="23"/>
  <c r="J195" i="23"/>
  <c r="E195" i="23"/>
  <c r="D195" i="23"/>
  <c r="J194" i="23"/>
  <c r="E194" i="23"/>
  <c r="D194" i="23"/>
  <c r="J193" i="23"/>
  <c r="E193" i="23"/>
  <c r="D193" i="23"/>
  <c r="J192" i="23"/>
  <c r="E192" i="23"/>
  <c r="D192" i="23"/>
  <c r="J191" i="23"/>
  <c r="E191" i="23"/>
  <c r="D191" i="23"/>
  <c r="J190" i="23"/>
  <c r="E190" i="23"/>
  <c r="D190" i="23"/>
  <c r="J189" i="23"/>
  <c r="E189" i="23"/>
  <c r="D189" i="23"/>
  <c r="J188" i="23"/>
  <c r="E188" i="23"/>
  <c r="D188" i="23"/>
  <c r="J187" i="23"/>
  <c r="E187" i="23"/>
  <c r="D187" i="23"/>
  <c r="J186" i="23"/>
  <c r="E186" i="23"/>
  <c r="D186" i="23"/>
  <c r="J185" i="23"/>
  <c r="E185" i="23"/>
  <c r="D185" i="23"/>
  <c r="J184" i="23"/>
  <c r="E184" i="23"/>
  <c r="D184" i="23"/>
  <c r="J183" i="23"/>
  <c r="E183" i="23"/>
  <c r="D183" i="23"/>
  <c r="J182" i="23"/>
  <c r="E182" i="23"/>
  <c r="D182" i="23"/>
  <c r="J181" i="23"/>
  <c r="E181" i="23"/>
  <c r="D181" i="23"/>
  <c r="J180" i="23"/>
  <c r="E180" i="23"/>
  <c r="D180" i="23"/>
  <c r="J179" i="23"/>
  <c r="E179" i="23"/>
  <c r="D179" i="23"/>
  <c r="J178" i="23"/>
  <c r="E178" i="23"/>
  <c r="D178" i="23"/>
  <c r="J177" i="23"/>
  <c r="E177" i="23"/>
  <c r="D177" i="23"/>
  <c r="J176" i="23"/>
  <c r="E176" i="23"/>
  <c r="D176" i="23"/>
  <c r="J175" i="23"/>
  <c r="E175" i="23"/>
  <c r="D175" i="23"/>
  <c r="J174" i="23"/>
  <c r="E174" i="23"/>
  <c r="D174" i="23"/>
  <c r="J173" i="23"/>
  <c r="E173" i="23"/>
  <c r="D173" i="23"/>
  <c r="J172" i="23"/>
  <c r="E172" i="23"/>
  <c r="D172" i="23"/>
  <c r="J171" i="23"/>
  <c r="E171" i="23"/>
  <c r="D171" i="23"/>
  <c r="J170" i="23"/>
  <c r="E170" i="23"/>
  <c r="D170" i="23"/>
  <c r="J169" i="23"/>
  <c r="E169" i="23"/>
  <c r="D169" i="23"/>
  <c r="J168" i="23"/>
  <c r="E168" i="23"/>
  <c r="D168" i="23"/>
  <c r="J167" i="23"/>
  <c r="E167" i="23"/>
  <c r="D167" i="23"/>
  <c r="J166" i="23"/>
  <c r="E166" i="23"/>
  <c r="D166" i="23"/>
  <c r="J165" i="23"/>
  <c r="E165" i="23"/>
  <c r="D165" i="23"/>
  <c r="J164" i="23"/>
  <c r="E164" i="23"/>
  <c r="D164" i="23"/>
  <c r="J163" i="23"/>
  <c r="E163" i="23"/>
  <c r="D163" i="23"/>
  <c r="J162" i="23"/>
  <c r="E162" i="23"/>
  <c r="D162" i="23"/>
  <c r="J161" i="23"/>
  <c r="E161" i="23"/>
  <c r="D161" i="23"/>
  <c r="J160" i="23"/>
  <c r="E160" i="23"/>
  <c r="D160" i="23"/>
  <c r="J159" i="23"/>
  <c r="E159" i="23"/>
  <c r="D159" i="23"/>
  <c r="J158" i="23"/>
  <c r="E158" i="23"/>
  <c r="D158" i="23"/>
  <c r="J157" i="23"/>
  <c r="E157" i="23"/>
  <c r="D157" i="23"/>
  <c r="J156" i="23"/>
  <c r="E156" i="23"/>
  <c r="D156" i="23"/>
  <c r="J155" i="23"/>
  <c r="E155" i="23"/>
  <c r="D155" i="23"/>
  <c r="J154" i="23"/>
  <c r="E154" i="23"/>
  <c r="D154" i="23"/>
  <c r="J153" i="23"/>
  <c r="E153" i="23"/>
  <c r="D153" i="23"/>
  <c r="J152" i="23"/>
  <c r="E152" i="23"/>
  <c r="D152" i="23"/>
  <c r="J151" i="23"/>
  <c r="E151" i="23"/>
  <c r="D151" i="23"/>
  <c r="J150" i="23"/>
  <c r="E150" i="23"/>
  <c r="D150" i="23"/>
  <c r="J149" i="23"/>
  <c r="E149" i="23"/>
  <c r="D149" i="23"/>
  <c r="J148" i="23"/>
  <c r="E148" i="23"/>
  <c r="D148" i="23"/>
  <c r="J147" i="23"/>
  <c r="E147" i="23"/>
  <c r="D147" i="23"/>
  <c r="J146" i="23"/>
  <c r="E146" i="23"/>
  <c r="D146" i="23"/>
  <c r="J145" i="23"/>
  <c r="E145" i="23"/>
  <c r="D145" i="23"/>
  <c r="J144" i="23"/>
  <c r="E144" i="23"/>
  <c r="D144" i="23"/>
  <c r="J143" i="23"/>
  <c r="E143" i="23"/>
  <c r="D143" i="23"/>
  <c r="J142" i="23"/>
  <c r="E142" i="23"/>
  <c r="D142" i="23"/>
  <c r="J141" i="23"/>
  <c r="E141" i="23"/>
  <c r="D141" i="23"/>
  <c r="J140" i="23"/>
  <c r="E140" i="23"/>
  <c r="D140" i="23"/>
  <c r="J139" i="23"/>
  <c r="E139" i="23"/>
  <c r="D139" i="23"/>
  <c r="J138" i="23"/>
  <c r="E138" i="23"/>
  <c r="D138" i="23"/>
  <c r="J137" i="23"/>
  <c r="E137" i="23"/>
  <c r="D137" i="23"/>
  <c r="J136" i="23"/>
  <c r="E136" i="23"/>
  <c r="D136" i="23"/>
  <c r="J135" i="23"/>
  <c r="E135" i="23"/>
  <c r="D135" i="23"/>
  <c r="J134" i="23"/>
  <c r="E134" i="23"/>
  <c r="D134" i="23"/>
  <c r="J133" i="23"/>
  <c r="E133" i="23"/>
  <c r="D133" i="23"/>
  <c r="J132" i="23"/>
  <c r="E132" i="23"/>
  <c r="D132" i="23"/>
  <c r="J131" i="23"/>
  <c r="E131" i="23"/>
  <c r="D131" i="23"/>
  <c r="J130" i="23"/>
  <c r="E130" i="23"/>
  <c r="D130" i="23"/>
  <c r="J129" i="23"/>
  <c r="E129" i="23"/>
  <c r="D129" i="23"/>
  <c r="J128" i="23"/>
  <c r="E128" i="23"/>
  <c r="D128" i="23"/>
  <c r="J127" i="23"/>
  <c r="E127" i="23"/>
  <c r="D127" i="23"/>
  <c r="J126" i="23"/>
  <c r="E126" i="23"/>
  <c r="D126" i="23"/>
  <c r="J125" i="23"/>
  <c r="E125" i="23"/>
  <c r="D125" i="23"/>
  <c r="J124" i="23"/>
  <c r="E124" i="23"/>
  <c r="D124" i="23"/>
  <c r="J123" i="23"/>
  <c r="E123" i="23"/>
  <c r="D123" i="23"/>
  <c r="J122" i="23"/>
  <c r="E122" i="23"/>
  <c r="D122" i="23"/>
  <c r="J121" i="23"/>
  <c r="E121" i="23"/>
  <c r="D121" i="23"/>
  <c r="J120" i="23"/>
  <c r="E120" i="23"/>
  <c r="D120" i="23"/>
  <c r="J119" i="23"/>
  <c r="E119" i="23"/>
  <c r="D119" i="23"/>
  <c r="J118" i="23"/>
  <c r="E118" i="23"/>
  <c r="D118" i="23"/>
  <c r="J117" i="23"/>
  <c r="E117" i="23"/>
  <c r="D117" i="23"/>
  <c r="J116" i="23"/>
  <c r="E116" i="23"/>
  <c r="D116" i="23"/>
  <c r="J115" i="23"/>
  <c r="E115" i="23"/>
  <c r="D115" i="23"/>
  <c r="J114" i="23"/>
  <c r="E114" i="23"/>
  <c r="D114" i="23"/>
  <c r="J113" i="23"/>
  <c r="E113" i="23"/>
  <c r="D113" i="23"/>
  <c r="J112" i="23"/>
  <c r="E112" i="23"/>
  <c r="D112" i="23"/>
  <c r="J111" i="23"/>
  <c r="E111" i="23"/>
  <c r="D111" i="23"/>
  <c r="J110" i="23"/>
  <c r="E110" i="23"/>
  <c r="D110" i="23"/>
  <c r="J109" i="23"/>
  <c r="E109" i="23"/>
  <c r="D109" i="23"/>
  <c r="J108" i="23"/>
  <c r="E108" i="23"/>
  <c r="D108" i="23"/>
  <c r="J107" i="23"/>
  <c r="E107" i="23"/>
  <c r="D107" i="23"/>
  <c r="J106" i="23"/>
  <c r="E106" i="23"/>
  <c r="D106" i="23"/>
  <c r="J105" i="23"/>
  <c r="E105" i="23"/>
  <c r="D105" i="23"/>
  <c r="J104" i="23"/>
  <c r="E104" i="23"/>
  <c r="D104" i="23"/>
  <c r="J103" i="23"/>
  <c r="E103" i="23"/>
  <c r="D103" i="23"/>
  <c r="J102" i="23"/>
  <c r="E102" i="23"/>
  <c r="D102" i="23"/>
  <c r="J101" i="23"/>
  <c r="E101" i="23"/>
  <c r="D101" i="23"/>
  <c r="J100" i="23"/>
  <c r="E100" i="23"/>
  <c r="D100" i="23"/>
  <c r="J99" i="23"/>
  <c r="E99" i="23"/>
  <c r="D99" i="23"/>
  <c r="J98" i="23"/>
  <c r="E98" i="23"/>
  <c r="D98" i="23"/>
  <c r="J97" i="23"/>
  <c r="E97" i="23"/>
  <c r="D97" i="23"/>
  <c r="J96" i="23"/>
  <c r="E96" i="23"/>
  <c r="D96" i="23"/>
  <c r="J95" i="23"/>
  <c r="E95" i="23"/>
  <c r="D95" i="23"/>
  <c r="J94" i="23"/>
  <c r="E94" i="23"/>
  <c r="D94" i="23"/>
  <c r="J93" i="23"/>
  <c r="E93" i="23"/>
  <c r="D93" i="23"/>
  <c r="J92" i="23"/>
  <c r="E92" i="23"/>
  <c r="D92" i="23"/>
  <c r="J91" i="23"/>
  <c r="E91" i="23"/>
  <c r="D91" i="23"/>
  <c r="J90" i="23"/>
  <c r="E90" i="23"/>
  <c r="D90" i="23"/>
  <c r="J89" i="23"/>
  <c r="E89" i="23"/>
  <c r="D89" i="23"/>
  <c r="J88" i="23"/>
  <c r="E88" i="23"/>
  <c r="D88" i="23"/>
  <c r="J87" i="23"/>
  <c r="E87" i="23"/>
  <c r="D87" i="23"/>
  <c r="J86" i="23"/>
  <c r="E86" i="23"/>
  <c r="D86" i="23"/>
  <c r="J85" i="23"/>
  <c r="E85" i="23"/>
  <c r="D85" i="23"/>
  <c r="J84" i="23"/>
  <c r="E84" i="23"/>
  <c r="D84" i="23"/>
  <c r="J83" i="23"/>
  <c r="E83" i="23"/>
  <c r="D83" i="23"/>
  <c r="J82" i="23"/>
  <c r="E82" i="23"/>
  <c r="D82" i="23"/>
  <c r="J81" i="23"/>
  <c r="E81" i="23"/>
  <c r="D81" i="23"/>
  <c r="J80" i="23"/>
  <c r="E80" i="23"/>
  <c r="D80" i="23"/>
  <c r="J79" i="23"/>
  <c r="E79" i="23"/>
  <c r="D79" i="23"/>
  <c r="J78" i="23"/>
  <c r="E78" i="23"/>
  <c r="D78" i="23"/>
  <c r="J77" i="23"/>
  <c r="E77" i="23"/>
  <c r="D77" i="23"/>
  <c r="J76" i="23"/>
  <c r="E76" i="23"/>
  <c r="D76" i="23"/>
  <c r="J75" i="23"/>
  <c r="E75" i="23"/>
  <c r="D75" i="23"/>
  <c r="J74" i="23"/>
  <c r="E74" i="23"/>
  <c r="D74" i="23"/>
  <c r="J73" i="23"/>
  <c r="E73" i="23"/>
  <c r="D73" i="23"/>
  <c r="J72" i="23"/>
  <c r="E72" i="23"/>
  <c r="D72" i="23"/>
  <c r="J71" i="23"/>
  <c r="E71" i="23"/>
  <c r="D71" i="23"/>
  <c r="J70" i="23"/>
  <c r="E70" i="23"/>
  <c r="D70" i="23"/>
  <c r="J69" i="23"/>
  <c r="E69" i="23"/>
  <c r="D69" i="23"/>
  <c r="J68" i="23"/>
  <c r="E68" i="23"/>
  <c r="D68" i="23"/>
  <c r="J67" i="23"/>
  <c r="E67" i="23"/>
  <c r="D67" i="23"/>
  <c r="J66" i="23"/>
  <c r="E66" i="23"/>
  <c r="D66" i="23"/>
  <c r="J65" i="23"/>
  <c r="E65" i="23"/>
  <c r="D65" i="23"/>
  <c r="J64" i="23"/>
  <c r="E64" i="23"/>
  <c r="D64" i="23"/>
  <c r="J63" i="23"/>
  <c r="E63" i="23"/>
  <c r="D63" i="23"/>
  <c r="J62" i="23"/>
  <c r="E62" i="23"/>
  <c r="D62" i="23"/>
  <c r="J61" i="23"/>
  <c r="E61" i="23"/>
  <c r="D61" i="23"/>
  <c r="J60" i="23"/>
  <c r="E60" i="23"/>
  <c r="D60" i="23"/>
  <c r="J59" i="23"/>
  <c r="E59" i="23"/>
  <c r="D59" i="23"/>
  <c r="J58" i="23"/>
  <c r="E58" i="23"/>
  <c r="D58" i="23"/>
  <c r="J57" i="23"/>
  <c r="E57" i="23"/>
  <c r="D57" i="23"/>
  <c r="J56" i="23"/>
  <c r="E56" i="23"/>
  <c r="D56" i="23"/>
  <c r="J55" i="23"/>
  <c r="E55" i="23"/>
  <c r="D55" i="23"/>
  <c r="J54" i="23"/>
  <c r="E54" i="23"/>
  <c r="D54" i="23"/>
  <c r="J53" i="23"/>
  <c r="E53" i="23"/>
  <c r="D53" i="23"/>
  <c r="J52" i="23"/>
  <c r="E52" i="23"/>
  <c r="D52" i="23"/>
  <c r="J51" i="23"/>
  <c r="E51" i="23"/>
  <c r="D51" i="23"/>
  <c r="J50" i="23"/>
  <c r="E50" i="23"/>
  <c r="D50" i="23"/>
  <c r="J49" i="23"/>
  <c r="E49" i="23"/>
  <c r="D49" i="23"/>
  <c r="J48" i="23"/>
  <c r="E48" i="23"/>
  <c r="D48" i="23"/>
  <c r="J47" i="23"/>
  <c r="E47" i="23"/>
  <c r="D47" i="23"/>
  <c r="J46" i="23"/>
  <c r="E46" i="23"/>
  <c r="D46" i="23"/>
  <c r="J45" i="23"/>
  <c r="E45" i="23"/>
  <c r="D45" i="23"/>
  <c r="J44" i="23"/>
  <c r="E44" i="23"/>
  <c r="D44" i="23"/>
  <c r="J43" i="23"/>
  <c r="E43" i="23"/>
  <c r="D43" i="23"/>
  <c r="J42" i="23"/>
  <c r="E42" i="23"/>
  <c r="D42" i="23"/>
  <c r="J41" i="23"/>
  <c r="E41" i="23"/>
  <c r="D41" i="23"/>
  <c r="J40" i="23"/>
  <c r="E40" i="23"/>
  <c r="D40" i="23"/>
  <c r="J39" i="23"/>
  <c r="E39" i="23"/>
  <c r="D39" i="23"/>
  <c r="J38" i="23"/>
  <c r="E38" i="23"/>
  <c r="D38" i="23"/>
  <c r="J37" i="23"/>
  <c r="E37" i="23"/>
  <c r="D37" i="23"/>
  <c r="J36" i="23"/>
  <c r="E36" i="23"/>
  <c r="D36" i="23"/>
  <c r="J35" i="23"/>
  <c r="E35" i="23"/>
  <c r="D35" i="23"/>
  <c r="J34" i="23"/>
  <c r="E34" i="23"/>
  <c r="D34" i="23"/>
  <c r="J33" i="23"/>
  <c r="E33" i="23"/>
  <c r="D33" i="23"/>
  <c r="J32" i="23"/>
  <c r="E32" i="23"/>
  <c r="D32" i="23"/>
  <c r="J31" i="23"/>
  <c r="E31" i="23"/>
  <c r="D31" i="23"/>
  <c r="J30" i="23"/>
  <c r="E30" i="23"/>
  <c r="D30" i="23"/>
  <c r="J29" i="23"/>
  <c r="E29" i="23"/>
  <c r="D29" i="23"/>
  <c r="J28" i="23"/>
  <c r="E28" i="23"/>
  <c r="D28" i="23"/>
  <c r="J27" i="23"/>
  <c r="E27" i="23"/>
  <c r="D27" i="23"/>
  <c r="J26" i="23"/>
  <c r="E26" i="23"/>
  <c r="D26" i="23"/>
  <c r="J25" i="23"/>
  <c r="E25" i="23"/>
  <c r="D25" i="23"/>
  <c r="J24" i="23"/>
  <c r="E24" i="23"/>
  <c r="D24" i="23"/>
  <c r="J23" i="23"/>
  <c r="E23" i="23"/>
  <c r="D23" i="23"/>
  <c r="J22" i="23"/>
  <c r="E22" i="23"/>
  <c r="D22" i="23"/>
  <c r="J21" i="23"/>
  <c r="E21" i="23"/>
  <c r="D21" i="23"/>
  <c r="J20" i="23"/>
  <c r="E20" i="23"/>
  <c r="D20" i="23"/>
  <c r="J19" i="23"/>
  <c r="E19" i="23"/>
  <c r="D19" i="23"/>
  <c r="J18" i="23"/>
  <c r="E18" i="23"/>
  <c r="D18" i="23"/>
  <c r="J17" i="23"/>
  <c r="E17" i="23"/>
  <c r="D17" i="23"/>
  <c r="J16" i="23"/>
  <c r="E16" i="23"/>
  <c r="D16" i="23"/>
  <c r="J15" i="23"/>
  <c r="E15" i="23"/>
  <c r="D15" i="23"/>
  <c r="J14" i="23"/>
  <c r="E14" i="23"/>
  <c r="D14" i="23"/>
  <c r="J13" i="23"/>
  <c r="E13" i="23"/>
  <c r="D13" i="23"/>
  <c r="J12" i="23"/>
  <c r="E12" i="23"/>
  <c r="D12" i="23"/>
  <c r="J11" i="23"/>
  <c r="E11" i="23"/>
  <c r="D11" i="23"/>
  <c r="J10" i="23"/>
  <c r="E10" i="23"/>
  <c r="D10" i="23"/>
  <c r="J9" i="23"/>
  <c r="E9" i="23"/>
  <c r="D9" i="23"/>
  <c r="J8" i="23"/>
  <c r="E8" i="23"/>
  <c r="D8" i="23"/>
  <c r="J7" i="23"/>
  <c r="E7" i="23"/>
  <c r="D7" i="23"/>
  <c r="J6" i="23"/>
  <c r="E6" i="23"/>
  <c r="D6" i="23"/>
  <c r="Q2" i="23"/>
  <c r="B13" i="23" s="1"/>
  <c r="A226" i="23"/>
  <c r="U4" i="11"/>
  <c r="T4" i="11"/>
  <c r="S4" i="11"/>
  <c r="R4" i="11"/>
  <c r="Q4" i="11"/>
  <c r="P4" i="11"/>
  <c r="O4" i="11"/>
  <c r="N4" i="11"/>
  <c r="U3" i="11"/>
  <c r="T3" i="11"/>
  <c r="S3" i="11"/>
  <c r="R3" i="11"/>
  <c r="Q3" i="11"/>
  <c r="P3" i="11"/>
  <c r="O3" i="11"/>
  <c r="N3" i="11"/>
  <c r="V2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D1" i="18"/>
  <c r="C1" i="18"/>
  <c r="G132" i="12"/>
  <c r="F130" i="12"/>
  <c r="J211" i="11"/>
  <c r="F131" i="12"/>
  <c r="F77" i="12"/>
  <c r="G89" i="12"/>
  <c r="G40" i="12"/>
  <c r="G49" i="12"/>
  <c r="F89" i="12"/>
  <c r="G24" i="12"/>
  <c r="G102" i="12"/>
  <c r="G52" i="12"/>
  <c r="F55" i="12"/>
  <c r="G110" i="12"/>
  <c r="G23" i="12"/>
  <c r="F110" i="12"/>
  <c r="F68" i="12"/>
  <c r="G70" i="12"/>
  <c r="G126" i="12"/>
  <c r="F50" i="12"/>
  <c r="G125" i="12"/>
  <c r="F132" i="12"/>
  <c r="G75" i="12"/>
  <c r="G93" i="12"/>
  <c r="F120" i="12"/>
  <c r="I211" i="11"/>
  <c r="G129" i="12"/>
  <c r="G72" i="12"/>
  <c r="F83" i="12"/>
  <c r="F59" i="12"/>
  <c r="F69" i="12"/>
  <c r="G45" i="12"/>
  <c r="F103" i="12"/>
  <c r="G28" i="12"/>
  <c r="F23" i="12"/>
  <c r="G36" i="12"/>
  <c r="G112" i="12"/>
  <c r="G130" i="12"/>
  <c r="G84" i="12"/>
  <c r="G131" i="12"/>
  <c r="G118" i="12"/>
  <c r="G124" i="12"/>
  <c r="G100" i="12"/>
  <c r="G73" i="12"/>
  <c r="G67" i="12"/>
  <c r="G32" i="12"/>
  <c r="G122" i="12"/>
  <c r="G14" i="12"/>
  <c r="G211" i="11"/>
  <c r="F102" i="12"/>
  <c r="F125" i="12"/>
  <c r="G107" i="12"/>
  <c r="F36" i="12"/>
  <c r="F25" i="12"/>
  <c r="G97" i="12"/>
  <c r="G50" i="12"/>
  <c r="G25" i="12"/>
  <c r="F122" i="12"/>
  <c r="F73" i="12"/>
  <c r="G68" i="12"/>
  <c r="K211" i="11"/>
  <c r="F45" i="12"/>
  <c r="G120" i="12"/>
  <c r="F121" i="12"/>
  <c r="F100" i="12"/>
  <c r="G15" i="12"/>
  <c r="F127" i="12"/>
  <c r="F32" i="12"/>
  <c r="F126" i="12"/>
  <c r="F14" i="12"/>
  <c r="F97" i="12"/>
  <c r="G59" i="12"/>
  <c r="F129" i="12"/>
  <c r="G121" i="12"/>
  <c r="G91" i="12"/>
  <c r="F93" i="12"/>
  <c r="C7" i="18"/>
  <c r="F92" i="12"/>
  <c r="G39" i="12"/>
  <c r="G128" i="12"/>
  <c r="F49" i="12"/>
  <c r="F24" i="12"/>
  <c r="F112" i="12"/>
  <c r="F75" i="12"/>
  <c r="G94" i="12"/>
  <c r="F15" i="12"/>
  <c r="F90" i="12"/>
  <c r="F39" i="12"/>
  <c r="G55" i="12"/>
  <c r="G90" i="12"/>
  <c r="G69" i="12"/>
  <c r="G114" i="12"/>
  <c r="F113" i="12"/>
  <c r="F72" i="12"/>
  <c r="F40" i="12"/>
  <c r="F84" i="12"/>
  <c r="G92" i="12"/>
  <c r="F28" i="12"/>
  <c r="F114" i="12"/>
  <c r="G127" i="12"/>
  <c r="G46" i="12"/>
  <c r="G113" i="12"/>
  <c r="F128" i="12"/>
  <c r="F52" i="12"/>
  <c r="G83" i="12"/>
  <c r="F80" i="12"/>
  <c r="G108" i="12"/>
  <c r="F118" i="12"/>
  <c r="F94" i="12"/>
  <c r="G103" i="12"/>
  <c r="F124" i="12"/>
  <c r="G77" i="12"/>
  <c r="F67" i="12"/>
  <c r="G7" i="12"/>
  <c r="J29" i="11"/>
  <c r="J36" i="11"/>
  <c r="J37" i="11"/>
  <c r="I29" i="11"/>
  <c r="J28" i="11"/>
  <c r="K36" i="11"/>
  <c r="I37" i="11"/>
  <c r="G28" i="11"/>
  <c r="G37" i="11"/>
  <c r="I36" i="11"/>
  <c r="K37" i="11"/>
  <c r="I28" i="11"/>
  <c r="G36" i="11"/>
  <c r="K28" i="11"/>
  <c r="G29" i="11"/>
  <c r="K29" i="11"/>
  <c r="J59" i="11"/>
  <c r="K160" i="11"/>
  <c r="G160" i="11"/>
  <c r="K77" i="11"/>
  <c r="K127" i="11"/>
  <c r="J49" i="11"/>
  <c r="K49" i="11"/>
  <c r="J127" i="11"/>
  <c r="K179" i="11"/>
  <c r="K209" i="11"/>
  <c r="G111" i="11"/>
  <c r="G59" i="11"/>
  <c r="J150" i="11"/>
  <c r="I160" i="11"/>
  <c r="G127" i="11"/>
  <c r="K177" i="11"/>
  <c r="G77" i="11"/>
  <c r="I77" i="11"/>
  <c r="J215" i="11"/>
  <c r="K59" i="11"/>
  <c r="J120" i="11"/>
  <c r="G119" i="11"/>
  <c r="I126" i="11"/>
  <c r="I49" i="11"/>
  <c r="K111" i="11"/>
  <c r="G89" i="11"/>
  <c r="J126" i="11"/>
  <c r="G144" i="11"/>
  <c r="K220" i="11"/>
  <c r="J209" i="11"/>
  <c r="I111" i="11"/>
  <c r="I89" i="11"/>
  <c r="I177" i="11"/>
  <c r="G120" i="11"/>
  <c r="K58" i="11"/>
  <c r="J144" i="11"/>
  <c r="I161" i="11"/>
  <c r="G209" i="11"/>
  <c r="J89" i="11"/>
  <c r="J77" i="11"/>
  <c r="G58" i="11"/>
  <c r="K119" i="11"/>
  <c r="I220" i="11"/>
  <c r="I144" i="11"/>
  <c r="G215" i="11"/>
  <c r="I215" i="11"/>
  <c r="G177" i="11"/>
  <c r="J160" i="11"/>
  <c r="J111" i="11"/>
  <c r="G150" i="11"/>
  <c r="K150" i="11"/>
  <c r="J161" i="11"/>
  <c r="I209" i="11"/>
  <c r="I58" i="11"/>
  <c r="J179" i="11"/>
  <c r="I127" i="11"/>
  <c r="G161" i="11"/>
  <c r="G179" i="11"/>
  <c r="K126" i="11"/>
  <c r="I120" i="11"/>
  <c r="K161" i="11"/>
  <c r="K120" i="11"/>
  <c r="G220" i="11"/>
  <c r="I119" i="11"/>
  <c r="K144" i="11"/>
  <c r="J220" i="11"/>
  <c r="I179" i="11"/>
  <c r="J177" i="11"/>
  <c r="G49" i="11"/>
  <c r="I59" i="11"/>
  <c r="I150" i="11"/>
  <c r="J119" i="11"/>
  <c r="G126" i="11"/>
  <c r="K89" i="11"/>
  <c r="K215" i="11"/>
  <c r="J58" i="11"/>
  <c r="J115" i="11"/>
  <c r="G115" i="11"/>
  <c r="K115" i="11"/>
  <c r="I109" i="11"/>
  <c r="G109" i="11"/>
  <c r="K109" i="11"/>
  <c r="J109" i="11"/>
  <c r="I115" i="11"/>
  <c r="G162" i="11"/>
  <c r="J110" i="11"/>
  <c r="J50" i="11"/>
  <c r="G50" i="11"/>
  <c r="I162" i="11"/>
  <c r="J162" i="11"/>
  <c r="J118" i="11"/>
  <c r="I88" i="11"/>
  <c r="I50" i="11"/>
  <c r="K118" i="11"/>
  <c r="G118" i="11"/>
  <c r="I110" i="11"/>
  <c r="K162" i="11"/>
  <c r="G88" i="11"/>
  <c r="K88" i="11"/>
  <c r="J88" i="11"/>
  <c r="G110" i="11"/>
  <c r="K50" i="11"/>
  <c r="I118" i="11"/>
  <c r="K110" i="11"/>
  <c r="K97" i="11"/>
  <c r="J97" i="11"/>
  <c r="G97" i="11"/>
  <c r="I97" i="11"/>
  <c r="I56" i="11"/>
  <c r="I57" i="11"/>
  <c r="G23" i="11"/>
  <c r="J71" i="11"/>
  <c r="J42" i="11"/>
  <c r="K55" i="11"/>
  <c r="K100" i="11"/>
  <c r="K79" i="11"/>
  <c r="J15" i="11"/>
  <c r="J82" i="11"/>
  <c r="G40" i="11"/>
  <c r="K15" i="11"/>
  <c r="J60" i="11"/>
  <c r="K116" i="11"/>
  <c r="K41" i="11"/>
  <c r="J79" i="11"/>
  <c r="K24" i="11"/>
  <c r="J57" i="11"/>
  <c r="I82" i="11"/>
  <c r="K56" i="11"/>
  <c r="J43" i="11"/>
  <c r="I91" i="11"/>
  <c r="I23" i="11"/>
  <c r="J56" i="11"/>
  <c r="I198" i="11"/>
  <c r="K13" i="11"/>
  <c r="K67" i="11"/>
  <c r="G62" i="11"/>
  <c r="I114" i="11"/>
  <c r="G78" i="11"/>
  <c r="K75" i="11"/>
  <c r="G54" i="11"/>
  <c r="J63" i="11"/>
  <c r="I21" i="11"/>
  <c r="I196" i="11"/>
  <c r="K42" i="11"/>
  <c r="I17" i="11"/>
  <c r="J76" i="11"/>
  <c r="I60" i="11"/>
  <c r="K35" i="11"/>
  <c r="G8" i="11"/>
  <c r="G82" i="11"/>
  <c r="J78" i="11"/>
  <c r="G15" i="11"/>
  <c r="J74" i="11"/>
  <c r="K74" i="11"/>
  <c r="G81" i="11"/>
  <c r="K146" i="11"/>
  <c r="I64" i="11"/>
  <c r="J113" i="11"/>
  <c r="J72" i="11"/>
  <c r="G72" i="11"/>
  <c r="G112" i="11"/>
  <c r="G121" i="11"/>
  <c r="J196" i="11"/>
  <c r="G13" i="11"/>
  <c r="I79" i="11"/>
  <c r="G55" i="11"/>
  <c r="J93" i="11"/>
  <c r="K121" i="11"/>
  <c r="G76" i="11"/>
  <c r="J21" i="11"/>
  <c r="G43" i="11"/>
  <c r="G66" i="11"/>
  <c r="G57" i="11"/>
  <c r="J41" i="11"/>
  <c r="G75" i="11"/>
  <c r="K60" i="11"/>
  <c r="K70" i="11"/>
  <c r="I81" i="11"/>
  <c r="J23" i="11"/>
  <c r="I146" i="11"/>
  <c r="G100" i="11"/>
  <c r="G113" i="11"/>
  <c r="J146" i="11"/>
  <c r="J8" i="11"/>
  <c r="I62" i="11"/>
  <c r="K64" i="11"/>
  <c r="I113" i="11"/>
  <c r="K92" i="11"/>
  <c r="K78" i="11"/>
  <c r="K40" i="11"/>
  <c r="I61" i="11"/>
  <c r="I73" i="11"/>
  <c r="G92" i="11"/>
  <c r="G93" i="11"/>
  <c r="K27" i="11"/>
  <c r="I92" i="11"/>
  <c r="J217" i="11"/>
  <c r="K21" i="11"/>
  <c r="J64" i="11"/>
  <c r="I75" i="11"/>
  <c r="J61" i="11"/>
  <c r="G56" i="11"/>
  <c r="G67" i="11"/>
  <c r="I116" i="11"/>
  <c r="K73" i="11"/>
  <c r="K65" i="11"/>
  <c r="K80" i="11"/>
  <c r="I72" i="11"/>
  <c r="J81" i="11"/>
  <c r="J92" i="11"/>
  <c r="G198" i="11"/>
  <c r="K72" i="11"/>
  <c r="I8" i="11"/>
  <c r="I121" i="11"/>
  <c r="J100" i="11"/>
  <c r="K61" i="11"/>
  <c r="G60" i="11"/>
  <c r="G80" i="11"/>
  <c r="K91" i="11"/>
  <c r="K93" i="11"/>
  <c r="G217" i="11"/>
  <c r="G65" i="11"/>
  <c r="G64" i="11"/>
  <c r="I217" i="11"/>
  <c r="J40" i="11"/>
  <c r="K43" i="11"/>
  <c r="K23" i="11"/>
  <c r="K112" i="11"/>
  <c r="G146" i="11"/>
  <c r="J17" i="11"/>
  <c r="J55" i="11"/>
  <c r="I100" i="11"/>
  <c r="G24" i="11"/>
  <c r="I74" i="11"/>
  <c r="J75" i="11"/>
  <c r="I35" i="11"/>
  <c r="I42" i="11"/>
  <c r="K113" i="11"/>
  <c r="K17" i="11"/>
  <c r="J35" i="11"/>
  <c r="I76" i="11"/>
  <c r="G79" i="11"/>
  <c r="I78" i="11"/>
  <c r="K81" i="11"/>
  <c r="I63" i="11"/>
  <c r="G116" i="11"/>
  <c r="J80" i="11"/>
  <c r="I93" i="11"/>
  <c r="G74" i="11"/>
  <c r="J54" i="11"/>
  <c r="I65" i="11"/>
  <c r="K198" i="11"/>
  <c r="I80" i="11"/>
  <c r="K57" i="11"/>
  <c r="G73" i="11"/>
  <c r="K62" i="11"/>
  <c r="G21" i="11"/>
  <c r="G70" i="11"/>
  <c r="K8" i="11"/>
  <c r="I55" i="11"/>
  <c r="I27" i="11"/>
  <c r="G196" i="11"/>
  <c r="G42" i="11"/>
  <c r="G63" i="11"/>
  <c r="J116" i="11"/>
  <c r="K63" i="11"/>
  <c r="K82" i="11"/>
  <c r="I112" i="11"/>
  <c r="J62" i="11"/>
  <c r="I54" i="11"/>
  <c r="J66" i="11"/>
  <c r="I71" i="11"/>
  <c r="J24" i="11"/>
  <c r="K76" i="11"/>
  <c r="I70" i="11"/>
  <c r="G61" i="11"/>
  <c r="I13" i="11"/>
  <c r="J67" i="11"/>
  <c r="K217" i="11"/>
  <c r="J91" i="11"/>
  <c r="G35" i="11"/>
  <c r="J112" i="11"/>
  <c r="G27" i="11"/>
  <c r="I43" i="11"/>
  <c r="I24" i="11"/>
  <c r="I15" i="11"/>
  <c r="J121" i="11"/>
  <c r="K196" i="11"/>
  <c r="I40" i="11"/>
  <c r="G114" i="11"/>
  <c r="K71" i="11"/>
  <c r="K114" i="11"/>
  <c r="J13" i="11"/>
  <c r="J198" i="11"/>
  <c r="G17" i="11"/>
  <c r="K54" i="11"/>
  <c r="J73" i="11"/>
  <c r="J114" i="11"/>
  <c r="I66" i="11"/>
  <c r="J70" i="11"/>
  <c r="G91" i="11"/>
  <c r="I41" i="11"/>
  <c r="J27" i="11"/>
  <c r="G41" i="11"/>
  <c r="J65" i="11"/>
  <c r="G71" i="11"/>
  <c r="K66" i="11"/>
  <c r="I67" i="11"/>
  <c r="J25" i="11"/>
  <c r="J46" i="11"/>
  <c r="G34" i="11"/>
  <c r="J30" i="11"/>
  <c r="J31" i="11"/>
  <c r="I26" i="11"/>
  <c r="G33" i="11"/>
  <c r="K25" i="11"/>
  <c r="G30" i="11"/>
  <c r="K136" i="11"/>
  <c r="I46" i="11"/>
  <c r="I48" i="11"/>
  <c r="K33" i="11"/>
  <c r="K34" i="11"/>
  <c r="K48" i="11"/>
  <c r="I31" i="11"/>
  <c r="G136" i="11"/>
  <c r="I45" i="11"/>
  <c r="I30" i="11"/>
  <c r="I33" i="11"/>
  <c r="I47" i="11"/>
  <c r="J33" i="11"/>
  <c r="G26" i="11"/>
  <c r="G31" i="11"/>
  <c r="J26" i="11"/>
  <c r="J136" i="11"/>
  <c r="K47" i="11"/>
  <c r="I136" i="11"/>
  <c r="J48" i="11"/>
  <c r="J45" i="11"/>
  <c r="J34" i="11"/>
  <c r="G25" i="11"/>
  <c r="I25" i="11"/>
  <c r="K26" i="11"/>
  <c r="G48" i="11"/>
  <c r="G47" i="11"/>
  <c r="K45" i="11"/>
  <c r="G45" i="11"/>
  <c r="I34" i="11"/>
  <c r="J47" i="11"/>
  <c r="K30" i="11"/>
  <c r="G46" i="11"/>
  <c r="K31" i="11"/>
  <c r="K46" i="11"/>
  <c r="J6" i="11"/>
  <c r="J12" i="11"/>
  <c r="G6" i="11"/>
  <c r="I12" i="11"/>
  <c r="H6" i="11"/>
  <c r="K12" i="11"/>
  <c r="K6" i="11"/>
  <c r="I6" i="11"/>
  <c r="G12" i="11"/>
  <c r="K11" i="11"/>
  <c r="K7" i="11"/>
  <c r="S4" i="12"/>
  <c r="J10" i="11"/>
  <c r="R2" i="12"/>
  <c r="G16" i="11"/>
  <c r="J7" i="11"/>
  <c r="S5" i="12"/>
  <c r="S2" i="12"/>
  <c r="J16" i="11"/>
  <c r="S3" i="12"/>
  <c r="K9" i="11"/>
  <c r="J9" i="11"/>
  <c r="K10" i="11"/>
  <c r="R4" i="12"/>
  <c r="G10" i="11"/>
  <c r="I10" i="11"/>
  <c r="G7" i="11"/>
  <c r="I9" i="11"/>
  <c r="R5" i="12"/>
  <c r="G9" i="11"/>
  <c r="I11" i="11"/>
  <c r="I16" i="11"/>
  <c r="I7" i="11"/>
  <c r="G11" i="11"/>
  <c r="J11" i="11"/>
  <c r="R3" i="12"/>
  <c r="K16" i="11"/>
  <c r="G147" i="11"/>
  <c r="J124" i="11"/>
  <c r="J147" i="11"/>
  <c r="J20" i="11"/>
  <c r="K173" i="11"/>
  <c r="J125" i="11"/>
  <c r="I39" i="11"/>
  <c r="J102" i="11"/>
  <c r="K216" i="11"/>
  <c r="J212" i="11"/>
  <c r="I145" i="11"/>
  <c r="G124" i="11"/>
  <c r="I69" i="11"/>
  <c r="G99" i="11"/>
  <c r="I130" i="11"/>
  <c r="I192" i="11"/>
  <c r="J140" i="11"/>
  <c r="J172" i="11"/>
  <c r="I205" i="11"/>
  <c r="J32" i="11"/>
  <c r="I124" i="11"/>
  <c r="K128" i="11"/>
  <c r="K172" i="11"/>
  <c r="J188" i="11"/>
  <c r="I199" i="11"/>
  <c r="J192" i="11"/>
  <c r="K149" i="11"/>
  <c r="I148" i="11"/>
  <c r="I84" i="11"/>
  <c r="J95" i="11"/>
  <c r="G173" i="11"/>
  <c r="G52" i="11"/>
  <c r="K155" i="11"/>
  <c r="J104" i="11"/>
  <c r="J168" i="11"/>
  <c r="G69" i="11"/>
  <c r="K163" i="11"/>
  <c r="I95" i="11"/>
  <c r="J190" i="11"/>
  <c r="I102" i="11"/>
  <c r="I190" i="11"/>
  <c r="J166" i="11"/>
  <c r="J108" i="11"/>
  <c r="J123" i="11"/>
  <c r="G94" i="11"/>
  <c r="K99" i="11"/>
  <c r="I52" i="11"/>
  <c r="J145" i="11"/>
  <c r="G39" i="11"/>
  <c r="J164" i="11"/>
  <c r="J189" i="11"/>
  <c r="J134" i="11"/>
  <c r="I20" i="11"/>
  <c r="G188" i="11"/>
  <c r="J14" i="11"/>
  <c r="I123" i="11"/>
  <c r="J69" i="11"/>
  <c r="I129" i="11"/>
  <c r="G20" i="11"/>
  <c r="J99" i="11"/>
  <c r="K170" i="11"/>
  <c r="J122" i="11"/>
  <c r="G108" i="11"/>
  <c r="G149" i="11"/>
  <c r="I108" i="11"/>
  <c r="I197" i="11"/>
  <c r="K94" i="11"/>
  <c r="J167" i="11"/>
  <c r="G205" i="11"/>
  <c r="K106" i="11"/>
  <c r="I155" i="11"/>
  <c r="I189" i="11"/>
  <c r="I104" i="11"/>
  <c r="K168" i="11"/>
  <c r="I53" i="11"/>
  <c r="K205" i="11"/>
  <c r="J51" i="11"/>
  <c r="K188" i="11"/>
  <c r="G155" i="11"/>
  <c r="I90" i="11"/>
  <c r="J149" i="11"/>
  <c r="K44" i="11"/>
  <c r="K102" i="11"/>
  <c r="K39" i="11"/>
  <c r="J94" i="11"/>
  <c r="G83" i="11"/>
  <c r="G38" i="11"/>
  <c r="J106" i="11"/>
  <c r="I167" i="11"/>
  <c r="K167" i="11"/>
  <c r="K134" i="11"/>
  <c r="I140" i="11"/>
  <c r="G170" i="11"/>
  <c r="K52" i="11"/>
  <c r="G166" i="11"/>
  <c r="K143" i="11"/>
  <c r="G145" i="11"/>
  <c r="K210" i="11"/>
  <c r="K107" i="11"/>
  <c r="G90" i="11"/>
  <c r="G199" i="11"/>
  <c r="K95" i="11"/>
  <c r="J205" i="11"/>
  <c r="G106" i="11"/>
  <c r="K85" i="11"/>
  <c r="I170" i="11"/>
  <c r="I106" i="11"/>
  <c r="G87" i="11"/>
  <c r="G32" i="11"/>
  <c r="J85" i="11"/>
  <c r="G123" i="11"/>
  <c r="K130" i="11"/>
  <c r="G107" i="11"/>
  <c r="K122" i="11"/>
  <c r="K51" i="11"/>
  <c r="K164" i="11"/>
  <c r="K87" i="11"/>
  <c r="I212" i="11"/>
  <c r="I44" i="11"/>
  <c r="G84" i="11"/>
  <c r="I38" i="11"/>
  <c r="I51" i="11"/>
  <c r="G212" i="11"/>
  <c r="J216" i="11"/>
  <c r="G14" i="11"/>
  <c r="G197" i="11"/>
  <c r="G192" i="11"/>
  <c r="G216" i="11"/>
  <c r="K32" i="11"/>
  <c r="K212" i="11"/>
  <c r="K124" i="11"/>
  <c r="J143" i="11"/>
  <c r="I149" i="11"/>
  <c r="J170" i="11"/>
  <c r="K199" i="11"/>
  <c r="J52" i="11"/>
  <c r="J163" i="11"/>
  <c r="K53" i="11"/>
  <c r="J90" i="11"/>
  <c r="K83" i="11"/>
  <c r="G140" i="11"/>
  <c r="K38" i="11"/>
  <c r="J53" i="11"/>
  <c r="G95" i="11"/>
  <c r="I134" i="11"/>
  <c r="K129" i="11"/>
  <c r="I188" i="11"/>
  <c r="G98" i="11"/>
  <c r="J84" i="11"/>
  <c r="K20" i="11"/>
  <c r="G104" i="11"/>
  <c r="I143" i="11"/>
  <c r="G53" i="11"/>
  <c r="K123" i="11"/>
  <c r="J44" i="11"/>
  <c r="K108" i="11"/>
  <c r="I94" i="11"/>
  <c r="I172" i="11"/>
  <c r="I85" i="11"/>
  <c r="G128" i="11"/>
  <c r="K148" i="11"/>
  <c r="G44" i="11"/>
  <c r="I128" i="11"/>
  <c r="J107" i="11"/>
  <c r="J87" i="11"/>
  <c r="K189" i="11"/>
  <c r="G130" i="11"/>
  <c r="J199" i="11"/>
  <c r="I173" i="11"/>
  <c r="G163" i="11"/>
  <c r="J98" i="11"/>
  <c r="J197" i="11"/>
  <c r="K166" i="11"/>
  <c r="I99" i="11"/>
  <c r="I14" i="11"/>
  <c r="J148" i="11"/>
  <c r="K190" i="11"/>
  <c r="I122" i="11"/>
  <c r="G125" i="11"/>
  <c r="G210" i="11"/>
  <c r="K117" i="11"/>
  <c r="I164" i="11"/>
  <c r="I147" i="11"/>
  <c r="I83" i="11"/>
  <c r="K192" i="11"/>
  <c r="K125" i="11"/>
  <c r="J39" i="11"/>
  <c r="J83" i="11"/>
  <c r="K140" i="11"/>
  <c r="J130" i="11"/>
  <c r="K69" i="11"/>
  <c r="K98" i="11"/>
  <c r="I117" i="11"/>
  <c r="I210" i="11"/>
  <c r="I107" i="11"/>
  <c r="G85" i="11"/>
  <c r="I87" i="11"/>
  <c r="K197" i="11"/>
  <c r="G164" i="11"/>
  <c r="I98" i="11"/>
  <c r="I125" i="11"/>
  <c r="G167" i="11"/>
  <c r="J117" i="11"/>
  <c r="J128" i="11"/>
  <c r="G122" i="11"/>
  <c r="K14" i="11"/>
  <c r="G102" i="11"/>
  <c r="J173" i="11"/>
  <c r="G190" i="11"/>
  <c r="K84" i="11"/>
  <c r="G134" i="11"/>
  <c r="K90" i="11"/>
  <c r="J155" i="11"/>
  <c r="G172" i="11"/>
  <c r="K145" i="11"/>
  <c r="G189" i="11"/>
  <c r="I168" i="11"/>
  <c r="K104" i="11"/>
  <c r="J210" i="11"/>
  <c r="I216" i="11"/>
  <c r="K147" i="11"/>
  <c r="G148" i="11"/>
  <c r="G51" i="11"/>
  <c r="G129" i="11"/>
  <c r="G117" i="11"/>
  <c r="J129" i="11"/>
  <c r="I166" i="11"/>
  <c r="I163" i="11"/>
  <c r="I32" i="11"/>
  <c r="G168" i="11"/>
  <c r="G143" i="11"/>
  <c r="J38" i="11"/>
  <c r="I105" i="11"/>
  <c r="G184" i="11"/>
  <c r="J193" i="11"/>
  <c r="I96" i="11"/>
  <c r="J169" i="11"/>
  <c r="K139" i="11"/>
  <c r="G151" i="11"/>
  <c r="G208" i="11"/>
  <c r="K152" i="11"/>
  <c r="I132" i="11"/>
  <c r="J151" i="11"/>
  <c r="K138" i="11"/>
  <c r="I214" i="11"/>
  <c r="K180" i="11"/>
  <c r="I68" i="11"/>
  <c r="J201" i="11"/>
  <c r="K154" i="11"/>
  <c r="K206" i="11"/>
  <c r="G159" i="11"/>
  <c r="J182" i="11"/>
  <c r="G158" i="11"/>
  <c r="I194" i="11"/>
  <c r="J137" i="11"/>
  <c r="J218" i="11"/>
  <c r="J156" i="11"/>
  <c r="I185" i="11"/>
  <c r="G203" i="11"/>
  <c r="K207" i="11"/>
  <c r="G156" i="11"/>
  <c r="G181" i="11"/>
  <c r="J152" i="11"/>
  <c r="K165" i="11"/>
  <c r="I224" i="11"/>
  <c r="G19" i="11"/>
  <c r="G224" i="11"/>
  <c r="K158" i="11"/>
  <c r="I142" i="11"/>
  <c r="I219" i="11"/>
  <c r="I222" i="11"/>
  <c r="G214" i="11"/>
  <c r="G138" i="11"/>
  <c r="K86" i="11"/>
  <c r="G185" i="11"/>
  <c r="J103" i="11"/>
  <c r="J202" i="11"/>
  <c r="J223" i="11"/>
  <c r="K137" i="11"/>
  <c r="G105" i="11"/>
  <c r="J18" i="11"/>
  <c r="J191" i="11"/>
  <c r="J138" i="11"/>
  <c r="J200" i="11"/>
  <c r="K178" i="11"/>
  <c r="K213" i="11"/>
  <c r="K224" i="11"/>
  <c r="G174" i="11"/>
  <c r="K171" i="11"/>
  <c r="J158" i="11"/>
  <c r="K68" i="11"/>
  <c r="I187" i="11"/>
  <c r="K96" i="11"/>
  <c r="K18" i="11"/>
  <c r="G176" i="11"/>
  <c r="J141" i="11"/>
  <c r="J203" i="11"/>
  <c r="G169" i="11"/>
  <c r="G22" i="11"/>
  <c r="I141" i="11"/>
  <c r="I218" i="11"/>
  <c r="J187" i="11"/>
  <c r="J174" i="11"/>
  <c r="J213" i="11"/>
  <c r="I151" i="11"/>
  <c r="K195" i="11"/>
  <c r="K223" i="11"/>
  <c r="K186" i="11"/>
  <c r="J176" i="11"/>
  <c r="G165" i="11"/>
  <c r="G178" i="11"/>
  <c r="J139" i="11"/>
  <c r="I169" i="11"/>
  <c r="I154" i="11"/>
  <c r="K200" i="11"/>
  <c r="J154" i="11"/>
  <c r="J181" i="11"/>
  <c r="G222" i="11"/>
  <c r="K221" i="11"/>
  <c r="K131" i="11"/>
  <c r="K156" i="11"/>
  <c r="K191" i="11"/>
  <c r="G207" i="11"/>
  <c r="K142" i="11"/>
  <c r="J153" i="11"/>
  <c r="I152" i="11"/>
  <c r="G103" i="11"/>
  <c r="J135" i="11"/>
  <c r="J101" i="11"/>
  <c r="K101" i="11"/>
  <c r="I139" i="11"/>
  <c r="I171" i="11"/>
  <c r="K222" i="11"/>
  <c r="K218" i="11"/>
  <c r="G191" i="11"/>
  <c r="J142" i="11"/>
  <c r="K214" i="11"/>
  <c r="I137" i="11"/>
  <c r="K182" i="11"/>
  <c r="I193" i="11"/>
  <c r="K132" i="11"/>
  <c r="J19" i="11"/>
  <c r="K159" i="11"/>
  <c r="K153" i="11"/>
  <c r="G187" i="11"/>
  <c r="I175" i="11"/>
  <c r="J157" i="11"/>
  <c r="J206" i="11"/>
  <c r="I156" i="11"/>
  <c r="G135" i="11"/>
  <c r="G182" i="11"/>
  <c r="J194" i="11"/>
  <c r="G195" i="11"/>
  <c r="I174" i="11"/>
  <c r="K103" i="11"/>
  <c r="I202" i="11"/>
  <c r="I206" i="11"/>
  <c r="G142" i="11"/>
  <c r="J178" i="11"/>
  <c r="G153" i="11"/>
  <c r="I186" i="11"/>
  <c r="G133" i="11"/>
  <c r="K194" i="11"/>
  <c r="J96" i="11"/>
  <c r="K174" i="11"/>
  <c r="K176" i="11"/>
  <c r="G221" i="11"/>
  <c r="I86" i="11"/>
  <c r="G132" i="11"/>
  <c r="J184" i="11"/>
  <c r="G186" i="11"/>
  <c r="G86" i="11"/>
  <c r="J159" i="11"/>
  <c r="J180" i="11"/>
  <c r="J208" i="11"/>
  <c r="K181" i="11"/>
  <c r="G137" i="11"/>
  <c r="G202" i="11"/>
  <c r="I101" i="11"/>
  <c r="K201" i="11"/>
  <c r="J171" i="11"/>
  <c r="J185" i="11"/>
  <c r="K203" i="11"/>
  <c r="I176" i="11"/>
  <c r="I18" i="11"/>
  <c r="I180" i="11"/>
  <c r="I183" i="11"/>
  <c r="J68" i="11"/>
  <c r="K184" i="11"/>
  <c r="K151" i="11"/>
  <c r="J221" i="11"/>
  <c r="I181" i="11"/>
  <c r="J183" i="11"/>
  <c r="K183" i="11"/>
  <c r="J131" i="11"/>
  <c r="G201" i="11"/>
  <c r="I157" i="11"/>
  <c r="G194" i="11"/>
  <c r="J186" i="11"/>
  <c r="K157" i="11"/>
  <c r="J214" i="11"/>
  <c r="I153" i="11"/>
  <c r="G96" i="11"/>
  <c r="I165" i="11"/>
  <c r="G141" i="11"/>
  <c r="J175" i="11"/>
  <c r="J207" i="11"/>
  <c r="I103" i="11"/>
  <c r="K169" i="11"/>
  <c r="J133" i="11"/>
  <c r="K208" i="11"/>
  <c r="G204" i="11"/>
  <c r="G183" i="11"/>
  <c r="I223" i="11"/>
  <c r="I158" i="11"/>
  <c r="I138" i="11"/>
  <c r="J204" i="11"/>
  <c r="G206" i="11"/>
  <c r="K204" i="11"/>
  <c r="I201" i="11"/>
  <c r="G152" i="11"/>
  <c r="K105" i="11"/>
  <c r="K219" i="11"/>
  <c r="G223" i="11"/>
  <c r="G171" i="11"/>
  <c r="K141" i="11"/>
  <c r="I208" i="11"/>
  <c r="G175" i="11"/>
  <c r="J165" i="11"/>
  <c r="J86" i="11"/>
  <c r="G154" i="11"/>
  <c r="G180" i="11"/>
  <c r="G193" i="11"/>
  <c r="K22" i="11"/>
  <c r="J195" i="11"/>
  <c r="I203" i="11"/>
  <c r="I159" i="11"/>
  <c r="J22" i="11"/>
  <c r="I207" i="11"/>
  <c r="I182" i="11"/>
  <c r="I19" i="11"/>
  <c r="K175" i="11"/>
  <c r="K193" i="11"/>
  <c r="K187" i="11"/>
  <c r="I200" i="11"/>
  <c r="I135" i="11"/>
  <c r="G18" i="11"/>
  <c r="I221" i="11"/>
  <c r="G139" i="11"/>
  <c r="K19" i="11"/>
  <c r="I178" i="11"/>
  <c r="I191" i="11"/>
  <c r="I131" i="11"/>
  <c r="K202" i="11"/>
  <c r="K185" i="11"/>
  <c r="I22" i="11"/>
  <c r="K135" i="11"/>
  <c r="I204" i="11"/>
  <c r="I213" i="11"/>
  <c r="K133" i="11"/>
  <c r="I133" i="11"/>
  <c r="J105" i="11"/>
  <c r="G68" i="11"/>
  <c r="I184" i="11"/>
  <c r="J224" i="11"/>
  <c r="G157" i="11"/>
  <c r="J222" i="11"/>
  <c r="G213" i="11"/>
  <c r="G200" i="11"/>
  <c r="J219" i="11"/>
  <c r="J132" i="11"/>
  <c r="G131" i="11"/>
  <c r="G101" i="11"/>
  <c r="G219" i="11"/>
  <c r="G48" i="12"/>
  <c r="F48" i="12"/>
  <c r="G47" i="12"/>
  <c r="F47" i="12"/>
  <c r="G51" i="12"/>
  <c r="F51" i="12"/>
  <c r="F137" i="12"/>
  <c r="F116" i="12"/>
  <c r="G117" i="12"/>
  <c r="F117" i="12"/>
  <c r="F133" i="12"/>
  <c r="F138" i="12"/>
  <c r="G136" i="12"/>
  <c r="G138" i="12"/>
  <c r="F33" i="12"/>
  <c r="G134" i="12"/>
  <c r="F31" i="12"/>
  <c r="G31" i="12"/>
  <c r="F115" i="12"/>
  <c r="G116" i="12"/>
  <c r="G33" i="12"/>
  <c r="F34" i="12"/>
  <c r="F134" i="12"/>
  <c r="F111" i="12"/>
  <c r="G137" i="12"/>
  <c r="G34" i="12"/>
  <c r="F119" i="12"/>
  <c r="G133" i="12"/>
  <c r="G115" i="12"/>
  <c r="F136" i="12"/>
  <c r="G139" i="12"/>
  <c r="F135" i="12"/>
  <c r="G111" i="12"/>
  <c r="G119" i="12"/>
  <c r="G135" i="12"/>
  <c r="F95" i="12"/>
  <c r="G95" i="12"/>
  <c r="F44" i="12"/>
  <c r="G41" i="12"/>
  <c r="G44" i="12"/>
  <c r="F42" i="12"/>
  <c r="G43" i="12"/>
  <c r="G42" i="12"/>
  <c r="F41" i="12"/>
  <c r="F96" i="12"/>
  <c r="G96" i="12"/>
  <c r="F43" i="12"/>
  <c r="F35" i="12"/>
  <c r="F21" i="12"/>
  <c r="G76" i="12"/>
  <c r="F64" i="12"/>
  <c r="G71" i="12"/>
  <c r="G37" i="12"/>
  <c r="G63" i="12"/>
  <c r="G30" i="12"/>
  <c r="G35" i="12"/>
  <c r="F65" i="12"/>
  <c r="G106" i="12"/>
  <c r="F57" i="12"/>
  <c r="F20" i="12"/>
  <c r="F82" i="12"/>
  <c r="G62" i="12"/>
  <c r="G3" i="12"/>
  <c r="F19" i="12"/>
  <c r="G4" i="12"/>
  <c r="F58" i="12"/>
  <c r="F10" i="12"/>
  <c r="G65" i="12"/>
  <c r="G21" i="12"/>
  <c r="G9" i="12"/>
  <c r="G13" i="12"/>
  <c r="F63" i="12"/>
  <c r="G58" i="12"/>
  <c r="F22" i="12"/>
  <c r="G27" i="12"/>
  <c r="G56" i="12"/>
  <c r="F76" i="12"/>
  <c r="F98" i="12"/>
  <c r="G79" i="12"/>
  <c r="G22" i="12"/>
  <c r="F101" i="12"/>
  <c r="G6" i="12"/>
  <c r="G26" i="12"/>
  <c r="F27" i="12"/>
  <c r="F38" i="12"/>
  <c r="F104" i="12"/>
  <c r="G101" i="12"/>
  <c r="G8" i="12"/>
  <c r="F78" i="12"/>
  <c r="G19" i="12"/>
  <c r="F109" i="12"/>
  <c r="F30" i="12"/>
  <c r="G16" i="12"/>
  <c r="G18" i="12"/>
  <c r="F17" i="12"/>
  <c r="F81" i="12"/>
  <c r="F56" i="12"/>
  <c r="G109" i="12"/>
  <c r="G54" i="12"/>
  <c r="G99" i="12"/>
  <c r="F105" i="12"/>
  <c r="F29" i="12"/>
  <c r="G98" i="12"/>
  <c r="G17" i="12"/>
  <c r="G66" i="12"/>
  <c r="F54" i="12"/>
  <c r="G78" i="12"/>
  <c r="G61" i="12"/>
  <c r="F99" i="12"/>
  <c r="G105" i="12"/>
  <c r="G29" i="12"/>
  <c r="F61" i="12"/>
  <c r="G20" i="12"/>
  <c r="G60" i="12"/>
  <c r="G10" i="12"/>
  <c r="F13" i="12"/>
  <c r="G12" i="12"/>
  <c r="F11" i="12"/>
  <c r="F8" i="12"/>
  <c r="G81" i="12"/>
  <c r="F60" i="12"/>
  <c r="G74" i="12"/>
  <c r="F74" i="12"/>
  <c r="F62" i="12"/>
  <c r="G11" i="12"/>
  <c r="F79" i="12"/>
  <c r="G82" i="12"/>
  <c r="G57" i="12"/>
  <c r="F18" i="12"/>
  <c r="F66" i="12"/>
  <c r="F53" i="12"/>
  <c r="F16" i="12"/>
  <c r="F12" i="12"/>
  <c r="F37" i="12"/>
  <c r="G38" i="12"/>
  <c r="F123" i="12"/>
  <c r="G104" i="12"/>
  <c r="G123" i="12"/>
  <c r="G53" i="12"/>
  <c r="F26" i="12"/>
  <c r="G64" i="12"/>
  <c r="C6" i="18"/>
  <c r="C4" i="18"/>
  <c r="C3" i="18"/>
  <c r="C5" i="18"/>
  <c r="C2" i="18"/>
  <c r="J365" i="17" l="1"/>
  <c r="J366" i="17"/>
  <c r="R16" i="27"/>
  <c r="S16" i="27" s="1"/>
  <c r="R34" i="27"/>
  <c r="S34" i="27" s="1"/>
  <c r="R60" i="27"/>
  <c r="S60" i="27" s="1"/>
  <c r="R5" i="27"/>
  <c r="S5" i="27" s="1"/>
  <c r="R66" i="27"/>
  <c r="S66" i="27" s="1"/>
  <c r="R59" i="27"/>
  <c r="S59" i="27" s="1"/>
  <c r="R23" i="27"/>
  <c r="S23" i="27" s="1"/>
  <c r="R61" i="27"/>
  <c r="S61" i="27" s="1"/>
  <c r="R51" i="27"/>
  <c r="S51" i="27" s="1"/>
  <c r="R74" i="27"/>
  <c r="S74" i="27" s="1"/>
  <c r="R63" i="27"/>
  <c r="S63" i="27" s="1"/>
  <c r="R19" i="27"/>
  <c r="S19" i="27" s="1"/>
  <c r="R71" i="27"/>
  <c r="S71" i="27" s="1"/>
  <c r="R10" i="27"/>
  <c r="S10" i="27" s="1"/>
  <c r="R57" i="27"/>
  <c r="S57" i="27" s="1"/>
  <c r="R27" i="27"/>
  <c r="S27" i="27" s="1"/>
  <c r="R73" i="27"/>
  <c r="S73" i="27" s="1"/>
  <c r="R4" i="27"/>
  <c r="S4" i="27" s="1"/>
  <c r="R64" i="27"/>
  <c r="S64" i="27" s="1"/>
  <c r="R7" i="27"/>
  <c r="S7" i="27" s="1"/>
  <c r="R48" i="27"/>
  <c r="S48" i="27" s="1"/>
  <c r="R69" i="27"/>
  <c r="S69" i="27" s="1"/>
  <c r="R54" i="27"/>
  <c r="S54" i="27" s="1"/>
  <c r="R13" i="27"/>
  <c r="S13" i="27" s="1"/>
  <c r="R9" i="27"/>
  <c r="S9" i="27" s="1"/>
  <c r="R62" i="27"/>
  <c r="S62" i="27" s="1"/>
  <c r="R72" i="27"/>
  <c r="S72" i="27" s="1"/>
  <c r="R33" i="27"/>
  <c r="S33" i="27" s="1"/>
  <c r="R49" i="27"/>
  <c r="S49" i="27" s="1"/>
  <c r="R58" i="27"/>
  <c r="S58" i="27" s="1"/>
  <c r="R40" i="27"/>
  <c r="S40" i="27" s="1"/>
  <c r="R50" i="27"/>
  <c r="S50" i="27" s="1"/>
  <c r="R22" i="27"/>
  <c r="S22" i="27" s="1"/>
  <c r="R45" i="27"/>
  <c r="S45" i="27" s="1"/>
  <c r="R41" i="27"/>
  <c r="S41" i="27" s="1"/>
  <c r="R70" i="27"/>
  <c r="S70" i="27" s="1"/>
  <c r="R6" i="27"/>
  <c r="S6" i="27" s="1"/>
  <c r="R68" i="27"/>
  <c r="S68" i="27" s="1"/>
  <c r="R65" i="27"/>
  <c r="S65" i="27" s="1"/>
  <c r="R8" i="27"/>
  <c r="S8" i="27" s="1"/>
  <c r="R11" i="27"/>
  <c r="S11" i="27" s="1"/>
  <c r="R55" i="27"/>
  <c r="S55" i="27" s="1"/>
  <c r="R36" i="27"/>
  <c r="S36" i="27" s="1"/>
  <c r="R14" i="27"/>
  <c r="S14" i="27" s="1"/>
  <c r="R67" i="27"/>
  <c r="S67" i="27" s="1"/>
  <c r="R15" i="27"/>
  <c r="S15" i="27" s="1"/>
  <c r="R77" i="27"/>
  <c r="S77" i="27" s="1"/>
  <c r="R26" i="27"/>
  <c r="S26" i="27" s="1"/>
  <c r="R75" i="27"/>
  <c r="S75" i="27" s="1"/>
  <c r="R76" i="27"/>
  <c r="S76" i="27" s="1"/>
  <c r="R37" i="27"/>
  <c r="S37" i="27" s="1"/>
  <c r="R20" i="27"/>
  <c r="S20" i="27" s="1"/>
  <c r="R28" i="27"/>
  <c r="S28" i="27" s="1"/>
  <c r="O57" i="27"/>
  <c r="P57" i="27" s="1"/>
  <c r="O4" i="27"/>
  <c r="P4" i="27" s="1"/>
  <c r="O72" i="27"/>
  <c r="P72" i="27" s="1"/>
  <c r="O34" i="27"/>
  <c r="P34" i="27" s="1"/>
  <c r="O16" i="27"/>
  <c r="P16" i="27" s="1"/>
  <c r="O23" i="27"/>
  <c r="P23" i="27" s="1"/>
  <c r="O74" i="27"/>
  <c r="P74" i="27" s="1"/>
  <c r="O54" i="27"/>
  <c r="P54" i="27" s="1"/>
  <c r="O13" i="27"/>
  <c r="P13" i="27" s="1"/>
  <c r="O40" i="27"/>
  <c r="P40" i="27" s="1"/>
  <c r="O50" i="27"/>
  <c r="P50" i="27" s="1"/>
  <c r="O58" i="27"/>
  <c r="P58" i="27" s="1"/>
  <c r="O26" i="27"/>
  <c r="P26" i="27" s="1"/>
  <c r="O36" i="27"/>
  <c r="P36" i="27" s="1"/>
  <c r="O11" i="27"/>
  <c r="P11" i="27" s="1"/>
  <c r="O37" i="27"/>
  <c r="P37" i="27" s="1"/>
  <c r="O76" i="27"/>
  <c r="P76" i="27" s="1"/>
  <c r="O63" i="27"/>
  <c r="P63" i="27" s="1"/>
  <c r="O49" i="27"/>
  <c r="P49" i="27" s="1"/>
  <c r="O8" i="27"/>
  <c r="P8" i="27" s="1"/>
  <c r="O69" i="27"/>
  <c r="P69" i="27" s="1"/>
  <c r="O77" i="27"/>
  <c r="P77" i="27" s="1"/>
  <c r="O67" i="27"/>
  <c r="P67" i="27" s="1"/>
  <c r="O51" i="27"/>
  <c r="P51" i="27" s="1"/>
  <c r="O55" i="27"/>
  <c r="P55" i="27" s="1"/>
  <c r="O75" i="27"/>
  <c r="P75" i="27" s="1"/>
  <c r="O66" i="27"/>
  <c r="P66" i="27" s="1"/>
  <c r="O64" i="27"/>
  <c r="P64" i="27" s="1"/>
  <c r="O71" i="27"/>
  <c r="P71" i="27" s="1"/>
  <c r="O70" i="27"/>
  <c r="P70" i="27" s="1"/>
  <c r="O33" i="27"/>
  <c r="P33" i="27" s="1"/>
  <c r="O9" i="27"/>
  <c r="P9" i="27" s="1"/>
  <c r="O61" i="27"/>
  <c r="P61" i="27" s="1"/>
  <c r="O73" i="27"/>
  <c r="P73" i="27" s="1"/>
  <c r="O60" i="27"/>
  <c r="P60" i="27" s="1"/>
  <c r="O59" i="27"/>
  <c r="P59" i="27" s="1"/>
  <c r="O19" i="27"/>
  <c r="P19" i="27" s="1"/>
  <c r="O22" i="27"/>
  <c r="P22" i="27" s="1"/>
  <c r="O5" i="27"/>
  <c r="P5" i="27" s="1"/>
  <c r="O10" i="27"/>
  <c r="P10" i="27" s="1"/>
  <c r="O20" i="27"/>
  <c r="P20" i="27" s="1"/>
  <c r="O15" i="27"/>
  <c r="P15" i="27" s="1"/>
  <c r="O27" i="27"/>
  <c r="P27" i="27" s="1"/>
  <c r="O41" i="27"/>
  <c r="P41" i="27" s="1"/>
  <c r="O68" i="27"/>
  <c r="P68" i="27" s="1"/>
  <c r="O6" i="27"/>
  <c r="P6" i="27" s="1"/>
  <c r="O62" i="27"/>
  <c r="P62" i="27" s="1"/>
  <c r="O45" i="27"/>
  <c r="P45" i="27" s="1"/>
  <c r="O48" i="27"/>
  <c r="P48" i="27" s="1"/>
  <c r="O65" i="27"/>
  <c r="P65" i="27" s="1"/>
  <c r="O14" i="27"/>
  <c r="P14" i="27" s="1"/>
  <c r="O7" i="27"/>
  <c r="P7" i="27" s="1"/>
  <c r="O28" i="27"/>
  <c r="P28" i="27" s="1"/>
  <c r="R3" i="27"/>
  <c r="S3" i="27" s="1"/>
  <c r="O3" i="27"/>
  <c r="P3" i="27" s="1"/>
  <c r="L6" i="11"/>
  <c r="J271" i="17"/>
  <c r="J224" i="17"/>
  <c r="J254" i="17"/>
  <c r="J339" i="17"/>
  <c r="J374" i="17"/>
  <c r="J266" i="17"/>
  <c r="J264" i="17"/>
  <c r="J364" i="17"/>
  <c r="J305" i="17"/>
  <c r="J250" i="17"/>
  <c r="J236" i="17"/>
  <c r="M88" i="12"/>
  <c r="B88" i="12" s="1"/>
  <c r="J310" i="17"/>
  <c r="J235" i="17"/>
  <c r="J309" i="17"/>
  <c r="J308" i="17"/>
  <c r="J253" i="17"/>
  <c r="J245" i="17"/>
  <c r="J244" i="17"/>
  <c r="J261" i="17"/>
  <c r="J257" i="17"/>
  <c r="J267" i="17"/>
  <c r="J265" i="17"/>
  <c r="J281" i="17"/>
  <c r="J270" i="17"/>
  <c r="J334" i="17"/>
  <c r="J288" i="17"/>
  <c r="J287" i="17"/>
  <c r="J214" i="17"/>
  <c r="J213" i="17"/>
  <c r="J276" i="17"/>
  <c r="J289" i="17"/>
  <c r="J297" i="17"/>
  <c r="J299" i="17"/>
  <c r="J301" i="17"/>
  <c r="J340" i="17"/>
  <c r="J207" i="17"/>
  <c r="J225" i="17"/>
  <c r="J223" i="17"/>
  <c r="J370" i="17"/>
  <c r="J346" i="17"/>
  <c r="J327" i="17"/>
  <c r="J319" i="17"/>
  <c r="J234" i="17"/>
  <c r="H212" i="11"/>
  <c r="L212" i="11" s="1"/>
  <c r="H213" i="11"/>
  <c r="L213" i="11" s="1"/>
  <c r="J324" i="17"/>
  <c r="J233" i="17"/>
  <c r="J280" i="17"/>
  <c r="M151" i="12"/>
  <c r="B151" i="12" s="1"/>
  <c r="J342" i="17"/>
  <c r="J304" i="17"/>
  <c r="J318" i="17"/>
  <c r="M150" i="12"/>
  <c r="B150" i="12" s="1"/>
  <c r="J284" i="17"/>
  <c r="J294" i="17"/>
  <c r="J302" i="17"/>
  <c r="J356" i="17"/>
  <c r="J79" i="17"/>
  <c r="J60" i="17"/>
  <c r="J182" i="17"/>
  <c r="J148" i="17"/>
  <c r="J202" i="17"/>
  <c r="J201" i="17"/>
  <c r="J368" i="17"/>
  <c r="J338" i="17"/>
  <c r="M149" i="12"/>
  <c r="B149" i="12" s="1"/>
  <c r="J321" i="17"/>
  <c r="J362" i="17"/>
  <c r="J361" i="17"/>
  <c r="J283" i="17"/>
  <c r="J65" i="17"/>
  <c r="J215" i="17"/>
  <c r="J216" i="17"/>
  <c r="J229" i="17"/>
  <c r="J157" i="17"/>
  <c r="J240" i="17"/>
  <c r="J217" i="17"/>
  <c r="J279" i="17"/>
  <c r="M146" i="12"/>
  <c r="B146" i="12" s="1"/>
  <c r="M144" i="12"/>
  <c r="B144" i="12" s="1"/>
  <c r="M147" i="12"/>
  <c r="B147" i="12" s="1"/>
  <c r="M145" i="12"/>
  <c r="B145" i="12" s="1"/>
  <c r="M148" i="12"/>
  <c r="B148" i="12" s="1"/>
  <c r="M89" i="12"/>
  <c r="B89" i="12" s="1"/>
  <c r="J286" i="17"/>
  <c r="J359" i="17"/>
  <c r="J358" i="17"/>
  <c r="J260" i="17"/>
  <c r="J357" i="17"/>
  <c r="J226" i="17"/>
  <c r="J222" i="17"/>
  <c r="J189" i="17"/>
  <c r="M142" i="12"/>
  <c r="B142" i="12" s="1"/>
  <c r="M143" i="12"/>
  <c r="B143" i="12" s="1"/>
  <c r="H21" i="12"/>
  <c r="H23" i="12"/>
  <c r="H31" i="12"/>
  <c r="H39" i="12"/>
  <c r="H51" i="12"/>
  <c r="H59" i="12"/>
  <c r="H63" i="12"/>
  <c r="H71" i="12"/>
  <c r="H102" i="12"/>
  <c r="H106" i="12"/>
  <c r="H110" i="12"/>
  <c r="H114" i="12"/>
  <c r="H118" i="12"/>
  <c r="H134" i="12"/>
  <c r="H138" i="12"/>
  <c r="H8" i="12"/>
  <c r="H9" i="12"/>
  <c r="H10" i="12"/>
  <c r="H11" i="12"/>
  <c r="H12" i="12"/>
  <c r="H20" i="12"/>
  <c r="H78" i="12"/>
  <c r="H98" i="12"/>
  <c r="H117" i="12"/>
  <c r="H125" i="12"/>
  <c r="H129" i="12"/>
  <c r="H133" i="12"/>
  <c r="H137" i="12"/>
  <c r="H90" i="12"/>
  <c r="H26" i="12"/>
  <c r="H34" i="12"/>
  <c r="H42" i="12"/>
  <c r="H46" i="12"/>
  <c r="H54" i="12"/>
  <c r="H58" i="12"/>
  <c r="H62" i="12"/>
  <c r="H66" i="12"/>
  <c r="H70" i="12"/>
  <c r="H74" i="12"/>
  <c r="H82" i="12"/>
  <c r="H94" i="12"/>
  <c r="H121" i="12"/>
  <c r="H17" i="12"/>
  <c r="H18" i="12"/>
  <c r="H25" i="12"/>
  <c r="H33" i="12"/>
  <c r="H41" i="12"/>
  <c r="H57" i="12"/>
  <c r="H69" i="12"/>
  <c r="H77" i="12"/>
  <c r="H89" i="12"/>
  <c r="H100" i="12"/>
  <c r="H104" i="12"/>
  <c r="H108" i="12"/>
  <c r="H112" i="12"/>
  <c r="H116" i="12"/>
  <c r="H120" i="12"/>
  <c r="H124" i="12"/>
  <c r="H128" i="12"/>
  <c r="H28" i="12"/>
  <c r="H36" i="12"/>
  <c r="H40" i="12"/>
  <c r="H48" i="12"/>
  <c r="H52" i="12"/>
  <c r="H56" i="12"/>
  <c r="H60" i="12"/>
  <c r="H64" i="12"/>
  <c r="H68" i="12"/>
  <c r="H72" i="12"/>
  <c r="H76" i="12"/>
  <c r="H80" i="12"/>
  <c r="H84" i="12"/>
  <c r="H92" i="12"/>
  <c r="H96" i="12"/>
  <c r="H99" i="12"/>
  <c r="H103" i="12"/>
  <c r="H107" i="12"/>
  <c r="H119" i="12"/>
  <c r="H123" i="12"/>
  <c r="H127" i="12"/>
  <c r="H131" i="12"/>
  <c r="H135" i="12"/>
  <c r="H15" i="12"/>
  <c r="J243" i="17"/>
  <c r="J256" i="17"/>
  <c r="M94" i="12"/>
  <c r="B94" i="12" s="1"/>
  <c r="M140" i="12"/>
  <c r="B140" i="12" s="1"/>
  <c r="M141" i="12"/>
  <c r="B141" i="12" s="1"/>
  <c r="M14" i="12"/>
  <c r="B14" i="12" s="1"/>
  <c r="M64" i="12"/>
  <c r="B64" i="12" s="1"/>
  <c r="L14" i="12"/>
  <c r="H14" i="12" s="1"/>
  <c r="M60" i="12"/>
  <c r="B60" i="12" s="1"/>
  <c r="M46" i="12"/>
  <c r="B46" i="12" s="1"/>
  <c r="M9" i="12"/>
  <c r="B9" i="12" s="1"/>
  <c r="M44" i="12"/>
  <c r="B44" i="12" s="1"/>
  <c r="M112" i="12"/>
  <c r="B112" i="12" s="1"/>
  <c r="M47" i="12"/>
  <c r="B47" i="12" s="1"/>
  <c r="H2" i="24"/>
  <c r="L12" i="13"/>
  <c r="L18" i="13"/>
  <c r="L8" i="13"/>
  <c r="M129" i="12"/>
  <c r="B129" i="12" s="1"/>
  <c r="M77" i="12"/>
  <c r="B77" i="12" s="1"/>
  <c r="M78" i="12"/>
  <c r="B78" i="12" s="1"/>
  <c r="M32" i="12"/>
  <c r="B32" i="12" s="1"/>
  <c r="L44" i="12"/>
  <c r="H44" i="12" s="1"/>
  <c r="M11" i="12"/>
  <c r="B11" i="12" s="1"/>
  <c r="L47" i="12"/>
  <c r="H47" i="12" s="1"/>
  <c r="M59" i="12"/>
  <c r="B59" i="12" s="1"/>
  <c r="L16" i="13"/>
  <c r="L20" i="13"/>
  <c r="L10" i="13"/>
  <c r="M125" i="12"/>
  <c r="B125" i="12" s="1"/>
  <c r="M121" i="12"/>
  <c r="B121" i="12" s="1"/>
  <c r="M99" i="12"/>
  <c r="B99" i="12" s="1"/>
  <c r="M102" i="12"/>
  <c r="B102" i="12" s="1"/>
  <c r="M66" i="12"/>
  <c r="B66" i="12" s="1"/>
  <c r="M110" i="12"/>
  <c r="B110" i="12" s="1"/>
  <c r="M106" i="12"/>
  <c r="B106" i="12" s="1"/>
  <c r="M23" i="12"/>
  <c r="B23" i="12" s="1"/>
  <c r="M25" i="12"/>
  <c r="B25" i="12" s="1"/>
  <c r="M26" i="12"/>
  <c r="B26" i="12" s="1"/>
  <c r="M33" i="12"/>
  <c r="B33" i="12" s="1"/>
  <c r="M36" i="12"/>
  <c r="B36" i="12" s="1"/>
  <c r="M41" i="12"/>
  <c r="B41" i="12" s="1"/>
  <c r="M52" i="12"/>
  <c r="B52" i="12" s="1"/>
  <c r="M71" i="12"/>
  <c r="B71" i="12" s="1"/>
  <c r="M133" i="12"/>
  <c r="B133" i="12" s="1"/>
  <c r="M127" i="12"/>
  <c r="B127" i="12" s="1"/>
  <c r="M123" i="12"/>
  <c r="B123" i="12" s="1"/>
  <c r="M116" i="12"/>
  <c r="B116" i="12" s="1"/>
  <c r="M90" i="12"/>
  <c r="B90" i="12" s="1"/>
  <c r="M68" i="12"/>
  <c r="B68" i="12" s="1"/>
  <c r="M108" i="12"/>
  <c r="B108" i="12" s="1"/>
  <c r="M104" i="12"/>
  <c r="B104" i="12" s="1"/>
  <c r="M92" i="12"/>
  <c r="B92" i="12" s="1"/>
  <c r="M135" i="12"/>
  <c r="B135" i="12" s="1"/>
  <c r="M62" i="12"/>
  <c r="B62" i="12" s="1"/>
  <c r="M56" i="12"/>
  <c r="B56" i="12" s="1"/>
  <c r="M137" i="12"/>
  <c r="B137" i="12" s="1"/>
  <c r="M19" i="12"/>
  <c r="B19" i="12" s="1"/>
  <c r="L19" i="12"/>
  <c r="H19" i="12" s="1"/>
  <c r="M28" i="12"/>
  <c r="B28" i="12" s="1"/>
  <c r="M35" i="12"/>
  <c r="B35" i="12" s="1"/>
  <c r="L35" i="12"/>
  <c r="H35" i="12" s="1"/>
  <c r="M40" i="12"/>
  <c r="B40" i="12" s="1"/>
  <c r="M43" i="12"/>
  <c r="B43" i="12" s="1"/>
  <c r="L43" i="12"/>
  <c r="H43" i="12" s="1"/>
  <c r="M49" i="12"/>
  <c r="B49" i="12" s="1"/>
  <c r="L49" i="12"/>
  <c r="H49" i="12" s="1"/>
  <c r="M50" i="12"/>
  <c r="B50" i="12" s="1"/>
  <c r="M51" i="12"/>
  <c r="B51" i="12" s="1"/>
  <c r="M54" i="12"/>
  <c r="B54" i="12" s="1"/>
  <c r="M76" i="12"/>
  <c r="B76" i="12" s="1"/>
  <c r="M91" i="12"/>
  <c r="B91" i="12" s="1"/>
  <c r="L91" i="12"/>
  <c r="H91" i="12" s="1"/>
  <c r="M95" i="12"/>
  <c r="B95" i="12" s="1"/>
  <c r="L95" i="12"/>
  <c r="H95" i="12" s="1"/>
  <c r="M100" i="12"/>
  <c r="B100" i="12" s="1"/>
  <c r="M96" i="12"/>
  <c r="B96" i="12" s="1"/>
  <c r="M72" i="12"/>
  <c r="B72" i="12" s="1"/>
  <c r="M8" i="12"/>
  <c r="B8" i="12" s="1"/>
  <c r="M10" i="12"/>
  <c r="B10" i="12" s="1"/>
  <c r="M12" i="12"/>
  <c r="B12" i="12" s="1"/>
  <c r="M13" i="12"/>
  <c r="B13" i="12" s="1"/>
  <c r="L13" i="12"/>
  <c r="H13" i="12" s="1"/>
  <c r="M16" i="12"/>
  <c r="B16" i="12" s="1"/>
  <c r="L16" i="12"/>
  <c r="H16" i="12" s="1"/>
  <c r="M22" i="12"/>
  <c r="B22" i="12" s="1"/>
  <c r="L22" i="12"/>
  <c r="H22" i="12" s="1"/>
  <c r="M27" i="12"/>
  <c r="B27" i="12" s="1"/>
  <c r="L27" i="12"/>
  <c r="H27" i="12" s="1"/>
  <c r="M37" i="12"/>
  <c r="B37" i="12" s="1"/>
  <c r="L37" i="12"/>
  <c r="H37" i="12" s="1"/>
  <c r="M38" i="12"/>
  <c r="B38" i="12" s="1"/>
  <c r="M39" i="12"/>
  <c r="B39" i="12" s="1"/>
  <c r="M45" i="12"/>
  <c r="B45" i="12" s="1"/>
  <c r="L45" i="12"/>
  <c r="H45" i="12" s="1"/>
  <c r="M53" i="12"/>
  <c r="B53" i="12" s="1"/>
  <c r="L53" i="12"/>
  <c r="H53" i="12" s="1"/>
  <c r="M58" i="12"/>
  <c r="B58" i="12" s="1"/>
  <c r="M61" i="12"/>
  <c r="B61" i="12" s="1"/>
  <c r="L61" i="12"/>
  <c r="H61" i="12" s="1"/>
  <c r="M63" i="12"/>
  <c r="B63" i="12" s="1"/>
  <c r="M80" i="12"/>
  <c r="B80" i="12" s="1"/>
  <c r="M69" i="12"/>
  <c r="B69" i="12" s="1"/>
  <c r="M98" i="12"/>
  <c r="B98" i="12" s="1"/>
  <c r="M119" i="12"/>
  <c r="B119" i="12" s="1"/>
  <c r="M15" i="12"/>
  <c r="B15" i="12" s="1"/>
  <c r="M17" i="12"/>
  <c r="B17" i="12" s="1"/>
  <c r="M20" i="12"/>
  <c r="B20" i="12" s="1"/>
  <c r="M21" i="12"/>
  <c r="B21" i="12" s="1"/>
  <c r="M18" i="12"/>
  <c r="B18" i="12" s="1"/>
  <c r="M24" i="12"/>
  <c r="B24" i="12" s="1"/>
  <c r="L24" i="12"/>
  <c r="H24" i="12" s="1"/>
  <c r="M29" i="12"/>
  <c r="B29" i="12" s="1"/>
  <c r="L29" i="12"/>
  <c r="H29" i="12" s="1"/>
  <c r="M30" i="12"/>
  <c r="B30" i="12" s="1"/>
  <c r="M31" i="12"/>
  <c r="B31" i="12" s="1"/>
  <c r="M34" i="12"/>
  <c r="B34" i="12" s="1"/>
  <c r="M42" i="12"/>
  <c r="B42" i="12" s="1"/>
  <c r="M48" i="12"/>
  <c r="B48" i="12" s="1"/>
  <c r="M55" i="12"/>
  <c r="B55" i="12" s="1"/>
  <c r="L55" i="12"/>
  <c r="H55" i="12" s="1"/>
  <c r="M57" i="12"/>
  <c r="B57" i="12" s="1"/>
  <c r="M65" i="12"/>
  <c r="B65" i="12" s="1"/>
  <c r="L65" i="12"/>
  <c r="H65" i="12" s="1"/>
  <c r="L67" i="12"/>
  <c r="H67" i="12" s="1"/>
  <c r="M67" i="12"/>
  <c r="B67" i="12" s="1"/>
  <c r="M74" i="12"/>
  <c r="B74" i="12" s="1"/>
  <c r="M93" i="12"/>
  <c r="B93" i="12" s="1"/>
  <c r="L93" i="12"/>
  <c r="H93" i="12" s="1"/>
  <c r="M97" i="12"/>
  <c r="B97" i="12" s="1"/>
  <c r="L97" i="12"/>
  <c r="H97" i="12" s="1"/>
  <c r="M117" i="12"/>
  <c r="B117" i="12" s="1"/>
  <c r="M122" i="12"/>
  <c r="B122" i="12" s="1"/>
  <c r="L122" i="12"/>
  <c r="H122" i="12" s="1"/>
  <c r="M128" i="12"/>
  <c r="B128" i="12" s="1"/>
  <c r="M131" i="12"/>
  <c r="B131" i="12" s="1"/>
  <c r="M138" i="12"/>
  <c r="B138" i="12" s="1"/>
  <c r="L30" i="12"/>
  <c r="H30" i="12" s="1"/>
  <c r="L32" i="12"/>
  <c r="H32" i="12" s="1"/>
  <c r="L38" i="12"/>
  <c r="H38" i="12" s="1"/>
  <c r="L50" i="12"/>
  <c r="H50" i="12" s="1"/>
  <c r="M73" i="12"/>
  <c r="B73" i="12" s="1"/>
  <c r="L73" i="12"/>
  <c r="H73" i="12" s="1"/>
  <c r="M81" i="12"/>
  <c r="B81" i="12" s="1"/>
  <c r="L81" i="12"/>
  <c r="H81" i="12" s="1"/>
  <c r="M82" i="12"/>
  <c r="B82" i="12" s="1"/>
  <c r="M101" i="12"/>
  <c r="B101" i="12" s="1"/>
  <c r="L101" i="12"/>
  <c r="H101" i="12" s="1"/>
  <c r="M114" i="12"/>
  <c r="B114" i="12" s="1"/>
  <c r="M118" i="12"/>
  <c r="B118" i="12" s="1"/>
  <c r="M124" i="12"/>
  <c r="B124" i="12" s="1"/>
  <c r="M139" i="12"/>
  <c r="B139" i="12" s="1"/>
  <c r="M83" i="12"/>
  <c r="B83" i="12" s="1"/>
  <c r="L83" i="12"/>
  <c r="H83" i="12" s="1"/>
  <c r="M84" i="12"/>
  <c r="B84" i="12" s="1"/>
  <c r="M103" i="12"/>
  <c r="B103" i="12" s="1"/>
  <c r="M105" i="12"/>
  <c r="B105" i="12" s="1"/>
  <c r="L105" i="12"/>
  <c r="H105" i="12" s="1"/>
  <c r="M120" i="12"/>
  <c r="B120" i="12" s="1"/>
  <c r="M130" i="12"/>
  <c r="B130" i="12" s="1"/>
  <c r="L130" i="12"/>
  <c r="H130" i="12" s="1"/>
  <c r="M132" i="12"/>
  <c r="B132" i="12" s="1"/>
  <c r="L132" i="12"/>
  <c r="H132" i="12" s="1"/>
  <c r="I2" i="24"/>
  <c r="M70" i="12"/>
  <c r="B70" i="12" s="1"/>
  <c r="M75" i="12"/>
  <c r="B75" i="12" s="1"/>
  <c r="L75" i="12"/>
  <c r="H75" i="12" s="1"/>
  <c r="M79" i="12"/>
  <c r="B79" i="12" s="1"/>
  <c r="L79" i="12"/>
  <c r="H79" i="12" s="1"/>
  <c r="M107" i="12"/>
  <c r="B107" i="12" s="1"/>
  <c r="M109" i="12"/>
  <c r="B109" i="12" s="1"/>
  <c r="L109" i="12"/>
  <c r="H109" i="12" s="1"/>
  <c r="M111" i="12"/>
  <c r="B111" i="12" s="1"/>
  <c r="L111" i="12"/>
  <c r="H111" i="12" s="1"/>
  <c r="M113" i="12"/>
  <c r="B113" i="12" s="1"/>
  <c r="L113" i="12"/>
  <c r="H113" i="12" s="1"/>
  <c r="M115" i="12"/>
  <c r="B115" i="12" s="1"/>
  <c r="L115" i="12"/>
  <c r="H115" i="12" s="1"/>
  <c r="M126" i="12"/>
  <c r="B126" i="12" s="1"/>
  <c r="L126" i="12"/>
  <c r="H126" i="12" s="1"/>
  <c r="M134" i="12"/>
  <c r="B134" i="12" s="1"/>
  <c r="M136" i="12"/>
  <c r="B136" i="12" s="1"/>
  <c r="L136" i="12"/>
  <c r="H136" i="12" s="1"/>
  <c r="L139" i="12"/>
  <c r="H139" i="12" s="1"/>
  <c r="V6" i="11"/>
  <c r="L6" i="13"/>
  <c r="L7" i="13"/>
  <c r="L11" i="13"/>
  <c r="L21" i="13"/>
  <c r="L14" i="13"/>
  <c r="J9" i="17"/>
  <c r="J3" i="17"/>
  <c r="J11" i="17"/>
  <c r="J18" i="17"/>
  <c r="J33" i="17"/>
  <c r="J7" i="17"/>
  <c r="J5" i="17"/>
  <c r="J13" i="17"/>
  <c r="J24" i="17"/>
  <c r="J27" i="17"/>
  <c r="T2" i="17"/>
  <c r="J4" i="17"/>
  <c r="J6" i="17"/>
  <c r="J8" i="17"/>
  <c r="J10" i="17"/>
  <c r="J12" i="17"/>
  <c r="J14" i="17"/>
  <c r="J22" i="17"/>
  <c r="J16" i="17"/>
  <c r="J41" i="17"/>
  <c r="J20" i="17"/>
  <c r="J15" i="17"/>
  <c r="J17" i="17"/>
  <c r="J19" i="17"/>
  <c r="J21" i="17"/>
  <c r="J23" i="17"/>
  <c r="J25" i="17"/>
  <c r="A170" i="23"/>
  <c r="K170" i="23" s="1"/>
  <c r="A103" i="23"/>
  <c r="K103" i="23" s="1"/>
  <c r="B46" i="23"/>
  <c r="B51" i="23"/>
  <c r="B1" i="18"/>
  <c r="A89" i="23"/>
  <c r="K89" i="23" s="1"/>
  <c r="A422" i="23"/>
  <c r="K422" i="23" s="1"/>
  <c r="B37" i="23"/>
  <c r="A79" i="23"/>
  <c r="K79" i="23" s="1"/>
  <c r="A135" i="23"/>
  <c r="K135" i="23" s="1"/>
  <c r="J49" i="17"/>
  <c r="J59" i="17"/>
  <c r="A19" i="23"/>
  <c r="K19" i="23" s="1"/>
  <c r="A129" i="23"/>
  <c r="K129" i="23" s="1"/>
  <c r="J43" i="17"/>
  <c r="J57" i="17"/>
  <c r="J211" i="17"/>
  <c r="A35" i="23"/>
  <c r="K35" i="23" s="1"/>
  <c r="A111" i="23"/>
  <c r="K111" i="23" s="1"/>
  <c r="A294" i="23"/>
  <c r="K294" i="23" s="1"/>
  <c r="A388" i="23"/>
  <c r="K388" i="23" s="1"/>
  <c r="A11" i="23"/>
  <c r="K11" i="23" s="1"/>
  <c r="A23" i="23"/>
  <c r="K23" i="23" s="1"/>
  <c r="B24" i="23"/>
  <c r="A25" i="23"/>
  <c r="K25" i="23" s="1"/>
  <c r="A49" i="23"/>
  <c r="K49" i="23" s="1"/>
  <c r="A55" i="23"/>
  <c r="K55" i="23" s="1"/>
  <c r="A151" i="23"/>
  <c r="K151" i="23" s="1"/>
  <c r="A214" i="23"/>
  <c r="K214" i="23" s="1"/>
  <c r="A260" i="23"/>
  <c r="K260" i="23" s="1"/>
  <c r="A326" i="23"/>
  <c r="K326" i="23" s="1"/>
  <c r="A457" i="23"/>
  <c r="K457" i="23" s="1"/>
  <c r="A458" i="23"/>
  <c r="K458" i="23" s="1"/>
  <c r="A459" i="23"/>
  <c r="K459" i="23" s="1"/>
  <c r="A460" i="23"/>
  <c r="K460" i="23" s="1"/>
  <c r="A489" i="23"/>
  <c r="K489" i="23" s="1"/>
  <c r="A490" i="23"/>
  <c r="K490" i="23" s="1"/>
  <c r="B21" i="23"/>
  <c r="A39" i="23"/>
  <c r="K39" i="23" s="1"/>
  <c r="A75" i="23"/>
  <c r="K75" i="23" s="1"/>
  <c r="A81" i="23"/>
  <c r="K81" i="23" s="1"/>
  <c r="A91" i="23"/>
  <c r="K91" i="23" s="1"/>
  <c r="A131" i="23"/>
  <c r="K131" i="23" s="1"/>
  <c r="A145" i="23"/>
  <c r="K145" i="23" s="1"/>
  <c r="A196" i="23"/>
  <c r="K196" i="23" s="1"/>
  <c r="J35" i="17"/>
  <c r="J51" i="17"/>
  <c r="J219" i="17"/>
  <c r="A476" i="23"/>
  <c r="K476" i="23" s="1"/>
  <c r="A420" i="23"/>
  <c r="K420" i="23" s="1"/>
  <c r="A356" i="23"/>
  <c r="K356" i="23" s="1"/>
  <c r="A292" i="23"/>
  <c r="K292" i="23" s="1"/>
  <c r="A236" i="23"/>
  <c r="K236" i="23" s="1"/>
  <c r="A222" i="23"/>
  <c r="K222" i="23" s="1"/>
  <c r="A202" i="23"/>
  <c r="K202" i="23" s="1"/>
  <c r="A174" i="23"/>
  <c r="K174" i="23" s="1"/>
  <c r="A154" i="23"/>
  <c r="K154" i="23" s="1"/>
  <c r="A143" i="23"/>
  <c r="K143" i="23" s="1"/>
  <c r="A121" i="23"/>
  <c r="K121" i="23" s="1"/>
  <c r="A99" i="23"/>
  <c r="K99" i="23" s="1"/>
  <c r="A87" i="23"/>
  <c r="K87" i="23" s="1"/>
  <c r="A71" i="23"/>
  <c r="K71" i="23" s="1"/>
  <c r="A65" i="23"/>
  <c r="K65" i="23" s="1"/>
  <c r="A47" i="23"/>
  <c r="K47" i="23" s="1"/>
  <c r="A33" i="23"/>
  <c r="K33" i="23" s="1"/>
  <c r="A27" i="23"/>
  <c r="K27" i="23" s="1"/>
  <c r="A17" i="23"/>
  <c r="K17" i="23" s="1"/>
  <c r="A15" i="23"/>
  <c r="K15" i="23" s="1"/>
  <c r="A7" i="23"/>
  <c r="K7" i="23" s="1"/>
  <c r="A358" i="23"/>
  <c r="K358" i="23" s="1"/>
  <c r="A324" i="23"/>
  <c r="K324" i="23" s="1"/>
  <c r="A262" i="23"/>
  <c r="K262" i="23" s="1"/>
  <c r="A244" i="23"/>
  <c r="K244" i="23" s="1"/>
  <c r="A218" i="23"/>
  <c r="K218" i="23" s="1"/>
  <c r="A212" i="23"/>
  <c r="K212" i="23" s="1"/>
  <c r="A190" i="23"/>
  <c r="K190" i="23" s="1"/>
  <c r="A172" i="23"/>
  <c r="K172" i="23" s="1"/>
  <c r="A162" i="23"/>
  <c r="K162" i="23" s="1"/>
  <c r="A139" i="23"/>
  <c r="K139" i="23" s="1"/>
  <c r="A123" i="23"/>
  <c r="K123" i="23" s="1"/>
  <c r="A113" i="23"/>
  <c r="K113" i="23" s="1"/>
  <c r="A107" i="23"/>
  <c r="K107" i="23" s="1"/>
  <c r="A97" i="23"/>
  <c r="K97" i="23" s="1"/>
  <c r="A67" i="23"/>
  <c r="K67" i="23" s="1"/>
  <c r="A57" i="23"/>
  <c r="K57" i="23" s="1"/>
  <c r="A9" i="23"/>
  <c r="K9" i="23" s="1"/>
  <c r="A31" i="23"/>
  <c r="K31" i="23" s="1"/>
  <c r="A43" i="23"/>
  <c r="K43" i="23" s="1"/>
  <c r="A59" i="23"/>
  <c r="K59" i="23" s="1"/>
  <c r="A119" i="23"/>
  <c r="K119" i="23" s="1"/>
  <c r="A182" i="23"/>
  <c r="K182" i="23" s="1"/>
  <c r="A390" i="23"/>
  <c r="K390" i="23" s="1"/>
  <c r="J249" i="17"/>
  <c r="J242" i="17"/>
  <c r="J232" i="17"/>
  <c r="J230" i="17"/>
  <c r="J227" i="17"/>
  <c r="J220" i="17"/>
  <c r="J218" i="17"/>
  <c r="J212" i="17"/>
  <c r="J210" i="17"/>
  <c r="J206" i="17"/>
  <c r="J204" i="17"/>
  <c r="J200" i="17"/>
  <c r="J198" i="17"/>
  <c r="J196" i="17"/>
  <c r="J194" i="17"/>
  <c r="J192" i="17"/>
  <c r="J190" i="17"/>
  <c r="J241" i="17"/>
  <c r="J221" i="17"/>
  <c r="J205" i="17"/>
  <c r="J197" i="17"/>
  <c r="J187" i="17"/>
  <c r="J185" i="17"/>
  <c r="J183" i="17"/>
  <c r="J181" i="17"/>
  <c r="J179" i="17"/>
  <c r="J177" i="17"/>
  <c r="J175" i="17"/>
  <c r="J173" i="17"/>
  <c r="J171" i="17"/>
  <c r="J169" i="17"/>
  <c r="J167" i="17"/>
  <c r="J165" i="17"/>
  <c r="J163" i="17"/>
  <c r="J161" i="17"/>
  <c r="J159" i="17"/>
  <c r="J155" i="17"/>
  <c r="J153" i="17"/>
  <c r="J151" i="17"/>
  <c r="J149" i="17"/>
  <c r="J147" i="17"/>
  <c r="J145" i="17"/>
  <c r="J143" i="17"/>
  <c r="J141" i="17"/>
  <c r="J139" i="17"/>
  <c r="J137" i="17"/>
  <c r="J135" i="17"/>
  <c r="J133" i="17"/>
  <c r="J131" i="17"/>
  <c r="J129" i="17"/>
  <c r="J127" i="17"/>
  <c r="J125" i="17"/>
  <c r="J123" i="17"/>
  <c r="J121" i="17"/>
  <c r="J119" i="17"/>
  <c r="J117" i="17"/>
  <c r="J115" i="17"/>
  <c r="J113" i="17"/>
  <c r="J111" i="17"/>
  <c r="J109" i="17"/>
  <c r="J107" i="17"/>
  <c r="J105" i="17"/>
  <c r="J103" i="17"/>
  <c r="J101" i="17"/>
  <c r="J99" i="17"/>
  <c r="J97" i="17"/>
  <c r="J95" i="17"/>
  <c r="J93" i="17"/>
  <c r="J91" i="17"/>
  <c r="J89" i="17"/>
  <c r="J87" i="17"/>
  <c r="J85" i="17"/>
  <c r="J83" i="17"/>
  <c r="J81" i="17"/>
  <c r="J77" i="17"/>
  <c r="J75" i="17"/>
  <c r="J73" i="17"/>
  <c r="J71" i="17"/>
  <c r="J69" i="17"/>
  <c r="J67" i="17"/>
  <c r="J63" i="17"/>
  <c r="J274" i="17"/>
  <c r="J199" i="17"/>
  <c r="J191" i="17"/>
  <c r="J285" i="17"/>
  <c r="J188" i="17"/>
  <c r="J184" i="17"/>
  <c r="J180" i="17"/>
  <c r="J176" i="17"/>
  <c r="J172" i="17"/>
  <c r="J168" i="17"/>
  <c r="J164" i="17"/>
  <c r="J160" i="17"/>
  <c r="J156" i="17"/>
  <c r="J152" i="17"/>
  <c r="J144" i="17"/>
  <c r="J140" i="17"/>
  <c r="J136" i="17"/>
  <c r="J132" i="17"/>
  <c r="J128" i="17"/>
  <c r="J124" i="17"/>
  <c r="J120" i="17"/>
  <c r="J116" i="17"/>
  <c r="J112" i="17"/>
  <c r="J108" i="17"/>
  <c r="J104" i="17"/>
  <c r="J100" i="17"/>
  <c r="J96" i="17"/>
  <c r="J92" i="17"/>
  <c r="J88" i="17"/>
  <c r="J84" i="17"/>
  <c r="J80" i="17"/>
  <c r="J76" i="17"/>
  <c r="J72" i="17"/>
  <c r="J68" i="17"/>
  <c r="J64" i="17"/>
  <c r="J56" i="17"/>
  <c r="J52" i="17"/>
  <c r="J48" i="17"/>
  <c r="J44" i="17"/>
  <c r="J40" i="17"/>
  <c r="J36" i="17"/>
  <c r="J32" i="17"/>
  <c r="J28" i="17"/>
  <c r="J228" i="17"/>
  <c r="J209" i="17"/>
  <c r="J193" i="17"/>
  <c r="J186" i="17"/>
  <c r="J178" i="17"/>
  <c r="J174" i="17"/>
  <c r="J170" i="17"/>
  <c r="J166" i="17"/>
  <c r="J162" i="17"/>
  <c r="J158" i="17"/>
  <c r="J154" i="17"/>
  <c r="J150" i="17"/>
  <c r="J146" i="17"/>
  <c r="J142" i="17"/>
  <c r="J138" i="17"/>
  <c r="J134" i="17"/>
  <c r="J130" i="17"/>
  <c r="J126" i="17"/>
  <c r="J122" i="17"/>
  <c r="J118" i="17"/>
  <c r="J114" i="17"/>
  <c r="J110" i="17"/>
  <c r="J106" i="17"/>
  <c r="J102" i="17"/>
  <c r="J98" i="17"/>
  <c r="J94" i="17"/>
  <c r="J90" i="17"/>
  <c r="J86" i="17"/>
  <c r="J82" i="17"/>
  <c r="J78" i="17"/>
  <c r="J74" i="17"/>
  <c r="J70" i="17"/>
  <c r="J66" i="17"/>
  <c r="J62" i="17"/>
  <c r="J58" i="17"/>
  <c r="J54" i="17"/>
  <c r="J50" i="17"/>
  <c r="J46" i="17"/>
  <c r="J42" i="17"/>
  <c r="J38" i="17"/>
  <c r="J34" i="17"/>
  <c r="J30" i="17"/>
  <c r="J26" i="17"/>
  <c r="J31" i="17"/>
  <c r="J39" i="17"/>
  <c r="J47" i="17"/>
  <c r="J55" i="17"/>
  <c r="J195" i="17"/>
  <c r="J231" i="17"/>
  <c r="J29" i="17"/>
  <c r="J37" i="17"/>
  <c r="J45" i="17"/>
  <c r="J53" i="17"/>
  <c r="J61" i="17"/>
  <c r="J203" i="17"/>
  <c r="J239" i="17"/>
  <c r="B16" i="23"/>
  <c r="B489" i="23"/>
  <c r="B487" i="23"/>
  <c r="B485" i="23"/>
  <c r="B483" i="23"/>
  <c r="B481" i="23"/>
  <c r="B479" i="23"/>
  <c r="B477" i="23"/>
  <c r="B475" i="23"/>
  <c r="B473" i="23"/>
  <c r="B471" i="23"/>
  <c r="B469" i="23"/>
  <c r="B467" i="23"/>
  <c r="B465" i="23"/>
  <c r="B463" i="23"/>
  <c r="B461" i="23"/>
  <c r="B459" i="23"/>
  <c r="B457" i="23"/>
  <c r="B455" i="23"/>
  <c r="B453" i="23"/>
  <c r="B451" i="23"/>
  <c r="B449" i="23"/>
  <c r="B447" i="23"/>
  <c r="B445" i="23"/>
  <c r="B443" i="23"/>
  <c r="B441" i="23"/>
  <c r="B439" i="23"/>
  <c r="B437" i="23"/>
  <c r="B435" i="23"/>
  <c r="B433" i="23"/>
  <c r="B490" i="23"/>
  <c r="B486" i="23"/>
  <c r="B482" i="23"/>
  <c r="B478" i="23"/>
  <c r="B474" i="23"/>
  <c r="B470" i="23"/>
  <c r="B466" i="23"/>
  <c r="B462" i="23"/>
  <c r="B458" i="23"/>
  <c r="B454" i="23"/>
  <c r="B450" i="23"/>
  <c r="B446" i="23"/>
  <c r="B442" i="23"/>
  <c r="B438" i="23"/>
  <c r="B434" i="23"/>
  <c r="B488" i="23"/>
  <c r="B480" i="23"/>
  <c r="B472" i="23"/>
  <c r="B464" i="23"/>
  <c r="B456" i="23"/>
  <c r="B448" i="23"/>
  <c r="B440" i="23"/>
  <c r="B432" i="23"/>
  <c r="B429" i="23"/>
  <c r="B426" i="23"/>
  <c r="B421" i="23"/>
  <c r="B418" i="23"/>
  <c r="B413" i="23"/>
  <c r="B410" i="23"/>
  <c r="B405" i="23"/>
  <c r="B402" i="23"/>
  <c r="B397" i="23"/>
  <c r="B394" i="23"/>
  <c r="B389" i="23"/>
  <c r="B386" i="23"/>
  <c r="B381" i="23"/>
  <c r="B378" i="23"/>
  <c r="B373" i="23"/>
  <c r="B370" i="23"/>
  <c r="B365" i="23"/>
  <c r="B362" i="23"/>
  <c r="B357" i="23"/>
  <c r="B354" i="23"/>
  <c r="B349" i="23"/>
  <c r="B346" i="23"/>
  <c r="B341" i="23"/>
  <c r="B338" i="23"/>
  <c r="B333" i="23"/>
  <c r="B330" i="23"/>
  <c r="B325" i="23"/>
  <c r="B322" i="23"/>
  <c r="B317" i="23"/>
  <c r="B314" i="23"/>
  <c r="B309" i="23"/>
  <c r="B306" i="23"/>
  <c r="B301" i="23"/>
  <c r="B298" i="23"/>
  <c r="B293" i="23"/>
  <c r="B290" i="23"/>
  <c r="B285" i="23"/>
  <c r="B282" i="23"/>
  <c r="B277" i="23"/>
  <c r="B274" i="23"/>
  <c r="B269" i="23"/>
  <c r="B266" i="23"/>
  <c r="B261" i="23"/>
  <c r="B258" i="23"/>
  <c r="B253" i="23"/>
  <c r="B250" i="23"/>
  <c r="B245" i="23"/>
  <c r="B242" i="23"/>
  <c r="B237" i="23"/>
  <c r="B234" i="23"/>
  <c r="B229" i="23"/>
  <c r="B226" i="23"/>
  <c r="B221" i="23"/>
  <c r="B218" i="23"/>
  <c r="B213" i="23"/>
  <c r="B210" i="23"/>
  <c r="B205" i="23"/>
  <c r="B202" i="23"/>
  <c r="B197" i="23"/>
  <c r="B194" i="23"/>
  <c r="B189" i="23"/>
  <c r="B186" i="23"/>
  <c r="B181" i="23"/>
  <c r="B178" i="23"/>
  <c r="B173" i="23"/>
  <c r="B170" i="23"/>
  <c r="B165" i="23"/>
  <c r="B162" i="23"/>
  <c r="B157" i="23"/>
  <c r="B154" i="23"/>
  <c r="B420" i="23"/>
  <c r="B412" i="23"/>
  <c r="B404" i="23"/>
  <c r="B396" i="23"/>
  <c r="B388" i="23"/>
  <c r="B380" i="23"/>
  <c r="B364" i="23"/>
  <c r="B356" i="23"/>
  <c r="B348" i="23"/>
  <c r="B324" i="23"/>
  <c r="B316" i="23"/>
  <c r="B303" i="23"/>
  <c r="B284" i="23"/>
  <c r="B276" i="23"/>
  <c r="B271" i="23"/>
  <c r="B268" i="23"/>
  <c r="B252" i="23"/>
  <c r="B431" i="23"/>
  <c r="B428" i="23"/>
  <c r="B423" i="23"/>
  <c r="B415" i="23"/>
  <c r="B407" i="23"/>
  <c r="B399" i="23"/>
  <c r="B391" i="23"/>
  <c r="B383" i="23"/>
  <c r="B375" i="23"/>
  <c r="B372" i="23"/>
  <c r="B367" i="23"/>
  <c r="B359" i="23"/>
  <c r="B351" i="23"/>
  <c r="B343" i="23"/>
  <c r="B340" i="23"/>
  <c r="B335" i="23"/>
  <c r="B332" i="23"/>
  <c r="B327" i="23"/>
  <c r="B319" i="23"/>
  <c r="B311" i="23"/>
  <c r="B308" i="23"/>
  <c r="B300" i="23"/>
  <c r="B295" i="23"/>
  <c r="B292" i="23"/>
  <c r="B287" i="23"/>
  <c r="B279" i="23"/>
  <c r="B263" i="23"/>
  <c r="B260" i="23"/>
  <c r="B255" i="23"/>
  <c r="B484" i="23"/>
  <c r="B468" i="23"/>
  <c r="B452" i="23"/>
  <c r="B436" i="23"/>
  <c r="B430" i="23"/>
  <c r="B416" i="23"/>
  <c r="B414" i="23"/>
  <c r="B400" i="23"/>
  <c r="B398" i="23"/>
  <c r="B384" i="23"/>
  <c r="B382" i="23"/>
  <c r="B368" i="23"/>
  <c r="B366" i="23"/>
  <c r="B352" i="23"/>
  <c r="B350" i="23"/>
  <c r="B336" i="23"/>
  <c r="B334" i="23"/>
  <c r="B320" i="23"/>
  <c r="B318" i="23"/>
  <c r="B304" i="23"/>
  <c r="B302" i="23"/>
  <c r="B288" i="23"/>
  <c r="B286" i="23"/>
  <c r="B272" i="23"/>
  <c r="B270" i="23"/>
  <c r="B256" i="23"/>
  <c r="B254" i="23"/>
  <c r="B247" i="23"/>
  <c r="B243" i="23"/>
  <c r="B238" i="23"/>
  <c r="B233" i="23"/>
  <c r="B228" i="23"/>
  <c r="B224" i="23"/>
  <c r="B215" i="23"/>
  <c r="B211" i="23"/>
  <c r="B206" i="23"/>
  <c r="B201" i="23"/>
  <c r="B196" i="23"/>
  <c r="B192" i="23"/>
  <c r="B183" i="23"/>
  <c r="B179" i="23"/>
  <c r="B174" i="23"/>
  <c r="B169" i="23"/>
  <c r="B164" i="23"/>
  <c r="B160" i="23"/>
  <c r="B151" i="23"/>
  <c r="B146" i="23"/>
  <c r="B143" i="23"/>
  <c r="B138" i="23"/>
  <c r="B135" i="23"/>
  <c r="B130" i="23"/>
  <c r="B127" i="23"/>
  <c r="B122" i="23"/>
  <c r="B119" i="23"/>
  <c r="B114" i="23"/>
  <c r="B111" i="23"/>
  <c r="B106" i="23"/>
  <c r="B103" i="23"/>
  <c r="B98" i="23"/>
  <c r="B95" i="23"/>
  <c r="B90" i="23"/>
  <c r="B87" i="23"/>
  <c r="B82" i="23"/>
  <c r="B79" i="23"/>
  <c r="B74" i="23"/>
  <c r="B71" i="23"/>
  <c r="B66" i="23"/>
  <c r="B63" i="23"/>
  <c r="B58" i="23"/>
  <c r="B55" i="23"/>
  <c r="B50" i="23"/>
  <c r="B47" i="23"/>
  <c r="B42" i="23"/>
  <c r="B39" i="23"/>
  <c r="B34" i="23"/>
  <c r="B427" i="23"/>
  <c r="B425" i="23"/>
  <c r="B411" i="23"/>
  <c r="B409" i="23"/>
  <c r="B395" i="23"/>
  <c r="B393" i="23"/>
  <c r="B379" i="23"/>
  <c r="B377" i="23"/>
  <c r="B363" i="23"/>
  <c r="B361" i="23"/>
  <c r="B347" i="23"/>
  <c r="B345" i="23"/>
  <c r="B331" i="23"/>
  <c r="B329" i="23"/>
  <c r="B315" i="23"/>
  <c r="B313" i="23"/>
  <c r="B299" i="23"/>
  <c r="B297" i="23"/>
  <c r="B283" i="23"/>
  <c r="B281" i="23"/>
  <c r="B267" i="23"/>
  <c r="B265" i="23"/>
  <c r="B251" i="23"/>
  <c r="B246" i="23"/>
  <c r="B241" i="23"/>
  <c r="B236" i="23"/>
  <c r="B232" i="23"/>
  <c r="B476" i="23"/>
  <c r="B444" i="23"/>
  <c r="B408" i="23"/>
  <c r="B406" i="23"/>
  <c r="B376" i="23"/>
  <c r="B374" i="23"/>
  <c r="B344" i="23"/>
  <c r="B342" i="23"/>
  <c r="B312" i="23"/>
  <c r="B310" i="23"/>
  <c r="B280" i="23"/>
  <c r="B278" i="23"/>
  <c r="B240" i="23"/>
  <c r="B235" i="23"/>
  <c r="B230" i="23"/>
  <c r="B225" i="23"/>
  <c r="B223" i="23"/>
  <c r="B217" i="23"/>
  <c r="B207" i="23"/>
  <c r="B204" i="23"/>
  <c r="B198" i="23"/>
  <c r="B195" i="23"/>
  <c r="B187" i="23"/>
  <c r="B176" i="23"/>
  <c r="B167" i="23"/>
  <c r="B156" i="23"/>
  <c r="B150" i="23"/>
  <c r="B145" i="23"/>
  <c r="B141" i="23"/>
  <c r="B132" i="23"/>
  <c r="B128" i="23"/>
  <c r="B123" i="23"/>
  <c r="B118" i="23"/>
  <c r="B113" i="23"/>
  <c r="B109" i="23"/>
  <c r="B100" i="23"/>
  <c r="B96" i="23"/>
  <c r="B91" i="23"/>
  <c r="B86" i="23"/>
  <c r="B81" i="23"/>
  <c r="B77" i="23"/>
  <c r="B68" i="23"/>
  <c r="B64" i="23"/>
  <c r="B59" i="23"/>
  <c r="B54" i="23"/>
  <c r="B49" i="23"/>
  <c r="B45" i="23"/>
  <c r="B36" i="23"/>
  <c r="B32" i="23"/>
  <c r="B31" i="23"/>
  <c r="B26" i="23"/>
  <c r="B23" i="23"/>
  <c r="B18" i="23"/>
  <c r="B15" i="23"/>
  <c r="B10" i="23"/>
  <c r="B7" i="23"/>
  <c r="B131" i="23"/>
  <c r="B126" i="23"/>
  <c r="B99" i="23"/>
  <c r="B94" i="23"/>
  <c r="B76" i="23"/>
  <c r="B72" i="23"/>
  <c r="B57" i="23"/>
  <c r="B53" i="23"/>
  <c r="B35" i="23"/>
  <c r="B20" i="23"/>
  <c r="B17" i="23"/>
  <c r="B360" i="23"/>
  <c r="B358" i="23"/>
  <c r="B264" i="23"/>
  <c r="B262" i="23"/>
  <c r="B220" i="23"/>
  <c r="B161" i="23"/>
  <c r="B159" i="23"/>
  <c r="B153" i="23"/>
  <c r="B148" i="23"/>
  <c r="B144" i="23"/>
  <c r="B116" i="23"/>
  <c r="B112" i="23"/>
  <c r="B84" i="23"/>
  <c r="B19" i="23"/>
  <c r="B14" i="23"/>
  <c r="B11" i="23"/>
  <c r="B419" i="23"/>
  <c r="B417" i="23"/>
  <c r="B323" i="23"/>
  <c r="B321" i="23"/>
  <c r="B231" i="23"/>
  <c r="B227" i="23"/>
  <c r="B208" i="23"/>
  <c r="B199" i="23"/>
  <c r="B180" i="23"/>
  <c r="B177" i="23"/>
  <c r="B171" i="23"/>
  <c r="B137" i="23"/>
  <c r="B133" i="23"/>
  <c r="B105" i="23"/>
  <c r="B101" i="23"/>
  <c r="B73" i="23"/>
  <c r="B69" i="23"/>
  <c r="B403" i="23"/>
  <c r="B401" i="23"/>
  <c r="B371" i="23"/>
  <c r="B369" i="23"/>
  <c r="B339" i="23"/>
  <c r="B337" i="23"/>
  <c r="B307" i="23"/>
  <c r="B305" i="23"/>
  <c r="B275" i="23"/>
  <c r="B273" i="23"/>
  <c r="B249" i="23"/>
  <c r="B244" i="23"/>
  <c r="B239" i="23"/>
  <c r="B222" i="23"/>
  <c r="B216" i="23"/>
  <c r="B214" i="23"/>
  <c r="B193" i="23"/>
  <c r="B191" i="23"/>
  <c r="B185" i="23"/>
  <c r="B175" i="23"/>
  <c r="B172" i="23"/>
  <c r="B166" i="23"/>
  <c r="B163" i="23"/>
  <c r="B155" i="23"/>
  <c r="B149" i="23"/>
  <c r="B140" i="23"/>
  <c r="B136" i="23"/>
  <c r="B121" i="23"/>
  <c r="B117" i="23"/>
  <c r="B108" i="23"/>
  <c r="B104" i="23"/>
  <c r="B89" i="23"/>
  <c r="B85" i="23"/>
  <c r="B67" i="23"/>
  <c r="B62" i="23"/>
  <c r="B44" i="23"/>
  <c r="B40" i="23"/>
  <c r="B28" i="23"/>
  <c r="B25" i="23"/>
  <c r="B12" i="23"/>
  <c r="B9" i="23"/>
  <c r="B328" i="23"/>
  <c r="B326" i="23"/>
  <c r="B248" i="23"/>
  <c r="B212" i="23"/>
  <c r="B209" i="23"/>
  <c r="B203" i="23"/>
  <c r="B139" i="23"/>
  <c r="B134" i="23"/>
  <c r="B107" i="23"/>
  <c r="B102" i="23"/>
  <c r="B80" i="23"/>
  <c r="B75" i="23"/>
  <c r="B70" i="23"/>
  <c r="B52" i="23"/>
  <c r="B48" i="23"/>
  <c r="B43" i="23"/>
  <c r="B38" i="23"/>
  <c r="B22" i="23"/>
  <c r="B387" i="23"/>
  <c r="B385" i="23"/>
  <c r="B291" i="23"/>
  <c r="B219" i="23"/>
  <c r="B168" i="23"/>
  <c r="B158" i="23"/>
  <c r="B152" i="23"/>
  <c r="B124" i="23"/>
  <c r="B88" i="23"/>
  <c r="B83" i="23"/>
  <c r="B78" i="23"/>
  <c r="B56" i="23"/>
  <c r="B460" i="23"/>
  <c r="B424" i="23"/>
  <c r="B422" i="23"/>
  <c r="B392" i="23"/>
  <c r="B390" i="23"/>
  <c r="B296" i="23"/>
  <c r="B294" i="23"/>
  <c r="B200" i="23"/>
  <c r="B190" i="23"/>
  <c r="B184" i="23"/>
  <c r="B182" i="23"/>
  <c r="B129" i="23"/>
  <c r="B125" i="23"/>
  <c r="B97" i="23"/>
  <c r="B93" i="23"/>
  <c r="B65" i="23"/>
  <c r="B61" i="23"/>
  <c r="B33" i="23"/>
  <c r="B30" i="23"/>
  <c r="B27" i="23"/>
  <c r="B6" i="23"/>
  <c r="B355" i="23"/>
  <c r="B353" i="23"/>
  <c r="B289" i="23"/>
  <c r="B259" i="23"/>
  <c r="B257" i="23"/>
  <c r="B188" i="23"/>
  <c r="B147" i="23"/>
  <c r="B142" i="23"/>
  <c r="B120" i="23"/>
  <c r="B115" i="23"/>
  <c r="B110" i="23"/>
  <c r="B92" i="23"/>
  <c r="B60" i="23"/>
  <c r="B8" i="23"/>
  <c r="B29" i="23"/>
  <c r="B41" i="23"/>
  <c r="A204" i="23"/>
  <c r="K204" i="23" s="1"/>
  <c r="A246" i="23"/>
  <c r="K246" i="23" s="1"/>
  <c r="A278" i="23"/>
  <c r="K278" i="23" s="1"/>
  <c r="A310" i="23"/>
  <c r="K310" i="23" s="1"/>
  <c r="A342" i="23"/>
  <c r="K342" i="23" s="1"/>
  <c r="A374" i="23"/>
  <c r="K374" i="23" s="1"/>
  <c r="A406" i="23"/>
  <c r="K406" i="23" s="1"/>
  <c r="A441" i="23"/>
  <c r="K441" i="23" s="1"/>
  <c r="A442" i="23"/>
  <c r="K442" i="23" s="1"/>
  <c r="A443" i="23"/>
  <c r="K443" i="23" s="1"/>
  <c r="A444" i="23"/>
  <c r="K444" i="23" s="1"/>
  <c r="A473" i="23"/>
  <c r="K473" i="23" s="1"/>
  <c r="A474" i="23"/>
  <c r="K474" i="23" s="1"/>
  <c r="A475" i="23"/>
  <c r="K475" i="23" s="1"/>
  <c r="K226" i="23"/>
  <c r="A431" i="23"/>
  <c r="K431" i="23" s="1"/>
  <c r="A429" i="23"/>
  <c r="K429" i="23" s="1"/>
  <c r="A427" i="23"/>
  <c r="K427" i="23" s="1"/>
  <c r="A425" i="23"/>
  <c r="K425" i="23" s="1"/>
  <c r="A423" i="23"/>
  <c r="K423" i="23" s="1"/>
  <c r="A421" i="23"/>
  <c r="K421" i="23" s="1"/>
  <c r="A419" i="23"/>
  <c r="K419" i="23" s="1"/>
  <c r="A417" i="23"/>
  <c r="K417" i="23" s="1"/>
  <c r="A415" i="23"/>
  <c r="K415" i="23" s="1"/>
  <c r="A413" i="23"/>
  <c r="K413" i="23" s="1"/>
  <c r="A411" i="23"/>
  <c r="K411" i="23" s="1"/>
  <c r="A409" i="23"/>
  <c r="K409" i="23" s="1"/>
  <c r="A407" i="23"/>
  <c r="K407" i="23" s="1"/>
  <c r="A405" i="23"/>
  <c r="K405" i="23" s="1"/>
  <c r="A403" i="23"/>
  <c r="K403" i="23" s="1"/>
  <c r="A401" i="23"/>
  <c r="K401" i="23" s="1"/>
  <c r="A399" i="23"/>
  <c r="K399" i="23" s="1"/>
  <c r="A397" i="23"/>
  <c r="K397" i="23" s="1"/>
  <c r="A395" i="23"/>
  <c r="K395" i="23" s="1"/>
  <c r="A393" i="23"/>
  <c r="K393" i="23" s="1"/>
  <c r="A391" i="23"/>
  <c r="K391" i="23" s="1"/>
  <c r="A389" i="23"/>
  <c r="K389" i="23" s="1"/>
  <c r="A387" i="23"/>
  <c r="K387" i="23" s="1"/>
  <c r="A385" i="23"/>
  <c r="K385" i="23" s="1"/>
  <c r="A383" i="23"/>
  <c r="K383" i="23" s="1"/>
  <c r="A381" i="23"/>
  <c r="K381" i="23" s="1"/>
  <c r="A379" i="23"/>
  <c r="K379" i="23" s="1"/>
  <c r="A377" i="23"/>
  <c r="K377" i="23" s="1"/>
  <c r="A375" i="23"/>
  <c r="K375" i="23" s="1"/>
  <c r="A373" i="23"/>
  <c r="K373" i="23" s="1"/>
  <c r="A371" i="23"/>
  <c r="K371" i="23" s="1"/>
  <c r="A369" i="23"/>
  <c r="K369" i="23" s="1"/>
  <c r="A367" i="23"/>
  <c r="K367" i="23" s="1"/>
  <c r="A365" i="23"/>
  <c r="K365" i="23" s="1"/>
  <c r="A363" i="23"/>
  <c r="K363" i="23" s="1"/>
  <c r="A361" i="23"/>
  <c r="K361" i="23" s="1"/>
  <c r="A359" i="23"/>
  <c r="K359" i="23" s="1"/>
  <c r="A357" i="23"/>
  <c r="K357" i="23" s="1"/>
  <c r="A355" i="23"/>
  <c r="K355" i="23" s="1"/>
  <c r="A353" i="23"/>
  <c r="K353" i="23" s="1"/>
  <c r="A351" i="23"/>
  <c r="K351" i="23" s="1"/>
  <c r="A349" i="23"/>
  <c r="K349" i="23" s="1"/>
  <c r="A347" i="23"/>
  <c r="K347" i="23" s="1"/>
  <c r="A345" i="23"/>
  <c r="K345" i="23" s="1"/>
  <c r="A343" i="23"/>
  <c r="K343" i="23" s="1"/>
  <c r="A341" i="23"/>
  <c r="K341" i="23" s="1"/>
  <c r="A339" i="23"/>
  <c r="K339" i="23" s="1"/>
  <c r="A337" i="23"/>
  <c r="K337" i="23" s="1"/>
  <c r="A335" i="23"/>
  <c r="K335" i="23" s="1"/>
  <c r="A333" i="23"/>
  <c r="K333" i="23" s="1"/>
  <c r="A331" i="23"/>
  <c r="K331" i="23" s="1"/>
  <c r="A329" i="23"/>
  <c r="K329" i="23" s="1"/>
  <c r="A327" i="23"/>
  <c r="K327" i="23" s="1"/>
  <c r="A325" i="23"/>
  <c r="K325" i="23" s="1"/>
  <c r="A323" i="23"/>
  <c r="K323" i="23" s="1"/>
  <c r="A321" i="23"/>
  <c r="K321" i="23" s="1"/>
  <c r="A319" i="23"/>
  <c r="K319" i="23" s="1"/>
  <c r="A317" i="23"/>
  <c r="K317" i="23" s="1"/>
  <c r="A315" i="23"/>
  <c r="K315" i="23" s="1"/>
  <c r="A313" i="23"/>
  <c r="K313" i="23" s="1"/>
  <c r="A311" i="23"/>
  <c r="K311" i="23" s="1"/>
  <c r="A309" i="23"/>
  <c r="K309" i="23" s="1"/>
  <c r="A307" i="23"/>
  <c r="K307" i="23" s="1"/>
  <c r="A305" i="23"/>
  <c r="K305" i="23" s="1"/>
  <c r="A303" i="23"/>
  <c r="K303" i="23" s="1"/>
  <c r="A301" i="23"/>
  <c r="K301" i="23" s="1"/>
  <c r="A299" i="23"/>
  <c r="K299" i="23" s="1"/>
  <c r="A297" i="23"/>
  <c r="K297" i="23" s="1"/>
  <c r="A295" i="23"/>
  <c r="K295" i="23" s="1"/>
  <c r="A293" i="23"/>
  <c r="K293" i="23" s="1"/>
  <c r="A291" i="23"/>
  <c r="K291" i="23" s="1"/>
  <c r="A289" i="23"/>
  <c r="K289" i="23" s="1"/>
  <c r="A287" i="23"/>
  <c r="K287" i="23" s="1"/>
  <c r="A285" i="23"/>
  <c r="K285" i="23" s="1"/>
  <c r="A283" i="23"/>
  <c r="K283" i="23" s="1"/>
  <c r="A281" i="23"/>
  <c r="K281" i="23" s="1"/>
  <c r="A279" i="23"/>
  <c r="K279" i="23" s="1"/>
  <c r="A277" i="23"/>
  <c r="K277" i="23" s="1"/>
  <c r="A275" i="23"/>
  <c r="K275" i="23" s="1"/>
  <c r="A273" i="23"/>
  <c r="K273" i="23" s="1"/>
  <c r="A271" i="23"/>
  <c r="K271" i="23" s="1"/>
  <c r="A269" i="23"/>
  <c r="K269" i="23" s="1"/>
  <c r="A267" i="23"/>
  <c r="K267" i="23" s="1"/>
  <c r="A265" i="23"/>
  <c r="K265" i="23" s="1"/>
  <c r="A263" i="23"/>
  <c r="K263" i="23" s="1"/>
  <c r="A261" i="23"/>
  <c r="K261" i="23" s="1"/>
  <c r="A259" i="23"/>
  <c r="K259" i="23" s="1"/>
  <c r="A257" i="23"/>
  <c r="K257" i="23" s="1"/>
  <c r="A255" i="23"/>
  <c r="K255" i="23" s="1"/>
  <c r="A253" i="23"/>
  <c r="K253" i="23" s="1"/>
  <c r="A251" i="23"/>
  <c r="K251" i="23" s="1"/>
  <c r="A249" i="23"/>
  <c r="K249" i="23" s="1"/>
  <c r="A247" i="23"/>
  <c r="K247" i="23" s="1"/>
  <c r="A245" i="23"/>
  <c r="K245" i="23" s="1"/>
  <c r="A243" i="23"/>
  <c r="K243" i="23" s="1"/>
  <c r="A241" i="23"/>
  <c r="K241" i="23" s="1"/>
  <c r="A239" i="23"/>
  <c r="K239" i="23" s="1"/>
  <c r="A237" i="23"/>
  <c r="K237" i="23" s="1"/>
  <c r="A235" i="23"/>
  <c r="K235" i="23" s="1"/>
  <c r="A233" i="23"/>
  <c r="K233" i="23" s="1"/>
  <c r="A231" i="23"/>
  <c r="K231" i="23" s="1"/>
  <c r="A229" i="23"/>
  <c r="K229" i="23" s="1"/>
  <c r="A227" i="23"/>
  <c r="K227" i="23" s="1"/>
  <c r="A225" i="23"/>
  <c r="K225" i="23" s="1"/>
  <c r="A223" i="23"/>
  <c r="K223" i="23" s="1"/>
  <c r="A221" i="23"/>
  <c r="K221" i="23" s="1"/>
  <c r="A219" i="23"/>
  <c r="K219" i="23" s="1"/>
  <c r="A217" i="23"/>
  <c r="K217" i="23" s="1"/>
  <c r="A215" i="23"/>
  <c r="K215" i="23" s="1"/>
  <c r="A213" i="23"/>
  <c r="K213" i="23" s="1"/>
  <c r="A211" i="23"/>
  <c r="K211" i="23" s="1"/>
  <c r="A209" i="23"/>
  <c r="K209" i="23" s="1"/>
  <c r="A207" i="23"/>
  <c r="K207" i="23" s="1"/>
  <c r="A205" i="23"/>
  <c r="K205" i="23" s="1"/>
  <c r="A203" i="23"/>
  <c r="K203" i="23" s="1"/>
  <c r="A201" i="23"/>
  <c r="K201" i="23" s="1"/>
  <c r="A199" i="23"/>
  <c r="K199" i="23" s="1"/>
  <c r="A197" i="23"/>
  <c r="K197" i="23" s="1"/>
  <c r="A195" i="23"/>
  <c r="K195" i="23" s="1"/>
  <c r="A193" i="23"/>
  <c r="K193" i="23" s="1"/>
  <c r="A191" i="23"/>
  <c r="K191" i="23" s="1"/>
  <c r="A189" i="23"/>
  <c r="K189" i="23" s="1"/>
  <c r="A187" i="23"/>
  <c r="K187" i="23" s="1"/>
  <c r="A185" i="23"/>
  <c r="K185" i="23" s="1"/>
  <c r="A183" i="23"/>
  <c r="K183" i="23" s="1"/>
  <c r="A181" i="23"/>
  <c r="K181" i="23" s="1"/>
  <c r="A179" i="23"/>
  <c r="K179" i="23" s="1"/>
  <c r="A177" i="23"/>
  <c r="K177" i="23" s="1"/>
  <c r="A175" i="23"/>
  <c r="K175" i="23" s="1"/>
  <c r="A173" i="23"/>
  <c r="K173" i="23" s="1"/>
  <c r="A171" i="23"/>
  <c r="K171" i="23" s="1"/>
  <c r="A169" i="23"/>
  <c r="K169" i="23" s="1"/>
  <c r="A167" i="23"/>
  <c r="K167" i="23" s="1"/>
  <c r="A165" i="23"/>
  <c r="K165" i="23" s="1"/>
  <c r="A163" i="23"/>
  <c r="K163" i="23" s="1"/>
  <c r="A161" i="23"/>
  <c r="K161" i="23" s="1"/>
  <c r="A159" i="23"/>
  <c r="K159" i="23" s="1"/>
  <c r="A157" i="23"/>
  <c r="K157" i="23" s="1"/>
  <c r="A155" i="23"/>
  <c r="K155" i="23" s="1"/>
  <c r="A153" i="23"/>
  <c r="K153" i="23" s="1"/>
  <c r="A424" i="23"/>
  <c r="K424" i="23" s="1"/>
  <c r="A416" i="23"/>
  <c r="K416" i="23" s="1"/>
  <c r="A408" i="23"/>
  <c r="K408" i="23" s="1"/>
  <c r="A400" i="23"/>
  <c r="K400" i="23" s="1"/>
  <c r="A392" i="23"/>
  <c r="K392" i="23" s="1"/>
  <c r="A384" i="23"/>
  <c r="K384" i="23" s="1"/>
  <c r="A376" i="23"/>
  <c r="K376" i="23" s="1"/>
  <c r="A368" i="23"/>
  <c r="K368" i="23" s="1"/>
  <c r="A360" i="23"/>
  <c r="K360" i="23" s="1"/>
  <c r="A352" i="23"/>
  <c r="K352" i="23" s="1"/>
  <c r="A344" i="23"/>
  <c r="K344" i="23" s="1"/>
  <c r="A336" i="23"/>
  <c r="K336" i="23" s="1"/>
  <c r="A328" i="23"/>
  <c r="K328" i="23" s="1"/>
  <c r="A320" i="23"/>
  <c r="K320" i="23" s="1"/>
  <c r="A312" i="23"/>
  <c r="K312" i="23" s="1"/>
  <c r="A304" i="23"/>
  <c r="K304" i="23" s="1"/>
  <c r="A296" i="23"/>
  <c r="K296" i="23" s="1"/>
  <c r="A288" i="23"/>
  <c r="K288" i="23" s="1"/>
  <c r="A280" i="23"/>
  <c r="K280" i="23" s="1"/>
  <c r="A272" i="23"/>
  <c r="K272" i="23" s="1"/>
  <c r="A264" i="23"/>
  <c r="K264" i="23" s="1"/>
  <c r="A256" i="23"/>
  <c r="K256" i="23" s="1"/>
  <c r="A248" i="23"/>
  <c r="K248" i="23" s="1"/>
  <c r="A240" i="23"/>
  <c r="K240" i="23" s="1"/>
  <c r="A232" i="23"/>
  <c r="K232" i="23" s="1"/>
  <c r="A224" i="23"/>
  <c r="K224" i="23" s="1"/>
  <c r="A216" i="23"/>
  <c r="K216" i="23" s="1"/>
  <c r="A208" i="23"/>
  <c r="K208" i="23" s="1"/>
  <c r="A200" i="23"/>
  <c r="K200" i="23" s="1"/>
  <c r="A192" i="23"/>
  <c r="K192" i="23" s="1"/>
  <c r="A184" i="23"/>
  <c r="K184" i="23" s="1"/>
  <c r="A176" i="23"/>
  <c r="K176" i="23" s="1"/>
  <c r="A168" i="23"/>
  <c r="K168" i="23" s="1"/>
  <c r="A160" i="23"/>
  <c r="K160" i="23" s="1"/>
  <c r="A152" i="23"/>
  <c r="K152" i="23" s="1"/>
  <c r="A150" i="23"/>
  <c r="K150" i="23" s="1"/>
  <c r="A148" i="23"/>
  <c r="K148" i="23" s="1"/>
  <c r="A146" i="23"/>
  <c r="K146" i="23" s="1"/>
  <c r="A144" i="23"/>
  <c r="K144" i="23" s="1"/>
  <c r="A142" i="23"/>
  <c r="K142" i="23" s="1"/>
  <c r="A140" i="23"/>
  <c r="K140" i="23" s="1"/>
  <c r="A138" i="23"/>
  <c r="K138" i="23" s="1"/>
  <c r="A136" i="23"/>
  <c r="K136" i="23" s="1"/>
  <c r="A134" i="23"/>
  <c r="K134" i="23" s="1"/>
  <c r="A132" i="23"/>
  <c r="K132" i="23" s="1"/>
  <c r="A130" i="23"/>
  <c r="K130" i="23" s="1"/>
  <c r="A128" i="23"/>
  <c r="K128" i="23" s="1"/>
  <c r="A126" i="23"/>
  <c r="K126" i="23" s="1"/>
  <c r="A124" i="23"/>
  <c r="K124" i="23" s="1"/>
  <c r="A122" i="23"/>
  <c r="K122" i="23" s="1"/>
  <c r="A120" i="23"/>
  <c r="K120" i="23" s="1"/>
  <c r="A118" i="23"/>
  <c r="K118" i="23" s="1"/>
  <c r="A116" i="23"/>
  <c r="K116" i="23" s="1"/>
  <c r="A114" i="23"/>
  <c r="K114" i="23" s="1"/>
  <c r="A112" i="23"/>
  <c r="K112" i="23" s="1"/>
  <c r="A110" i="23"/>
  <c r="K110" i="23" s="1"/>
  <c r="A108" i="23"/>
  <c r="K108" i="23" s="1"/>
  <c r="A106" i="23"/>
  <c r="K106" i="23" s="1"/>
  <c r="A104" i="23"/>
  <c r="K104" i="23" s="1"/>
  <c r="A102" i="23"/>
  <c r="K102" i="23" s="1"/>
  <c r="A100" i="23"/>
  <c r="K100" i="23" s="1"/>
  <c r="A98" i="23"/>
  <c r="K98" i="23" s="1"/>
  <c r="A96" i="23"/>
  <c r="K96" i="23" s="1"/>
  <c r="A94" i="23"/>
  <c r="K94" i="23" s="1"/>
  <c r="A92" i="23"/>
  <c r="K92" i="23" s="1"/>
  <c r="A90" i="23"/>
  <c r="K90" i="23" s="1"/>
  <c r="A88" i="23"/>
  <c r="K88" i="23" s="1"/>
  <c r="A86" i="23"/>
  <c r="K86" i="23" s="1"/>
  <c r="A84" i="23"/>
  <c r="K84" i="23" s="1"/>
  <c r="A82" i="23"/>
  <c r="K82" i="23" s="1"/>
  <c r="A80" i="23"/>
  <c r="K80" i="23" s="1"/>
  <c r="A78" i="23"/>
  <c r="K78" i="23" s="1"/>
  <c r="A76" i="23"/>
  <c r="K76" i="23" s="1"/>
  <c r="A74" i="23"/>
  <c r="K74" i="23" s="1"/>
  <c r="A72" i="23"/>
  <c r="K72" i="23" s="1"/>
  <c r="A70" i="23"/>
  <c r="K70" i="23" s="1"/>
  <c r="A68" i="23"/>
  <c r="K68" i="23" s="1"/>
  <c r="A66" i="23"/>
  <c r="K66" i="23" s="1"/>
  <c r="A64" i="23"/>
  <c r="K64" i="23" s="1"/>
  <c r="A62" i="23"/>
  <c r="K62" i="23" s="1"/>
  <c r="A60" i="23"/>
  <c r="K60" i="23" s="1"/>
  <c r="A58" i="23"/>
  <c r="K58" i="23" s="1"/>
  <c r="A56" i="23"/>
  <c r="K56" i="23" s="1"/>
  <c r="A54" i="23"/>
  <c r="K54" i="23" s="1"/>
  <c r="A52" i="23"/>
  <c r="K52" i="23" s="1"/>
  <c r="A50" i="23"/>
  <c r="K50" i="23" s="1"/>
  <c r="A48" i="23"/>
  <c r="K48" i="23" s="1"/>
  <c r="A46" i="23"/>
  <c r="K46" i="23" s="1"/>
  <c r="A44" i="23"/>
  <c r="K44" i="23" s="1"/>
  <c r="A42" i="23"/>
  <c r="K42" i="23" s="1"/>
  <c r="A40" i="23"/>
  <c r="K40" i="23" s="1"/>
  <c r="A38" i="23"/>
  <c r="K38" i="23" s="1"/>
  <c r="A36" i="23"/>
  <c r="K36" i="23" s="1"/>
  <c r="A34" i="23"/>
  <c r="K34" i="23" s="1"/>
  <c r="A32" i="23"/>
  <c r="K32" i="23" s="1"/>
  <c r="A30" i="23"/>
  <c r="K30" i="23" s="1"/>
  <c r="A28" i="23"/>
  <c r="K28" i="23" s="1"/>
  <c r="A26" i="23"/>
  <c r="K26" i="23" s="1"/>
  <c r="A24" i="23"/>
  <c r="K24" i="23" s="1"/>
  <c r="A22" i="23"/>
  <c r="K22" i="23" s="1"/>
  <c r="A20" i="23"/>
  <c r="K20" i="23" s="1"/>
  <c r="A18" i="23"/>
  <c r="K18" i="23" s="1"/>
  <c r="A16" i="23"/>
  <c r="K16" i="23" s="1"/>
  <c r="A14" i="23"/>
  <c r="K14" i="23" s="1"/>
  <c r="A12" i="23"/>
  <c r="K12" i="23" s="1"/>
  <c r="A10" i="23"/>
  <c r="K10" i="23" s="1"/>
  <c r="A8" i="23"/>
  <c r="K8" i="23" s="1"/>
  <c r="A6" i="23"/>
  <c r="K6" i="23" s="1"/>
  <c r="A488" i="23"/>
  <c r="K488" i="23" s="1"/>
  <c r="A486" i="23"/>
  <c r="K486" i="23" s="1"/>
  <c r="A485" i="23"/>
  <c r="K485" i="23" s="1"/>
  <c r="A480" i="23"/>
  <c r="K480" i="23" s="1"/>
  <c r="A478" i="23"/>
  <c r="K478" i="23" s="1"/>
  <c r="A472" i="23"/>
  <c r="K472" i="23" s="1"/>
  <c r="A470" i="23"/>
  <c r="K470" i="23" s="1"/>
  <c r="A469" i="23"/>
  <c r="K469" i="23" s="1"/>
  <c r="A464" i="23"/>
  <c r="K464" i="23" s="1"/>
  <c r="A462" i="23"/>
  <c r="K462" i="23" s="1"/>
  <c r="A461" i="23"/>
  <c r="K461" i="23" s="1"/>
  <c r="A456" i="23"/>
  <c r="K456" i="23" s="1"/>
  <c r="A454" i="23"/>
  <c r="K454" i="23" s="1"/>
  <c r="A447" i="23"/>
  <c r="K447" i="23" s="1"/>
  <c r="A446" i="23"/>
  <c r="K446" i="23" s="1"/>
  <c r="A440" i="23"/>
  <c r="K440" i="23" s="1"/>
  <c r="A438" i="23"/>
  <c r="K438" i="23" s="1"/>
  <c r="A432" i="23"/>
  <c r="K432" i="23" s="1"/>
  <c r="A418" i="23"/>
  <c r="K418" i="23" s="1"/>
  <c r="A410" i="23"/>
  <c r="K410" i="23" s="1"/>
  <c r="A394" i="23"/>
  <c r="K394" i="23" s="1"/>
  <c r="A386" i="23"/>
  <c r="K386" i="23" s="1"/>
  <c r="A378" i="23"/>
  <c r="K378" i="23" s="1"/>
  <c r="A354" i="23"/>
  <c r="K354" i="23" s="1"/>
  <c r="A338" i="23"/>
  <c r="K338" i="23" s="1"/>
  <c r="A322" i="23"/>
  <c r="K322" i="23" s="1"/>
  <c r="A306" i="23"/>
  <c r="K306" i="23" s="1"/>
  <c r="A298" i="23"/>
  <c r="K298" i="23" s="1"/>
  <c r="A282" i="23"/>
  <c r="K282" i="23" s="1"/>
  <c r="A274" i="23"/>
  <c r="K274" i="23" s="1"/>
  <c r="A266" i="23"/>
  <c r="K266" i="23" s="1"/>
  <c r="A487" i="23"/>
  <c r="K487" i="23" s="1"/>
  <c r="A479" i="23"/>
  <c r="K479" i="23" s="1"/>
  <c r="A477" i="23"/>
  <c r="K477" i="23" s="1"/>
  <c r="A471" i="23"/>
  <c r="K471" i="23" s="1"/>
  <c r="A463" i="23"/>
  <c r="K463" i="23" s="1"/>
  <c r="A455" i="23"/>
  <c r="K455" i="23" s="1"/>
  <c r="A453" i="23"/>
  <c r="K453" i="23" s="1"/>
  <c r="A448" i="23"/>
  <c r="K448" i="23" s="1"/>
  <c r="A445" i="23"/>
  <c r="K445" i="23" s="1"/>
  <c r="A439" i="23"/>
  <c r="K439" i="23" s="1"/>
  <c r="A437" i="23"/>
  <c r="K437" i="23" s="1"/>
  <c r="A426" i="23"/>
  <c r="K426" i="23" s="1"/>
  <c r="A402" i="23"/>
  <c r="K402" i="23" s="1"/>
  <c r="A370" i="23"/>
  <c r="K370" i="23" s="1"/>
  <c r="A362" i="23"/>
  <c r="K362" i="23" s="1"/>
  <c r="A346" i="23"/>
  <c r="K346" i="23" s="1"/>
  <c r="A330" i="23"/>
  <c r="K330" i="23" s="1"/>
  <c r="A314" i="23"/>
  <c r="K314" i="23" s="1"/>
  <c r="A290" i="23"/>
  <c r="K290" i="23" s="1"/>
  <c r="A258" i="23"/>
  <c r="K258" i="23" s="1"/>
  <c r="A428" i="23"/>
  <c r="K428" i="23" s="1"/>
  <c r="A412" i="23"/>
  <c r="K412" i="23" s="1"/>
  <c r="A396" i="23"/>
  <c r="K396" i="23" s="1"/>
  <c r="A380" i="23"/>
  <c r="K380" i="23" s="1"/>
  <c r="A364" i="23"/>
  <c r="K364" i="23" s="1"/>
  <c r="A348" i="23"/>
  <c r="K348" i="23" s="1"/>
  <c r="A332" i="23"/>
  <c r="K332" i="23" s="1"/>
  <c r="A316" i="23"/>
  <c r="K316" i="23" s="1"/>
  <c r="A300" i="23"/>
  <c r="K300" i="23" s="1"/>
  <c r="A284" i="23"/>
  <c r="K284" i="23" s="1"/>
  <c r="A268" i="23"/>
  <c r="K268" i="23" s="1"/>
  <c r="A252" i="23"/>
  <c r="K252" i="23" s="1"/>
  <c r="A242" i="23"/>
  <c r="K242" i="23" s="1"/>
  <c r="A230" i="23"/>
  <c r="K230" i="23" s="1"/>
  <c r="A220" i="23"/>
  <c r="K220" i="23" s="1"/>
  <c r="A210" i="23"/>
  <c r="K210" i="23" s="1"/>
  <c r="A198" i="23"/>
  <c r="K198" i="23" s="1"/>
  <c r="A188" i="23"/>
  <c r="K188" i="23" s="1"/>
  <c r="A178" i="23"/>
  <c r="K178" i="23" s="1"/>
  <c r="A166" i="23"/>
  <c r="K166" i="23" s="1"/>
  <c r="A156" i="23"/>
  <c r="K156" i="23" s="1"/>
  <c r="A149" i="23"/>
  <c r="K149" i="23" s="1"/>
  <c r="A141" i="23"/>
  <c r="K141" i="23" s="1"/>
  <c r="A133" i="23"/>
  <c r="K133" i="23" s="1"/>
  <c r="A125" i="23"/>
  <c r="K125" i="23" s="1"/>
  <c r="A117" i="23"/>
  <c r="K117" i="23" s="1"/>
  <c r="A109" i="23"/>
  <c r="K109" i="23" s="1"/>
  <c r="A101" i="23"/>
  <c r="K101" i="23" s="1"/>
  <c r="A93" i="23"/>
  <c r="K93" i="23" s="1"/>
  <c r="A85" i="23"/>
  <c r="K85" i="23" s="1"/>
  <c r="A77" i="23"/>
  <c r="K77" i="23" s="1"/>
  <c r="A69" i="23"/>
  <c r="K69" i="23" s="1"/>
  <c r="A61" i="23"/>
  <c r="K61" i="23" s="1"/>
  <c r="A53" i="23"/>
  <c r="K53" i="23" s="1"/>
  <c r="A45" i="23"/>
  <c r="K45" i="23" s="1"/>
  <c r="A37" i="23"/>
  <c r="K37" i="23" s="1"/>
  <c r="A484" i="23"/>
  <c r="K484" i="23" s="1"/>
  <c r="A483" i="23"/>
  <c r="K483" i="23" s="1"/>
  <c r="A482" i="23"/>
  <c r="K482" i="23" s="1"/>
  <c r="A481" i="23"/>
  <c r="K481" i="23" s="1"/>
  <c r="A468" i="23"/>
  <c r="K468" i="23" s="1"/>
  <c r="A467" i="23"/>
  <c r="K467" i="23" s="1"/>
  <c r="A466" i="23"/>
  <c r="K466" i="23" s="1"/>
  <c r="A465" i="23"/>
  <c r="K465" i="23" s="1"/>
  <c r="A452" i="23"/>
  <c r="K452" i="23" s="1"/>
  <c r="A451" i="23"/>
  <c r="K451" i="23" s="1"/>
  <c r="A450" i="23"/>
  <c r="K450" i="23" s="1"/>
  <c r="A449" i="23"/>
  <c r="K449" i="23" s="1"/>
  <c r="A436" i="23"/>
  <c r="K436" i="23" s="1"/>
  <c r="A435" i="23"/>
  <c r="K435" i="23" s="1"/>
  <c r="A434" i="23"/>
  <c r="K434" i="23" s="1"/>
  <c r="A433" i="23"/>
  <c r="K433" i="23" s="1"/>
  <c r="A430" i="23"/>
  <c r="K430" i="23" s="1"/>
  <c r="A414" i="23"/>
  <c r="K414" i="23" s="1"/>
  <c r="A398" i="23"/>
  <c r="K398" i="23" s="1"/>
  <c r="A382" i="23"/>
  <c r="K382" i="23" s="1"/>
  <c r="A366" i="23"/>
  <c r="K366" i="23" s="1"/>
  <c r="A350" i="23"/>
  <c r="K350" i="23" s="1"/>
  <c r="A334" i="23"/>
  <c r="K334" i="23" s="1"/>
  <c r="A318" i="23"/>
  <c r="K318" i="23" s="1"/>
  <c r="A302" i="23"/>
  <c r="K302" i="23" s="1"/>
  <c r="A286" i="23"/>
  <c r="K286" i="23" s="1"/>
  <c r="A270" i="23"/>
  <c r="K270" i="23" s="1"/>
  <c r="A254" i="23"/>
  <c r="K254" i="23" s="1"/>
  <c r="A250" i="23"/>
  <c r="K250" i="23" s="1"/>
  <c r="A238" i="23"/>
  <c r="K238" i="23" s="1"/>
  <c r="A228" i="23"/>
  <c r="K228" i="23" s="1"/>
  <c r="A13" i="23"/>
  <c r="K13" i="23" s="1"/>
  <c r="A21" i="23"/>
  <c r="K21" i="23" s="1"/>
  <c r="A29" i="23"/>
  <c r="K29" i="23" s="1"/>
  <c r="A41" i="23"/>
  <c r="K41" i="23" s="1"/>
  <c r="A51" i="23"/>
  <c r="K51" i="23" s="1"/>
  <c r="A63" i="23"/>
  <c r="K63" i="23" s="1"/>
  <c r="A73" i="23"/>
  <c r="K73" i="23" s="1"/>
  <c r="A83" i="23"/>
  <c r="K83" i="23" s="1"/>
  <c r="A95" i="23"/>
  <c r="K95" i="23" s="1"/>
  <c r="A105" i="23"/>
  <c r="K105" i="23" s="1"/>
  <c r="A115" i="23"/>
  <c r="K115" i="23" s="1"/>
  <c r="A127" i="23"/>
  <c r="K127" i="23" s="1"/>
  <c r="A137" i="23"/>
  <c r="K137" i="23" s="1"/>
  <c r="A147" i="23"/>
  <c r="K147" i="23" s="1"/>
  <c r="A158" i="23"/>
  <c r="K158" i="23" s="1"/>
  <c r="A164" i="23"/>
  <c r="K164" i="23" s="1"/>
  <c r="A180" i="23"/>
  <c r="K180" i="23" s="1"/>
  <c r="A186" i="23"/>
  <c r="K186" i="23" s="1"/>
  <c r="A194" i="23"/>
  <c r="K194" i="23" s="1"/>
  <c r="A206" i="23"/>
  <c r="K206" i="23" s="1"/>
  <c r="A234" i="23"/>
  <c r="K234" i="23" s="1"/>
  <c r="A276" i="23"/>
  <c r="K276" i="23" s="1"/>
  <c r="A308" i="23"/>
  <c r="K308" i="23" s="1"/>
  <c r="A340" i="23"/>
  <c r="K340" i="23" s="1"/>
  <c r="A372" i="23"/>
  <c r="K372" i="23" s="1"/>
  <c r="A404" i="23"/>
  <c r="K404" i="23" s="1"/>
  <c r="J252" i="17"/>
  <c r="J360" i="17"/>
</calcChain>
</file>

<file path=xl/sharedStrings.xml><?xml version="1.0" encoding="utf-8"?>
<sst xmlns="http://schemas.openxmlformats.org/spreadsheetml/2006/main" count="5637" uniqueCount="2734">
  <si>
    <t>表格欄位/代號種類^=^S^;^週期編號^=^D^;^AllCMenuIDs^=^M002^;^是否轉置^=^False^;^檢視方式^=^2^;^AllFields^=^收盤價^;^MainTable^=^^;^ListType^=^^;^SelectDate^=^TOP 1^;^SelectCMenuID^=^M002^;^SelectDate種類^=^1^;^AllFieldsNO^=^^;^自訂欄位公式^=^^;^自訂欄位Where條件^=^^;^多期數值處理方式^=^1^;^多欄指定個股方式^=^^;^多欄指定個股^=^^;^多欄指定群組名稱^=^^;^欄位顯示狀態^=^1^;^欄位轉換日期方式^=^^;^欄位排序方式^=^^;^欄位採用各期最新^=^^;^樣本表系統定義全部代號^=^^;^單項目比較欄位^=^^;^單項目比較欄位編號^=^^;^表格類型^=^</t>
  </si>
  <si>
    <t>日收盤表排行.收盤價/每一期/最近/1/遞增/日//</t>
  </si>
  <si>
    <t>基準日:最近一日</t>
  </si>
  <si>
    <t>資料日期/</t>
  </si>
  <si>
    <t>更新標題:是</t>
  </si>
  <si>
    <t>參考標題</t>
  </si>
  <si>
    <t>股票代號</t>
  </si>
  <si>
    <t>股票名稱</t>
  </si>
  <si>
    <t>昨收</t>
    <phoneticPr fontId="6" type="noConversion"/>
  </si>
  <si>
    <t>成交價</t>
  </si>
  <si>
    <t>Bid1</t>
  </si>
  <si>
    <t>Ask1</t>
  </si>
  <si>
    <t>0050</t>
  </si>
  <si>
    <t>0051</t>
  </si>
  <si>
    <t>0052</t>
  </si>
  <si>
    <t>0053</t>
  </si>
  <si>
    <t>0054</t>
  </si>
  <si>
    <t>0055</t>
  </si>
  <si>
    <t>0056</t>
  </si>
  <si>
    <t>0057</t>
  </si>
  <si>
    <t>0058</t>
  </si>
  <si>
    <t>0059</t>
  </si>
  <si>
    <t>0061</t>
  </si>
  <si>
    <t>006201</t>
  </si>
  <si>
    <t>006203</t>
  </si>
  <si>
    <t>006204</t>
  </si>
  <si>
    <t>006205</t>
  </si>
  <si>
    <t>006206</t>
  </si>
  <si>
    <t>006207</t>
  </si>
  <si>
    <t>006208</t>
  </si>
  <si>
    <t>00625K</t>
  </si>
  <si>
    <t>00631L</t>
  </si>
  <si>
    <t>00632R</t>
  </si>
  <si>
    <t>00633L</t>
  </si>
  <si>
    <t>00634R</t>
  </si>
  <si>
    <t>00635U</t>
  </si>
  <si>
    <t>00636</t>
  </si>
  <si>
    <t>00636K</t>
  </si>
  <si>
    <t>00637L</t>
  </si>
  <si>
    <t>00638R</t>
  </si>
  <si>
    <t>00639</t>
  </si>
  <si>
    <t>00640L</t>
  </si>
  <si>
    <t>00641R</t>
  </si>
  <si>
    <t>00642U</t>
  </si>
  <si>
    <t>00643</t>
  </si>
  <si>
    <t>00643K</t>
  </si>
  <si>
    <t>00645</t>
  </si>
  <si>
    <t>00646</t>
  </si>
  <si>
    <t>00647L</t>
  </si>
  <si>
    <t>00648R</t>
  </si>
  <si>
    <t>00649</t>
  </si>
  <si>
    <t>00650L</t>
  </si>
  <si>
    <t>00651R</t>
  </si>
  <si>
    <t>00652</t>
  </si>
  <si>
    <t>00653L</t>
  </si>
  <si>
    <t>00654R</t>
  </si>
  <si>
    <t>00655L</t>
  </si>
  <si>
    <t>00656R</t>
  </si>
  <si>
    <t>00657</t>
  </si>
  <si>
    <t>00657K</t>
  </si>
  <si>
    <t>00658L</t>
  </si>
  <si>
    <t>00659R</t>
  </si>
  <si>
    <t>00660</t>
  </si>
  <si>
    <t>00661</t>
  </si>
  <si>
    <t>00662</t>
  </si>
  <si>
    <t>00663L</t>
  </si>
  <si>
    <t>00664R</t>
  </si>
  <si>
    <t>00665L</t>
  </si>
  <si>
    <t>00666R</t>
  </si>
  <si>
    <t>00668</t>
  </si>
  <si>
    <t>00668K</t>
  </si>
  <si>
    <t>00669R</t>
  </si>
  <si>
    <t>00670L</t>
  </si>
  <si>
    <t>00671R</t>
  </si>
  <si>
    <t>00672L</t>
  </si>
  <si>
    <t>00673R</t>
  </si>
  <si>
    <t>00674R</t>
  </si>
  <si>
    <t>00675L</t>
  </si>
  <si>
    <t>00676R</t>
  </si>
  <si>
    <t>00677U</t>
  </si>
  <si>
    <t>00678</t>
  </si>
  <si>
    <t>00679B</t>
  </si>
  <si>
    <t>00680L</t>
  </si>
  <si>
    <t>00681R</t>
  </si>
  <si>
    <t>00682U</t>
  </si>
  <si>
    <t>00683L</t>
  </si>
  <si>
    <t>00684R</t>
  </si>
  <si>
    <t>00685L</t>
  </si>
  <si>
    <t>00686R</t>
  </si>
  <si>
    <t>00687B</t>
  </si>
  <si>
    <t>00688L</t>
  </si>
  <si>
    <t>00689R</t>
  </si>
  <si>
    <t>00690</t>
  </si>
  <si>
    <t>00691R</t>
  </si>
  <si>
    <t>00692</t>
  </si>
  <si>
    <t>00693U</t>
  </si>
  <si>
    <t>00694B</t>
  </si>
  <si>
    <t>00695B</t>
  </si>
  <si>
    <t>00696B</t>
  </si>
  <si>
    <t>00697B</t>
  </si>
  <si>
    <t>00700</t>
  </si>
  <si>
    <t>00701</t>
  </si>
  <si>
    <t>00702</t>
  </si>
  <si>
    <t>00703</t>
  </si>
  <si>
    <t>00706L</t>
  </si>
  <si>
    <t>00707R</t>
  </si>
  <si>
    <t>00708L</t>
  </si>
  <si>
    <t>00709</t>
  </si>
  <si>
    <t>00710B</t>
  </si>
  <si>
    <t>00711B</t>
  </si>
  <si>
    <t>00712</t>
  </si>
  <si>
    <t>00713</t>
  </si>
  <si>
    <t>00714</t>
  </si>
  <si>
    <t>00715L</t>
  </si>
  <si>
    <t>00717</t>
  </si>
  <si>
    <t>00718B</t>
  </si>
  <si>
    <t>00719B</t>
  </si>
  <si>
    <t>00720B</t>
  </si>
  <si>
    <t>00721B</t>
  </si>
  <si>
    <t>00722B</t>
  </si>
  <si>
    <t>00723B</t>
  </si>
  <si>
    <t>00724B</t>
  </si>
  <si>
    <t>00725B</t>
  </si>
  <si>
    <t>00726B</t>
  </si>
  <si>
    <t>00727B</t>
  </si>
  <si>
    <t>00728</t>
  </si>
  <si>
    <t>00730</t>
  </si>
  <si>
    <t>00731</t>
  </si>
  <si>
    <t>00732</t>
  </si>
  <si>
    <t>00733</t>
  </si>
  <si>
    <t>00734B</t>
  </si>
  <si>
    <t>00735</t>
  </si>
  <si>
    <t>00736</t>
  </si>
  <si>
    <t>00737</t>
  </si>
  <si>
    <t>00738U</t>
  </si>
  <si>
    <t>00739</t>
  </si>
  <si>
    <t>00740B</t>
  </si>
  <si>
    <t>00741B</t>
  </si>
  <si>
    <t>00742</t>
  </si>
  <si>
    <t>00743</t>
  </si>
  <si>
    <t>00744B</t>
  </si>
  <si>
    <t>00745B</t>
  </si>
  <si>
    <t>00746B</t>
  </si>
  <si>
    <t>00747B</t>
  </si>
  <si>
    <t>00748B</t>
  </si>
  <si>
    <t>00749B</t>
  </si>
  <si>
    <t>00750B</t>
  </si>
  <si>
    <t>00751B</t>
  </si>
  <si>
    <t>00752</t>
  </si>
  <si>
    <t>00753L</t>
  </si>
  <si>
    <t>00754B</t>
  </si>
  <si>
    <t>00755B</t>
  </si>
  <si>
    <t>00756B</t>
  </si>
  <si>
    <t>00757</t>
  </si>
  <si>
    <t>00758B</t>
  </si>
  <si>
    <t>00759B</t>
  </si>
  <si>
    <t>00760B</t>
  </si>
  <si>
    <t>00761B</t>
  </si>
  <si>
    <t>00762</t>
  </si>
  <si>
    <t>00763U</t>
  </si>
  <si>
    <t>00764B</t>
  </si>
  <si>
    <t>00765B</t>
  </si>
  <si>
    <t>00766L</t>
  </si>
  <si>
    <t>00767</t>
  </si>
  <si>
    <t>00768B</t>
  </si>
  <si>
    <t>00769B</t>
  </si>
  <si>
    <t>00770</t>
  </si>
  <si>
    <t>00771</t>
  </si>
  <si>
    <t>00772B</t>
  </si>
  <si>
    <t>00773B</t>
  </si>
  <si>
    <t>00774B</t>
  </si>
  <si>
    <t>00775B</t>
  </si>
  <si>
    <t>00776</t>
  </si>
  <si>
    <t>00777B</t>
  </si>
  <si>
    <t>00778B</t>
  </si>
  <si>
    <t>00779B</t>
  </si>
  <si>
    <t>00780B</t>
  </si>
  <si>
    <t>00781B</t>
  </si>
  <si>
    <t>00782B</t>
  </si>
  <si>
    <t>00783</t>
  </si>
  <si>
    <t>00784B</t>
  </si>
  <si>
    <t>00785B</t>
  </si>
  <si>
    <t>00786B</t>
  </si>
  <si>
    <t>00787B</t>
  </si>
  <si>
    <t>00788B</t>
  </si>
  <si>
    <t>00789B</t>
  </si>
  <si>
    <t>00790B</t>
  </si>
  <si>
    <t>00791B</t>
  </si>
  <si>
    <t>00792B</t>
  </si>
  <si>
    <t>00793B</t>
  </si>
  <si>
    <t>00794B</t>
  </si>
  <si>
    <t>00795B</t>
  </si>
  <si>
    <t>00796B</t>
  </si>
  <si>
    <t>00797B</t>
  </si>
  <si>
    <t>00798B</t>
  </si>
  <si>
    <t>00799B</t>
  </si>
  <si>
    <t>008201</t>
  </si>
  <si>
    <t>00830</t>
  </si>
  <si>
    <t>00831B</t>
  </si>
  <si>
    <t>00832B</t>
  </si>
  <si>
    <t>00833B</t>
  </si>
  <si>
    <t>00834B</t>
  </si>
  <si>
    <t>00835B</t>
  </si>
  <si>
    <t>00836B</t>
  </si>
  <si>
    <t>00837B</t>
  </si>
  <si>
    <t>00838B</t>
  </si>
  <si>
    <t>00839B</t>
  </si>
  <si>
    <t>00840B</t>
  </si>
  <si>
    <t>00841B</t>
  </si>
  <si>
    <t>00842B</t>
  </si>
  <si>
    <t>1101</t>
  </si>
  <si>
    <t>1102</t>
  </si>
  <si>
    <t>1210</t>
  </si>
  <si>
    <t>1216</t>
  </si>
  <si>
    <t>1227</t>
  </si>
  <si>
    <t>1229</t>
  </si>
  <si>
    <t>1301</t>
  </si>
  <si>
    <t>1303</t>
  </si>
  <si>
    <t>1314</t>
  </si>
  <si>
    <t>1319</t>
  </si>
  <si>
    <t>1326</t>
  </si>
  <si>
    <t>1402</t>
  </si>
  <si>
    <t>1434</t>
  </si>
  <si>
    <t>1476</t>
  </si>
  <si>
    <t>1477</t>
  </si>
  <si>
    <t>1504</t>
  </si>
  <si>
    <t>1507</t>
  </si>
  <si>
    <t>1536</t>
  </si>
  <si>
    <t>1590</t>
  </si>
  <si>
    <t>1605</t>
  </si>
  <si>
    <t>1707</t>
  </si>
  <si>
    <t>1722</t>
  </si>
  <si>
    <t>1723</t>
  </si>
  <si>
    <t>1802</t>
  </si>
  <si>
    <t>2002</t>
  </si>
  <si>
    <t>2027</t>
  </si>
  <si>
    <t>2049</t>
  </si>
  <si>
    <t>2059</t>
  </si>
  <si>
    <t>2101</t>
  </si>
  <si>
    <t>2103</t>
  </si>
  <si>
    <t>2104</t>
  </si>
  <si>
    <t>2105</t>
  </si>
  <si>
    <t>2201</t>
  </si>
  <si>
    <t>2204</t>
  </si>
  <si>
    <t>2207</t>
  </si>
  <si>
    <t>2227</t>
  </si>
  <si>
    <t>2231</t>
  </si>
  <si>
    <t>2301</t>
  </si>
  <si>
    <t>2303</t>
  </si>
  <si>
    <t>2308</t>
  </si>
  <si>
    <t>2313</t>
  </si>
  <si>
    <t>2317</t>
  </si>
  <si>
    <t>2324</t>
  </si>
  <si>
    <t>2327</t>
  </si>
  <si>
    <t>2330</t>
  </si>
  <si>
    <t>2337</t>
  </si>
  <si>
    <t>2344</t>
  </si>
  <si>
    <t>2345</t>
  </si>
  <si>
    <t>2347</t>
  </si>
  <si>
    <t>2352</t>
  </si>
  <si>
    <t>2353</t>
  </si>
  <si>
    <t>2354</t>
  </si>
  <si>
    <t>2356</t>
  </si>
  <si>
    <t>2357</t>
  </si>
  <si>
    <t>2360</t>
  </si>
  <si>
    <t>2371</t>
  </si>
  <si>
    <t>2376</t>
  </si>
  <si>
    <t>2377</t>
  </si>
  <si>
    <t>2379</t>
  </si>
  <si>
    <t>2382</t>
  </si>
  <si>
    <t>2383</t>
  </si>
  <si>
    <t>2385</t>
  </si>
  <si>
    <t>2395</t>
  </si>
  <si>
    <t>2408</t>
  </si>
  <si>
    <t>2409</t>
  </si>
  <si>
    <t>2412</t>
  </si>
  <si>
    <t>2439</t>
  </si>
  <si>
    <t>2441</t>
  </si>
  <si>
    <t>2448</t>
  </si>
  <si>
    <t>2449</t>
  </si>
  <si>
    <t>2451</t>
  </si>
  <si>
    <t>2454</t>
  </si>
  <si>
    <t>2474</t>
  </si>
  <si>
    <t>2492</t>
  </si>
  <si>
    <t>2498</t>
  </si>
  <si>
    <t>2501</t>
  </si>
  <si>
    <t>2542</t>
  </si>
  <si>
    <t>2603</t>
  </si>
  <si>
    <t>2606</t>
  </si>
  <si>
    <t>2610</t>
  </si>
  <si>
    <t>2615</t>
  </si>
  <si>
    <t>2618</t>
  </si>
  <si>
    <t>2633</t>
  </si>
  <si>
    <t>2723</t>
  </si>
  <si>
    <t>2801</t>
  </si>
  <si>
    <t>2809</t>
  </si>
  <si>
    <t>2812</t>
  </si>
  <si>
    <t>2823</t>
  </si>
  <si>
    <t>2834</t>
  </si>
  <si>
    <t>2845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</si>
  <si>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</si>
  <si>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</si>
  <si>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</si>
  <si>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</si>
  <si>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</si>
  <si>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</si>
  <si>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</si>
  <si>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</si>
  <si>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</si>
  <si>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</si>
  <si>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</si>
  <si>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</si>
  <si>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</si>
  <si>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</si>
  <si>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2912</t>
  </si>
  <si>
    <t>2915</t>
  </si>
  <si>
    <t>3005</t>
  </si>
  <si>
    <t>3008</t>
  </si>
  <si>
    <t>3034</t>
  </si>
  <si>
    <t>3037</t>
  </si>
  <si>
    <t>3044</t>
  </si>
  <si>
    <t>3045</t>
  </si>
  <si>
    <t>3231</t>
  </si>
  <si>
    <t>3406</t>
  </si>
  <si>
    <t>3443</t>
  </si>
  <si>
    <t>3481</t>
  </si>
  <si>
    <t>3532</t>
  </si>
  <si>
    <t>3682</t>
  </si>
  <si>
    <t>3702</t>
  </si>
  <si>
    <t>3706</t>
  </si>
  <si>
    <t>3711</t>
  </si>
  <si>
    <t>4904</t>
  </si>
  <si>
    <t>4938</t>
  </si>
  <si>
    <t>4958</t>
  </si>
  <si>
    <t>5269</t>
  </si>
  <si>
    <t>5522</t>
  </si>
  <si>
    <t>5534</t>
  </si>
  <si>
    <t>5871</t>
  </si>
  <si>
    <t>5876</t>
  </si>
  <si>
    <t>5880</t>
  </si>
  <si>
    <t>6176</t>
  </si>
  <si>
    <t>6239</t>
  </si>
  <si>
    <t>6269</t>
  </si>
  <si>
    <t>6285</t>
  </si>
  <si>
    <t>6409</t>
  </si>
  <si>
    <t>6415</t>
  </si>
  <si>
    <t>6456</t>
  </si>
  <si>
    <t>6505</t>
  </si>
  <si>
    <t>6669</t>
  </si>
  <si>
    <t>8341</t>
  </si>
  <si>
    <t>8454</t>
  </si>
  <si>
    <t>8464</t>
  </si>
  <si>
    <t>9904</t>
  </si>
  <si>
    <t>9910</t>
  </si>
  <si>
    <t>9914</t>
  </si>
  <si>
    <t>9917</t>
  </si>
  <si>
    <t>9921</t>
  </si>
  <si>
    <t>9933</t>
  </si>
  <si>
    <t>9941</t>
  </si>
  <si>
    <t>9945</t>
  </si>
  <si>
    <t>ETF折溢價表.淨值/每一期/最近/1/遞增/日//最新</t>
  </si>
  <si>
    <t>ETF折溢價表.基金淨資產價值(千)/每一期/最近/1/遞增/日//最新</t>
  </si>
  <si>
    <t>ETF折溢價表.已發行受益權單位總數(千)/每一期/最近/1/遞增/日//最新</t>
  </si>
  <si>
    <t>元大寶滬深</t>
  </si>
  <si>
    <t>富邦上証</t>
  </si>
  <si>
    <t>元大上證50</t>
  </si>
  <si>
    <t>FH滬深</t>
  </si>
  <si>
    <t>富邦台50</t>
  </si>
  <si>
    <t>元大台灣50正2</t>
  </si>
  <si>
    <t>元大台灣50反1</t>
  </si>
  <si>
    <t>富邦上証正2</t>
  </si>
  <si>
    <t>富邦上証反1</t>
  </si>
  <si>
    <t>國泰中國A50</t>
  </si>
  <si>
    <t>元大滬深300正2</t>
  </si>
  <si>
    <t>元大滬深300反1</t>
  </si>
  <si>
    <t>富邦深100</t>
  </si>
  <si>
    <t>富邦日本正2</t>
  </si>
  <si>
    <t>富邦日本反1</t>
  </si>
  <si>
    <t>群益深証中小</t>
  </si>
  <si>
    <t>富邦日本</t>
  </si>
  <si>
    <t>元大S&amp;P500</t>
  </si>
  <si>
    <t>元大S&amp;P500正2</t>
  </si>
  <si>
    <t>元大S&amp;P500反1</t>
  </si>
  <si>
    <t>FH香港</t>
  </si>
  <si>
    <t>FH香港正2</t>
  </si>
  <si>
    <t>FH香港反1</t>
  </si>
  <si>
    <t>富邦印度</t>
  </si>
  <si>
    <t>富邦印度正2</t>
  </si>
  <si>
    <t>富邦印度反1</t>
  </si>
  <si>
    <t>國泰中國A50正2</t>
  </si>
  <si>
    <t>國泰中國A50反1</t>
  </si>
  <si>
    <t>國泰日經225</t>
  </si>
  <si>
    <t>國泰日本正2</t>
  </si>
  <si>
    <t>國泰日本反1</t>
  </si>
  <si>
    <t>元大歐洲50</t>
  </si>
  <si>
    <t>元大日經225</t>
  </si>
  <si>
    <t>富邦NASDAQ</t>
  </si>
  <si>
    <t>國泰臺灣加權正2</t>
  </si>
  <si>
    <t>國泰臺灣加權反1</t>
  </si>
  <si>
    <t>國泰美國道瓊</t>
  </si>
  <si>
    <t>國泰美國道瓊反1</t>
  </si>
  <si>
    <t>富邦NASDAQ正2</t>
  </si>
  <si>
    <t>富邦NASDAQ反1</t>
  </si>
  <si>
    <t>富邦臺灣加權正2</t>
  </si>
  <si>
    <t>富邦臺灣加權反1</t>
  </si>
  <si>
    <t>富邦VIX</t>
  </si>
  <si>
    <t>群益NBI生技</t>
  </si>
  <si>
    <t>群益臺灣加權正2</t>
  </si>
  <si>
    <t>群益臺灣加權反1</t>
  </si>
  <si>
    <t>兆豐藍籌30</t>
  </si>
  <si>
    <t>富邦公司治理</t>
  </si>
  <si>
    <t>富邦美債20年</t>
  </si>
  <si>
    <t>富邦歐洲</t>
  </si>
  <si>
    <t>Open</t>
    <phoneticPr fontId="6" type="noConversion"/>
  </si>
  <si>
    <t>表格欄位/代號種類^=^S^;^週期編號^=^D^;^AllCMenuIDs^=^M708,M708,M708,M708,M708,M708,M708,M708,M708,M708,M708,M708,M708^;^是否轉置^=^False^;^檢視方式^=^2^;^AllFields^=^日期,淨值,淨值漲跌,淨值漲跌幅(%),折溢價(%),淨值(原幣),淨值漲跌(原幣),淨值漲跌幅(原幣),基金淨資產價值(千),已發行受益權單位總數(千),與前日已發行單位差異數(千),已發行受益權單位總數(含加掛ETF)(千),與前日已發行單位差異數(含加掛ETF)(千)^;^MainTable^=^^;^ListType^=^^;^SelectDate^=^TOP 1|TOP 1|TOP 1|TOP 1|TOP 1|TOP 1|TOP 1|TOP 1|TOP 1|TOP 1|TOP 1|TOP 1|TOP 1^;^SelectCMenuID^=^M708^;^SelectDate種類^=^1|1|1|1|1|1|1|1|1|1|1|1|1^;^AllFieldsNO^=^,,,,,,,,,,,,^;^自訂欄位公式^=^||||||||||||^;^自訂欄位Where條件^=^||||||||||||^;^多期數值處理方式^=^1|1|1|1|1|1|1|1|1|1|1|1|1^;^多欄指定個股方式^=^^;^多欄指定個股^=^^;^多欄指定群組名稱^=^^;^欄位顯示狀態^=^1|1|1|1|1|1|1|1|1|1|1|1|1^;^欄位轉換日期方式^=^||||||||||||^;^欄位排序方式^=^||||||||||||^;^欄位採用各期最新^=^1|1|1|1|1|1|1|1|1|1|1|1|1^;^樣本表系統定義全部代號^=^^;^單項目比較欄位^=^^;^單項目比較欄位編號^=^^;^表格類型^=^</t>
  </si>
  <si>
    <t>ETF折溢價表.日期/每一期/最近/1/遞增/日//最新</t>
  </si>
  <si>
    <t>ETF折溢價表.淨值漲跌/每一期/最近/1/遞增/日//最新</t>
  </si>
  <si>
    <t>ETF折溢價表.淨值漲跌幅(%)/每一期/最近/1/遞增/日//最新</t>
  </si>
  <si>
    <t>ETF折溢價表.折溢價(%)/每一期/最近/1/遞增/日//最新</t>
  </si>
  <si>
    <t>ETF折溢價表.淨值(原幣)/每一期/最近/1/遞增/日//最新</t>
  </si>
  <si>
    <t>ETF折溢價表.淨值漲跌(原幣)/每一期/最近/1/遞增/日//最新</t>
  </si>
  <si>
    <t>ETF折溢價表.淨值漲跌幅(原幣)/每一期/最近/1/遞增/日//最新</t>
  </si>
  <si>
    <t>ETF折溢價表.與前日已發行單位差異數(千)/每一期/最近/1/遞增/日//最新</t>
  </si>
  <si>
    <t>ETF折溢價表.已發行受益權單位總數(含加掛ETF)(千)/每一期/最近/1/遞增/日//最新</t>
  </si>
  <si>
    <t>ETF折溢價表.與前日已發行單位差異數(含加掛ETF)(千)/每一期/最近/1/遞增/日//最新</t>
  </si>
  <si>
    <t>00843B</t>
  </si>
  <si>
    <t>00844B</t>
  </si>
  <si>
    <t>00845B</t>
  </si>
  <si>
    <t>00846B</t>
  </si>
  <si>
    <t>3105</t>
  </si>
  <si>
    <t>6488</t>
  </si>
  <si>
    <t>5347</t>
  </si>
  <si>
    <t>8299</t>
  </si>
  <si>
    <t>4147</t>
  </si>
  <si>
    <t>00774C</t>
  </si>
  <si>
    <t>00847B</t>
  </si>
  <si>
    <t>00848B</t>
  </si>
  <si>
    <t>00849B</t>
  </si>
  <si>
    <t>00850</t>
  </si>
  <si>
    <t>00851</t>
  </si>
  <si>
    <t>00852L</t>
  </si>
  <si>
    <t>00853B</t>
  </si>
  <si>
    <t>Exchange</t>
    <phoneticPr fontId="8" type="noConversion"/>
  </si>
  <si>
    <t>EnvID</t>
    <phoneticPr fontId="8" type="noConversion"/>
  </si>
  <si>
    <t>Reference</t>
    <phoneticPr fontId="8" type="noConversion"/>
  </si>
  <si>
    <t>Estimated Index(自算)</t>
    <phoneticPr fontId="8" type="noConversion"/>
  </si>
  <si>
    <t>Bid</t>
    <phoneticPr fontId="8" type="noConversion"/>
  </si>
  <si>
    <t>Ask</t>
    <phoneticPr fontId="8" type="noConversion"/>
  </si>
  <si>
    <t>ModifyTime</t>
    <phoneticPr fontId="8" type="noConversion"/>
  </si>
  <si>
    <t>V_INDEX</t>
    <phoneticPr fontId="8" type="noConversion"/>
  </si>
  <si>
    <t>BidPrice</t>
  </si>
  <si>
    <t>AskPrice</t>
  </si>
  <si>
    <t>Deal</t>
    <phoneticPr fontId="6" type="noConversion"/>
  </si>
  <si>
    <t>成交淨值</t>
    <phoneticPr fontId="6" type="noConversion"/>
  </si>
  <si>
    <t>Index</t>
    <phoneticPr fontId="8" type="noConversion"/>
  </si>
  <si>
    <t>EnvID</t>
    <phoneticPr fontId="8" type="noConversion"/>
  </si>
  <si>
    <t>Estimated Index</t>
    <phoneticPr fontId="8" type="noConversion"/>
  </si>
  <si>
    <t>TWD.FX</t>
    <phoneticPr fontId="8" type="noConversion"/>
  </si>
  <si>
    <t>FX</t>
    <phoneticPr fontId="8" type="noConversion"/>
  </si>
  <si>
    <t>IDC54</t>
    <phoneticPr fontId="8" type="noConversion"/>
  </si>
  <si>
    <t>CFE</t>
    <phoneticPr fontId="8" type="noConversion"/>
  </si>
  <si>
    <t>NYMEX</t>
    <phoneticPr fontId="8" type="noConversion"/>
  </si>
  <si>
    <t>台幣匯率</t>
    <phoneticPr fontId="6" type="noConversion"/>
  </si>
  <si>
    <t>TSE00</t>
    <phoneticPr fontId="8" type="noConversion"/>
  </si>
  <si>
    <t>TSE13</t>
    <phoneticPr fontId="8" type="noConversion"/>
  </si>
  <si>
    <t>TSE26</t>
    <phoneticPr fontId="8" type="noConversion"/>
  </si>
  <si>
    <t>MSCITW</t>
    <phoneticPr fontId="8" type="noConversion"/>
  </si>
  <si>
    <t>加權指數</t>
    <phoneticPr fontId="6" type="noConversion"/>
  </si>
  <si>
    <t>電子現貨</t>
    <phoneticPr fontId="6" type="noConversion"/>
  </si>
  <si>
    <t>金融現貨</t>
    <phoneticPr fontId="6" type="noConversion"/>
  </si>
  <si>
    <t>摩台現貨</t>
    <phoneticPr fontId="6" type="noConversion"/>
  </si>
  <si>
    <t>期貨價格</t>
    <phoneticPr fontId="6" type="noConversion"/>
  </si>
  <si>
    <t>淨值</t>
    <phoneticPr fontId="6" type="noConversion"/>
  </si>
  <si>
    <t>CME</t>
    <phoneticPr fontId="6" type="noConversion"/>
  </si>
  <si>
    <t>合約月份</t>
    <phoneticPr fontId="6" type="noConversion"/>
  </si>
  <si>
    <t>VIX</t>
    <phoneticPr fontId="6" type="noConversion"/>
  </si>
  <si>
    <t>CL</t>
    <phoneticPr fontId="6" type="noConversion"/>
  </si>
  <si>
    <t>ES</t>
    <phoneticPr fontId="6" type="noConversion"/>
  </si>
  <si>
    <t>CBOT</t>
    <phoneticPr fontId="6" type="noConversion"/>
  </si>
  <si>
    <t>NQ</t>
    <phoneticPr fontId="6" type="noConversion"/>
  </si>
  <si>
    <t>YM</t>
    <phoneticPr fontId="6" type="noConversion"/>
  </si>
  <si>
    <t>HIS</t>
    <phoneticPr fontId="6" type="noConversion"/>
  </si>
  <si>
    <t>HKEX</t>
    <phoneticPr fontId="6" type="noConversion"/>
  </si>
  <si>
    <t>MHI</t>
    <phoneticPr fontId="6" type="noConversion"/>
  </si>
  <si>
    <t>A50</t>
    <phoneticPr fontId="6" type="noConversion"/>
  </si>
  <si>
    <t>SGX</t>
    <phoneticPr fontId="6" type="noConversion"/>
  </si>
  <si>
    <t>CBOT</t>
    <phoneticPr fontId="6" type="noConversion"/>
  </si>
  <si>
    <t>GC</t>
    <phoneticPr fontId="6" type="noConversion"/>
  </si>
  <si>
    <t>BRN</t>
    <phoneticPr fontId="6" type="noConversion"/>
  </si>
  <si>
    <t>ICE_EU</t>
    <phoneticPr fontId="8" type="noConversion"/>
  </si>
  <si>
    <t>布蘭特</t>
    <phoneticPr fontId="6" type="noConversion"/>
  </si>
  <si>
    <t>ZS</t>
    <phoneticPr fontId="6" type="noConversion"/>
  </si>
  <si>
    <t>黃豆</t>
    <phoneticPr fontId="6" type="noConversion"/>
  </si>
  <si>
    <t>STW</t>
    <phoneticPr fontId="6" type="noConversion"/>
  </si>
  <si>
    <t>摩台</t>
    <phoneticPr fontId="6" type="noConversion"/>
  </si>
  <si>
    <t>NCH</t>
    <phoneticPr fontId="6" type="noConversion"/>
  </si>
  <si>
    <t>迷你恆生指數</t>
    <phoneticPr fontId="6" type="noConversion"/>
  </si>
  <si>
    <t>國企指數</t>
    <phoneticPr fontId="6" type="noConversion"/>
  </si>
  <si>
    <t>HHI</t>
    <phoneticPr fontId="6" type="noConversion"/>
  </si>
  <si>
    <t>日經225期貨</t>
    <phoneticPr fontId="6" type="noConversion"/>
  </si>
  <si>
    <t>NK</t>
    <phoneticPr fontId="6" type="noConversion"/>
  </si>
  <si>
    <t>FX</t>
    <phoneticPr fontId="8" type="noConversion"/>
  </si>
  <si>
    <t>CNH.FX</t>
    <phoneticPr fontId="8" type="noConversion"/>
  </si>
  <si>
    <t>IDC54</t>
    <phoneticPr fontId="8" type="noConversion"/>
  </si>
  <si>
    <t>CNY.FX</t>
    <phoneticPr fontId="8" type="noConversion"/>
  </si>
  <si>
    <t>FX</t>
    <phoneticPr fontId="8" type="noConversion"/>
  </si>
  <si>
    <t>IDC54</t>
    <phoneticPr fontId="8" type="noConversion"/>
  </si>
  <si>
    <t>IDC54</t>
    <phoneticPr fontId="8" type="noConversion"/>
  </si>
  <si>
    <t>JPYTW.FX</t>
    <phoneticPr fontId="8" type="noConversion"/>
  </si>
  <si>
    <t>昨收</t>
    <phoneticPr fontId="6" type="noConversion"/>
  </si>
  <si>
    <t>Open</t>
    <phoneticPr fontId="6" type="noConversion"/>
  </si>
  <si>
    <t>High</t>
    <phoneticPr fontId="6" type="noConversion"/>
  </si>
  <si>
    <t>Low</t>
    <phoneticPr fontId="6" type="noConversion"/>
  </si>
  <si>
    <t>Close</t>
    <phoneticPr fontId="6" type="noConversion"/>
  </si>
  <si>
    <t>Ref</t>
    <phoneticPr fontId="6" type="noConversion"/>
  </si>
  <si>
    <t>Symbol</t>
    <phoneticPr fontId="6" type="noConversion"/>
  </si>
  <si>
    <t>元大台灣50</t>
  </si>
  <si>
    <t>元大中型100</t>
  </si>
  <si>
    <t>富邦科技</t>
  </si>
  <si>
    <t>元大電子</t>
  </si>
  <si>
    <t>元大台商50</t>
  </si>
  <si>
    <t>元大MSCI金融</t>
  </si>
  <si>
    <t>元大高股息</t>
  </si>
  <si>
    <t>富邦摩台</t>
  </si>
  <si>
    <t>富邦發達</t>
  </si>
  <si>
    <t>富邦金融</t>
  </si>
  <si>
    <t>元大富櫃50</t>
  </si>
  <si>
    <t>元大MSCI台灣</t>
  </si>
  <si>
    <t>永豐臺灣加權</t>
  </si>
  <si>
    <t>富邦上証+R</t>
  </si>
  <si>
    <t>元大S&amp;P黃金</t>
  </si>
  <si>
    <t>國泰中國A50+U</t>
  </si>
  <si>
    <t>元大S&amp;P石油</t>
  </si>
  <si>
    <t>群益深証中小+R</t>
  </si>
  <si>
    <t>國泰日經225+U</t>
  </si>
  <si>
    <t>富邦恒生國企正2</t>
  </si>
  <si>
    <t>富邦恒生國企反1</t>
  </si>
  <si>
    <t>國泰美國道瓊+U</t>
  </si>
  <si>
    <t>元大S&amp;P原油正2</t>
  </si>
  <si>
    <t>元大S&amp;P原油反1</t>
  </si>
  <si>
    <t>元大S&amp;P黃金反1</t>
  </si>
  <si>
    <t>元大美債20年</t>
  </si>
  <si>
    <t>元大美債20正2</t>
  </si>
  <si>
    <t>元大美債20反1</t>
  </si>
  <si>
    <t>元大美元指數</t>
  </si>
  <si>
    <t>元大美元指數正2</t>
  </si>
  <si>
    <t>元大美元指數反1</t>
  </si>
  <si>
    <t>國泰20年美債</t>
  </si>
  <si>
    <t>國泰20年美債正2</t>
  </si>
  <si>
    <t>國泰20年美債反1</t>
  </si>
  <si>
    <t>兆豐藍籌30反一</t>
  </si>
  <si>
    <t>華頓S&amp;P黃豆</t>
  </si>
  <si>
    <t>富邦美債1-3年</t>
  </si>
  <si>
    <t>富邦美債7-10年</t>
  </si>
  <si>
    <t>元大美債7-10</t>
  </si>
  <si>
    <t>富邦恆生國企</t>
  </si>
  <si>
    <t>國泰股利精選30</t>
  </si>
  <si>
    <t>國泰標普低波高息</t>
  </si>
  <si>
    <t>台新MSCI中國</t>
  </si>
  <si>
    <t>元大S&amp;P日圓正2</t>
  </si>
  <si>
    <t>元大S&amp;P日圓反1</t>
  </si>
  <si>
    <t>元大S&amp;P黃金正2</t>
  </si>
  <si>
    <t>FH彭博高收益債</t>
  </si>
  <si>
    <t>FH彭博新興債</t>
  </si>
  <si>
    <t>FH富時不動產</t>
  </si>
  <si>
    <t>元大台灣高息低波</t>
  </si>
  <si>
    <t>群益道瓊美國地產</t>
  </si>
  <si>
    <t>華頓S&amp;P布蘭特正2</t>
  </si>
  <si>
    <t>富邦美國特別股</t>
  </si>
  <si>
    <t>富邦中國政策債</t>
  </si>
  <si>
    <t>元大美債1-3</t>
  </si>
  <si>
    <t>元大投資級公司債</t>
  </si>
  <si>
    <t>元大中國債3-5</t>
  </si>
  <si>
    <t>群益15年IG電信債</t>
  </si>
  <si>
    <t>群益15年IG科技債</t>
  </si>
  <si>
    <t>群益10年IG金融債</t>
  </si>
  <si>
    <t>國泰投資級公司債</t>
  </si>
  <si>
    <t>國泰5Y+新興債</t>
  </si>
  <si>
    <t>國泰1-5Y高收債</t>
  </si>
  <si>
    <t>第一金工業30</t>
  </si>
  <si>
    <t>富邦臺灣優質高息</t>
  </si>
  <si>
    <t>FH富時高息低波</t>
  </si>
  <si>
    <t>國泰RMB短期報酬</t>
  </si>
  <si>
    <t>富邦臺灣中小</t>
  </si>
  <si>
    <t>台新JPM新興債</t>
  </si>
  <si>
    <t>國泰臺韓科技</t>
  </si>
  <si>
    <t>國泰新興市場</t>
  </si>
  <si>
    <t>國泰AI+ROBO</t>
  </si>
  <si>
    <t>元大道瓊白銀</t>
  </si>
  <si>
    <t>元大MSCI A股</t>
  </si>
  <si>
    <t>富邦全球投等債</t>
  </si>
  <si>
    <t>富邦全球高收債</t>
  </si>
  <si>
    <t>新光內需收益</t>
  </si>
  <si>
    <t>國泰中國A150</t>
  </si>
  <si>
    <t>國泰中國政金債5+</t>
  </si>
  <si>
    <t>富邦中政債0-1</t>
  </si>
  <si>
    <t>富邦A級公司債</t>
  </si>
  <si>
    <t>FH中國政策債</t>
  </si>
  <si>
    <t>凱基中國債3-10</t>
  </si>
  <si>
    <t>凱基新興債10+</t>
  </si>
  <si>
    <t>凱基科技債10+</t>
  </si>
  <si>
    <t>元大AAA至A公司債</t>
  </si>
  <si>
    <t>中信中國50</t>
  </si>
  <si>
    <t>中信中國50正2</t>
  </si>
  <si>
    <t>群益AAA-AA公司債</t>
  </si>
  <si>
    <t>群益15年IG公用債</t>
  </si>
  <si>
    <t>群益15年EM主權債</t>
  </si>
  <si>
    <t>統一FANG+</t>
  </si>
  <si>
    <t>FH能源債</t>
  </si>
  <si>
    <t>FH製藥債</t>
  </si>
  <si>
    <t>FH新興企業債</t>
  </si>
  <si>
    <t>國泰A級公司債</t>
  </si>
  <si>
    <t>元大全球AI</t>
  </si>
  <si>
    <t>國票道瓊銅</t>
  </si>
  <si>
    <t>群益25年美債</t>
  </si>
  <si>
    <t>群益中國政金債</t>
  </si>
  <si>
    <t>台新MSCI中國正2</t>
  </si>
  <si>
    <t>FH美國金融股</t>
  </si>
  <si>
    <t>FH20年美債</t>
  </si>
  <si>
    <t>FH中國信用債</t>
  </si>
  <si>
    <t>國泰北美科技</t>
  </si>
  <si>
    <t>元大US高息特別股</t>
  </si>
  <si>
    <t>中信高評級公司債</t>
  </si>
  <si>
    <t>中信優先金融債</t>
  </si>
  <si>
    <t>新光中國政金綠債</t>
  </si>
  <si>
    <t>新光中政金綠債+R</t>
  </si>
  <si>
    <t>新光投等債15+</t>
  </si>
  <si>
    <t>新光ICE美國權值</t>
  </si>
  <si>
    <t>凱基AAA至A公司債</t>
  </si>
  <si>
    <t>凱基金融債20+</t>
  </si>
  <si>
    <t>凱基美債25+</t>
  </si>
  <si>
    <t>國泰A級金融債</t>
  </si>
  <si>
    <t>國泰A級科技債</t>
  </si>
  <si>
    <t>國泰A級公用債</t>
  </si>
  <si>
    <t>富邦中証500</t>
  </si>
  <si>
    <t>富邦中國投等債</t>
  </si>
  <si>
    <t>富邦金融投等債</t>
  </si>
  <si>
    <t>元大10年IG銀行債</t>
  </si>
  <si>
    <t>元大10年IG醫療債</t>
  </si>
  <si>
    <t>元大10年IG電能債</t>
  </si>
  <si>
    <t>FH公司債A3</t>
  </si>
  <si>
    <t>FH次順位IG金融債</t>
  </si>
  <si>
    <t>FH美元信用債1-5Y</t>
  </si>
  <si>
    <t>群益A級公司債</t>
  </si>
  <si>
    <t>群益AAA-A醫療債</t>
  </si>
  <si>
    <t>群益7+中國政金債</t>
  </si>
  <si>
    <t>中信美國公債20年</t>
  </si>
  <si>
    <t>中信中國債7-10</t>
  </si>
  <si>
    <t>中信中國美元IG債</t>
  </si>
  <si>
    <t>國泰中企A級債7+</t>
  </si>
  <si>
    <t>國泰A級醫療債</t>
  </si>
  <si>
    <t>BP上證50</t>
  </si>
  <si>
    <t>國泰費城半導體</t>
  </si>
  <si>
    <t>新光美債1-3</t>
  </si>
  <si>
    <t>新光美債20+</t>
  </si>
  <si>
    <t>第一金美債20+</t>
  </si>
  <si>
    <t>第一金金融債10+</t>
  </si>
  <si>
    <t>第一金科技債10+</t>
  </si>
  <si>
    <t>永豐10年A公司債</t>
  </si>
  <si>
    <t>永豐15年金融債</t>
  </si>
  <si>
    <t>永豐7-10年中國債</t>
  </si>
  <si>
    <t>凱基醫療保健債</t>
  </si>
  <si>
    <t>凱基IG精選15+</t>
  </si>
  <si>
    <t>凱基AAA-AA公司債</t>
  </si>
  <si>
    <t>台新美元銀行債</t>
  </si>
  <si>
    <t>台新中國政策債</t>
  </si>
  <si>
    <t>新光15年IG金融債</t>
  </si>
  <si>
    <t>富邦新興投等債</t>
  </si>
  <si>
    <t>富邦歐洲銀行債</t>
  </si>
  <si>
    <t>中信美國市政債</t>
  </si>
  <si>
    <t>中信新興亞洲債</t>
  </si>
  <si>
    <t>中信EM主權債0-5</t>
  </si>
  <si>
    <t>元大臺灣ESG永續</t>
  </si>
  <si>
    <t>台新全球AI</t>
  </si>
  <si>
    <t>國泰美國道瓊正2</t>
  </si>
  <si>
    <t>統一美債10年Aa-A</t>
  </si>
  <si>
    <t>TWD.FX</t>
  </si>
  <si>
    <t>FX</t>
  </si>
  <si>
    <t>CNH.FX</t>
  </si>
  <si>
    <t>CNY.FX</t>
  </si>
  <si>
    <t>CNYTW.FX</t>
  </si>
  <si>
    <t>JPYTW.FX</t>
  </si>
  <si>
    <t>CFE</t>
  </si>
  <si>
    <t>NYMEX</t>
  </si>
  <si>
    <t>CME</t>
  </si>
  <si>
    <t>CBOT</t>
  </si>
  <si>
    <t>HKEX</t>
  </si>
  <si>
    <t>SGX</t>
  </si>
  <si>
    <t>ICE_EU</t>
  </si>
  <si>
    <t>DataDate</t>
    <phoneticPr fontId="6" type="noConversion"/>
  </si>
  <si>
    <t>ProductType</t>
    <phoneticPr fontId="6" type="noConversion"/>
  </si>
  <si>
    <t>日期</t>
    <phoneticPr fontId="6" type="noConversion"/>
  </si>
  <si>
    <t>商品代號</t>
    <phoneticPr fontId="6" type="noConversion"/>
  </si>
  <si>
    <t>淨值</t>
    <phoneticPr fontId="6" type="noConversion"/>
  </si>
  <si>
    <t>市價</t>
    <phoneticPr fontId="6" type="noConversion"/>
  </si>
  <si>
    <t>NAV</t>
    <phoneticPr fontId="6" type="noConversion"/>
  </si>
  <si>
    <t>Price</t>
    <phoneticPr fontId="6" type="noConversion"/>
  </si>
  <si>
    <t>時間</t>
    <phoneticPr fontId="6" type="noConversion"/>
  </si>
  <si>
    <t>DataTime</t>
    <phoneticPr fontId="6" type="noConversion"/>
  </si>
  <si>
    <t>ProductCode</t>
    <phoneticPr fontId="6" type="noConversion"/>
  </si>
  <si>
    <t>HKDTW.FX</t>
    <phoneticPr fontId="6" type="noConversion"/>
  </si>
  <si>
    <t>CNYTW.FX</t>
    <phoneticPr fontId="8" type="noConversion"/>
  </si>
  <si>
    <t>時間區間</t>
    <phoneticPr fontId="6" type="noConversion"/>
  </si>
  <si>
    <t>TimeCategory</t>
    <phoneticPr fontId="6" type="noConversion"/>
  </si>
  <si>
    <t>商品型態</t>
    <phoneticPr fontId="6" type="noConversion"/>
  </si>
  <si>
    <t>ProductName</t>
    <phoneticPr fontId="6" type="noConversion"/>
  </si>
  <si>
    <t>商品名稱</t>
    <phoneticPr fontId="6" type="noConversion"/>
  </si>
  <si>
    <t>HKDTW.FX</t>
  </si>
  <si>
    <t>日期</t>
    <phoneticPr fontId="6" type="noConversion"/>
  </si>
  <si>
    <t>RecTime</t>
    <phoneticPr fontId="6" type="noConversion"/>
  </si>
  <si>
    <t>ProductCode</t>
  </si>
  <si>
    <t>商品連結代號</t>
    <phoneticPr fontId="6" type="noConversion"/>
  </si>
  <si>
    <t>Commodityid</t>
    <phoneticPr fontId="6" type="noConversion"/>
  </si>
  <si>
    <t>CommodityName</t>
    <phoneticPr fontId="6" type="noConversion"/>
  </si>
  <si>
    <t>NYBOT</t>
  </si>
  <si>
    <t>NYBOT</t>
    <phoneticPr fontId="6" type="noConversion"/>
  </si>
  <si>
    <t>MME</t>
    <phoneticPr fontId="6" type="noConversion"/>
  </si>
  <si>
    <t>小新興市場期貨</t>
    <phoneticPr fontId="6" type="noConversion"/>
  </si>
  <si>
    <t>ProductLink</t>
    <phoneticPr fontId="6" type="noConversion"/>
  </si>
  <si>
    <t>USDCNH</t>
  </si>
  <si>
    <t>USDCNY</t>
  </si>
  <si>
    <t>USDCNY</t>
    <phoneticPr fontId="6" type="noConversion"/>
  </si>
  <si>
    <t>A</t>
    <phoneticPr fontId="6" type="noConversion"/>
  </si>
  <si>
    <t>B</t>
    <phoneticPr fontId="6" type="noConversion"/>
  </si>
  <si>
    <t>C</t>
    <phoneticPr fontId="6" type="noConversion"/>
  </si>
  <si>
    <t>D</t>
    <phoneticPr fontId="6" type="noConversion"/>
  </si>
  <si>
    <t>E</t>
    <phoneticPr fontId="6" type="noConversion"/>
  </si>
  <si>
    <t>F</t>
    <phoneticPr fontId="6" type="noConversion"/>
  </si>
  <si>
    <t>G</t>
    <phoneticPr fontId="6" type="noConversion"/>
  </si>
  <si>
    <t>H</t>
    <phoneticPr fontId="6" type="noConversion"/>
  </si>
  <si>
    <t>I</t>
    <phoneticPr fontId="6" type="noConversion"/>
  </si>
  <si>
    <t>J</t>
    <phoneticPr fontId="6" type="noConversion"/>
  </si>
  <si>
    <t>K</t>
    <phoneticPr fontId="6" type="noConversion"/>
  </si>
  <si>
    <t>L</t>
    <phoneticPr fontId="6" type="noConversion"/>
  </si>
  <si>
    <t>month</t>
    <phoneticPr fontId="6" type="noConversion"/>
  </si>
  <si>
    <t>U</t>
    <phoneticPr fontId="6" type="noConversion"/>
  </si>
  <si>
    <t>V</t>
    <phoneticPr fontId="6" type="noConversion"/>
  </si>
  <si>
    <t>Z</t>
    <phoneticPr fontId="6" type="noConversion"/>
  </si>
  <si>
    <t>X</t>
    <phoneticPr fontId="6" type="noConversion"/>
  </si>
  <si>
    <t>F</t>
    <phoneticPr fontId="6" type="noConversion"/>
  </si>
  <si>
    <t>H</t>
    <phoneticPr fontId="6" type="noConversion"/>
  </si>
  <si>
    <t>J</t>
    <phoneticPr fontId="6" type="noConversion"/>
  </si>
  <si>
    <t>K</t>
    <phoneticPr fontId="6" type="noConversion"/>
  </si>
  <si>
    <t>M</t>
    <phoneticPr fontId="6" type="noConversion"/>
  </si>
  <si>
    <t>N</t>
    <phoneticPr fontId="6" type="noConversion"/>
  </si>
  <si>
    <t>Q</t>
    <phoneticPr fontId="6" type="noConversion"/>
  </si>
  <si>
    <t>凱基期</t>
    <phoneticPr fontId="6" type="noConversion"/>
  </si>
  <si>
    <t>系統</t>
    <phoneticPr fontId="6" type="noConversion"/>
  </si>
  <si>
    <t>JPX</t>
  </si>
  <si>
    <t>JPX</t>
    <phoneticPr fontId="6" type="noConversion"/>
  </si>
  <si>
    <t>JTI</t>
    <phoneticPr fontId="6" type="noConversion"/>
  </si>
  <si>
    <t>東證指數期貨</t>
    <phoneticPr fontId="6" type="noConversion"/>
  </si>
  <si>
    <t>1312</t>
  </si>
  <si>
    <t>1503</t>
  </si>
  <si>
    <t>1717</t>
  </si>
  <si>
    <t>2106</t>
  </si>
  <si>
    <t>2206</t>
  </si>
  <si>
    <t>2355</t>
  </si>
  <si>
    <t>2362</t>
  </si>
  <si>
    <t>2392</t>
  </si>
  <si>
    <t>2393</t>
  </si>
  <si>
    <t>2489</t>
  </si>
  <si>
    <t>2504</t>
  </si>
  <si>
    <t>3673</t>
  </si>
  <si>
    <t>5388</t>
  </si>
  <si>
    <t>6282</t>
  </si>
  <si>
    <t>9907</t>
  </si>
  <si>
    <t>1609</t>
  </si>
  <si>
    <t>2006</t>
  </si>
  <si>
    <t>2442</t>
  </si>
  <si>
    <t>2458</t>
  </si>
  <si>
    <t>2634</t>
  </si>
  <si>
    <t>2637</t>
  </si>
  <si>
    <t>2897</t>
  </si>
  <si>
    <t>3023</t>
  </si>
  <si>
    <t>3036</t>
  </si>
  <si>
    <t>3167</t>
  </si>
  <si>
    <t>3413</t>
  </si>
  <si>
    <t>3504</t>
  </si>
  <si>
    <t>3563</t>
  </si>
  <si>
    <t>3665</t>
  </si>
  <si>
    <t>3708</t>
  </si>
  <si>
    <t>4119</t>
  </si>
  <si>
    <t>4919</t>
  </si>
  <si>
    <t>6412</t>
  </si>
  <si>
    <t>6477</t>
  </si>
  <si>
    <t>8131</t>
  </si>
  <si>
    <t>8163</t>
  </si>
  <si>
    <t>8926</t>
  </si>
  <si>
    <t>1304</t>
  </si>
  <si>
    <t>1305</t>
  </si>
  <si>
    <t>2013</t>
  </si>
  <si>
    <t>2312</t>
  </si>
  <si>
    <t>2374</t>
  </si>
  <si>
    <t>2401</t>
  </si>
  <si>
    <t>2404</t>
  </si>
  <si>
    <t>2836</t>
  </si>
  <si>
    <t>3006</t>
  </si>
  <si>
    <t>3010</t>
  </si>
  <si>
    <t>3014</t>
  </si>
  <si>
    <t>3033</t>
  </si>
  <si>
    <t>3035</t>
  </si>
  <si>
    <t>3596</t>
  </si>
  <si>
    <t>3703</t>
  </si>
  <si>
    <t>4915</t>
  </si>
  <si>
    <t>5434</t>
  </si>
  <si>
    <t>6166</t>
  </si>
  <si>
    <t>6196</t>
  </si>
  <si>
    <t>6202</t>
  </si>
  <si>
    <t>6277</t>
  </si>
  <si>
    <t>8016</t>
  </si>
  <si>
    <t>8213</t>
  </si>
  <si>
    <t>1201</t>
  </si>
  <si>
    <t>1904</t>
  </si>
  <si>
    <t>2208</t>
  </si>
  <si>
    <t>2367</t>
  </si>
  <si>
    <t>2369</t>
  </si>
  <si>
    <t>2430</t>
  </si>
  <si>
    <t>2450</t>
  </si>
  <si>
    <t>2608</t>
  </si>
  <si>
    <t>2727</t>
  </si>
  <si>
    <t>2903</t>
  </si>
  <si>
    <t>2905</t>
  </si>
  <si>
    <t>3189</t>
  </si>
  <si>
    <t>3698</t>
  </si>
  <si>
    <t>6005</t>
  </si>
  <si>
    <t>6153</t>
  </si>
  <si>
    <t>6214</t>
  </si>
  <si>
    <t>6605</t>
  </si>
  <si>
    <t>8046</t>
  </si>
  <si>
    <t>8110</t>
  </si>
  <si>
    <t>8150</t>
  </si>
  <si>
    <t>9925</t>
  </si>
  <si>
    <t>9937</t>
  </si>
  <si>
    <t>9940</t>
  </si>
  <si>
    <t>9943</t>
  </si>
  <si>
    <t>1565</t>
  </si>
  <si>
    <t>1586</t>
  </si>
  <si>
    <t>1597</t>
  </si>
  <si>
    <t>1785</t>
  </si>
  <si>
    <t>1795</t>
  </si>
  <si>
    <t>1815</t>
  </si>
  <si>
    <t>2233</t>
  </si>
  <si>
    <t>2729</t>
  </si>
  <si>
    <t>2732</t>
  </si>
  <si>
    <t>3078</t>
  </si>
  <si>
    <t>3081</t>
  </si>
  <si>
    <t>3083</t>
  </si>
  <si>
    <t>3088</t>
  </si>
  <si>
    <t>3092</t>
  </si>
  <si>
    <t>3131</t>
  </si>
  <si>
    <t>3141</t>
  </si>
  <si>
    <t>3144</t>
  </si>
  <si>
    <t>3152</t>
  </si>
  <si>
    <t>3163</t>
  </si>
  <si>
    <t>3176</t>
  </si>
  <si>
    <t>3211</t>
  </si>
  <si>
    <t>3217</t>
  </si>
  <si>
    <t>3224</t>
  </si>
  <si>
    <t>3227</t>
  </si>
  <si>
    <t>3234</t>
  </si>
  <si>
    <t>3260</t>
  </si>
  <si>
    <t>3264</t>
  </si>
  <si>
    <t>3265</t>
  </si>
  <si>
    <t>3289</t>
  </si>
  <si>
    <t>3293</t>
  </si>
  <si>
    <t>3323</t>
  </si>
  <si>
    <t>3324</t>
  </si>
  <si>
    <t>3362</t>
  </si>
  <si>
    <t>3363</t>
  </si>
  <si>
    <t>3374</t>
  </si>
  <si>
    <t>3388</t>
  </si>
  <si>
    <t>3455</t>
  </si>
  <si>
    <t>3491</t>
  </si>
  <si>
    <t>3508</t>
  </si>
  <si>
    <t>3527</t>
  </si>
  <si>
    <t>3529</t>
  </si>
  <si>
    <t>3541</t>
  </si>
  <si>
    <t>3546</t>
  </si>
  <si>
    <t>3548</t>
  </si>
  <si>
    <t>3552</t>
  </si>
  <si>
    <t>3556</t>
  </si>
  <si>
    <t>3558</t>
  </si>
  <si>
    <t>3587</t>
  </si>
  <si>
    <t>3611</t>
  </si>
  <si>
    <t>3624</t>
  </si>
  <si>
    <t>3630</t>
  </si>
  <si>
    <t>3680</t>
  </si>
  <si>
    <t>3691</t>
  </si>
  <si>
    <t>3707</t>
  </si>
  <si>
    <t>4105</t>
  </si>
  <si>
    <t>4107</t>
  </si>
  <si>
    <t>4113</t>
  </si>
  <si>
    <t>4114</t>
  </si>
  <si>
    <t>4123</t>
  </si>
  <si>
    <t>4129</t>
  </si>
  <si>
    <t>4130</t>
  </si>
  <si>
    <t>4153</t>
  </si>
  <si>
    <t>4157</t>
  </si>
  <si>
    <t>4162</t>
  </si>
  <si>
    <t>4163</t>
  </si>
  <si>
    <t>4167</t>
  </si>
  <si>
    <t>4174</t>
  </si>
  <si>
    <t>4401</t>
  </si>
  <si>
    <t>4417</t>
  </si>
  <si>
    <t>4528</t>
  </si>
  <si>
    <t>4549</t>
  </si>
  <si>
    <t>4707</t>
  </si>
  <si>
    <t>4721</t>
  </si>
  <si>
    <t>4728</t>
  </si>
  <si>
    <t>4736</t>
  </si>
  <si>
    <t>4743</t>
  </si>
  <si>
    <t>4745</t>
  </si>
  <si>
    <t>4803</t>
  </si>
  <si>
    <t>4907</t>
  </si>
  <si>
    <t>4947</t>
  </si>
  <si>
    <t>4953</t>
  </si>
  <si>
    <t>4966</t>
  </si>
  <si>
    <t>4974</t>
  </si>
  <si>
    <t>4979</t>
  </si>
  <si>
    <t>4991</t>
  </si>
  <si>
    <t>5009</t>
  </si>
  <si>
    <t>5213</t>
  </si>
  <si>
    <t>5227</t>
  </si>
  <si>
    <t>5263</t>
  </si>
  <si>
    <t>5274</t>
  </si>
  <si>
    <t>5278</t>
  </si>
  <si>
    <t>5289</t>
  </si>
  <si>
    <t>5299</t>
  </si>
  <si>
    <t>5317</t>
  </si>
  <si>
    <t>5340</t>
  </si>
  <si>
    <t>5349</t>
  </si>
  <si>
    <t>5351</t>
  </si>
  <si>
    <t>5371</t>
  </si>
  <si>
    <t>5392</t>
  </si>
  <si>
    <t>5425</t>
  </si>
  <si>
    <t>5439</t>
  </si>
  <si>
    <t>5443</t>
  </si>
  <si>
    <t>5457</t>
  </si>
  <si>
    <t>5474</t>
  </si>
  <si>
    <t>5483</t>
  </si>
  <si>
    <t>5490</t>
  </si>
  <si>
    <t>5512</t>
  </si>
  <si>
    <t>5536</t>
  </si>
  <si>
    <t>5820</t>
  </si>
  <si>
    <t>6016</t>
  </si>
  <si>
    <t>6101</t>
  </si>
  <si>
    <t>6104</t>
  </si>
  <si>
    <t>6111</t>
  </si>
  <si>
    <t>6121</t>
  </si>
  <si>
    <t>6125</t>
  </si>
  <si>
    <t>6138</t>
  </si>
  <si>
    <t>6143</t>
  </si>
  <si>
    <t>6147</t>
  </si>
  <si>
    <t>6158</t>
  </si>
  <si>
    <t>6173</t>
  </si>
  <si>
    <t>6175</t>
  </si>
  <si>
    <t>6180</t>
  </si>
  <si>
    <t>6182</t>
  </si>
  <si>
    <t>6187</t>
  </si>
  <si>
    <t>6188</t>
  </si>
  <si>
    <t>6190</t>
  </si>
  <si>
    <t>6203</t>
  </si>
  <si>
    <t>6207</t>
  </si>
  <si>
    <t>6220</t>
  </si>
  <si>
    <t>6223</t>
  </si>
  <si>
    <t>6238</t>
  </si>
  <si>
    <t>6244</t>
  </si>
  <si>
    <t>6245</t>
  </si>
  <si>
    <t>6261</t>
  </si>
  <si>
    <t>6274</t>
  </si>
  <si>
    <t>6279</t>
  </si>
  <si>
    <t>6284</t>
  </si>
  <si>
    <t>6290</t>
  </si>
  <si>
    <t>6294</t>
  </si>
  <si>
    <t>6411</t>
  </si>
  <si>
    <t>6426</t>
  </si>
  <si>
    <t>6435</t>
  </si>
  <si>
    <t>6438</t>
  </si>
  <si>
    <t>6446</t>
  </si>
  <si>
    <t>6462</t>
  </si>
  <si>
    <t>6469</t>
  </si>
  <si>
    <t>6472</t>
  </si>
  <si>
    <t>6499</t>
  </si>
  <si>
    <t>6509</t>
  </si>
  <si>
    <t>6510</t>
  </si>
  <si>
    <t>6516</t>
  </si>
  <si>
    <t>6523</t>
  </si>
  <si>
    <t>6547</t>
  </si>
  <si>
    <t>6561</t>
  </si>
  <si>
    <t>6568</t>
  </si>
  <si>
    <t>6569</t>
  </si>
  <si>
    <t>6576</t>
  </si>
  <si>
    <t>6577</t>
  </si>
  <si>
    <t>6613</t>
  </si>
  <si>
    <t>6643</t>
  </si>
  <si>
    <t>8027</t>
  </si>
  <si>
    <t>8038</t>
  </si>
  <si>
    <t>8042</t>
  </si>
  <si>
    <t>8043</t>
  </si>
  <si>
    <t>8044</t>
  </si>
  <si>
    <t>8049</t>
  </si>
  <si>
    <t>8064</t>
  </si>
  <si>
    <t>8066</t>
  </si>
  <si>
    <t>8069</t>
  </si>
  <si>
    <t>8076</t>
  </si>
  <si>
    <t>8086</t>
  </si>
  <si>
    <t>8091</t>
  </si>
  <si>
    <t>8121</t>
  </si>
  <si>
    <t>8155</t>
  </si>
  <si>
    <t>8255</t>
  </si>
  <si>
    <t>8279</t>
  </si>
  <si>
    <t>8349</t>
  </si>
  <si>
    <t>8358</t>
  </si>
  <si>
    <t>8383</t>
  </si>
  <si>
    <t>8403</t>
  </si>
  <si>
    <t>8406</t>
  </si>
  <si>
    <t>8415</t>
  </si>
  <si>
    <t>8416</t>
  </si>
  <si>
    <t>8432</t>
  </si>
  <si>
    <t>8436</t>
  </si>
  <si>
    <t>8446</t>
  </si>
  <si>
    <t>8489</t>
  </si>
  <si>
    <t>8916</t>
  </si>
  <si>
    <t>8924</t>
  </si>
  <si>
    <t>8936</t>
  </si>
  <si>
    <t>8938</t>
  </si>
  <si>
    <t>8942</t>
  </si>
  <si>
    <t>9951</t>
  </si>
  <si>
    <t>2373</t>
  </si>
  <si>
    <t>2455</t>
  </si>
  <si>
    <t>2456</t>
  </si>
  <si>
    <t>3016</t>
  </si>
  <si>
    <t>3019</t>
  </si>
  <si>
    <t>3026</t>
  </si>
  <si>
    <t>3376</t>
  </si>
  <si>
    <t>3533</t>
  </si>
  <si>
    <t>5264</t>
  </si>
  <si>
    <t>6116</t>
  </si>
  <si>
    <t>6213</t>
  </si>
  <si>
    <t>6230</t>
  </si>
  <si>
    <t>6271</t>
  </si>
  <si>
    <t>6278</t>
  </si>
  <si>
    <t>6414</t>
  </si>
  <si>
    <t>1259</t>
  </si>
  <si>
    <t>1268</t>
  </si>
  <si>
    <t>1777</t>
  </si>
  <si>
    <t>2066</t>
  </si>
  <si>
    <t>3218</t>
  </si>
  <si>
    <t>3303</t>
  </si>
  <si>
    <t>3489</t>
  </si>
  <si>
    <t>4126</t>
  </si>
  <si>
    <t>4168</t>
  </si>
  <si>
    <t>4188</t>
  </si>
  <si>
    <t>4207</t>
  </si>
  <si>
    <t>4506</t>
  </si>
  <si>
    <t>4754</t>
  </si>
  <si>
    <t>5530</t>
  </si>
  <si>
    <t>5903</t>
  </si>
  <si>
    <t>5904</t>
  </si>
  <si>
    <t>6023</t>
  </si>
  <si>
    <t>6532</t>
  </si>
  <si>
    <t>6803</t>
  </si>
  <si>
    <t>1599</t>
  </si>
  <si>
    <t>2640</t>
  </si>
  <si>
    <t>3402</t>
  </si>
  <si>
    <t>3479</t>
  </si>
  <si>
    <t>3551</t>
  </si>
  <si>
    <t>4120</t>
  </si>
  <si>
    <t>4535</t>
  </si>
  <si>
    <t>5245</t>
  </si>
  <si>
    <t>5356</t>
  </si>
  <si>
    <t>5410</t>
  </si>
  <si>
    <t>5478</t>
  </si>
  <si>
    <t>5489</t>
  </si>
  <si>
    <t>6146</t>
  </si>
  <si>
    <t>6195</t>
  </si>
  <si>
    <t>8071</t>
  </si>
  <si>
    <t>ADJClose</t>
    <phoneticPr fontId="6" type="noConversion"/>
  </si>
  <si>
    <t>若當日無成交價, 則以開盤參考價</t>
    <phoneticPr fontId="6" type="noConversion"/>
  </si>
  <si>
    <t>CNY</t>
  </si>
  <si>
    <t>CNY</t>
    <phoneticPr fontId="6" type="noConversion"/>
  </si>
  <si>
    <t>JPY</t>
  </si>
  <si>
    <t>JPY</t>
    <phoneticPr fontId="6" type="noConversion"/>
  </si>
  <si>
    <t>HKD</t>
  </si>
  <si>
    <t>HKD</t>
    <phoneticPr fontId="6" type="noConversion"/>
  </si>
  <si>
    <t>USDCNH</t>
    <phoneticPr fontId="6" type="noConversion"/>
  </si>
  <si>
    <t>USD</t>
    <phoneticPr fontId="6" type="noConversion"/>
  </si>
  <si>
    <t>資料來源</t>
    <phoneticPr fontId="6" type="noConversion"/>
  </si>
  <si>
    <t>USD</t>
  </si>
  <si>
    <t>股票名稱</t>
    <phoneticPr fontId="9" type="noConversion"/>
  </si>
  <si>
    <t>操盤人</t>
    <phoneticPr fontId="9" type="noConversion"/>
  </si>
  <si>
    <t>買張數</t>
    <phoneticPr fontId="9" type="noConversion"/>
  </si>
  <si>
    <t>賣張數</t>
    <phoneticPr fontId="9" type="noConversion"/>
  </si>
  <si>
    <t>買金額</t>
    <phoneticPr fontId="9" type="noConversion"/>
  </si>
  <si>
    <t>賣金額</t>
    <phoneticPr fontId="9" type="noConversion"/>
  </si>
  <si>
    <t>均買價</t>
    <phoneticPr fontId="9" type="noConversion"/>
  </si>
  <si>
    <t>均賣價</t>
    <phoneticPr fontId="9" type="noConversion"/>
  </si>
  <si>
    <t>Bid1</t>
    <phoneticPr fontId="9" type="noConversion"/>
  </si>
  <si>
    <t>Ask1</t>
    <phoneticPr fontId="9" type="noConversion"/>
  </si>
  <si>
    <t>成交價</t>
    <phoneticPr fontId="9" type="noConversion"/>
  </si>
  <si>
    <t>SI</t>
    <phoneticPr fontId="6" type="noConversion"/>
  </si>
  <si>
    <t>白銀期貨</t>
    <phoneticPr fontId="6" type="noConversion"/>
  </si>
  <si>
    <t>UB美國超長公債期貨</t>
    <phoneticPr fontId="6" type="noConversion"/>
  </si>
  <si>
    <r>
      <t>ZS</t>
    </r>
    <r>
      <rPr>
        <sz val="12"/>
        <rFont val="新細明體"/>
        <family val="1"/>
        <charset val="136"/>
      </rPr>
      <t>-K20</t>
    </r>
    <phoneticPr fontId="8" type="noConversion"/>
  </si>
  <si>
    <t>ZB美國30年期公債期貨</t>
    <phoneticPr fontId="6" type="noConversion"/>
  </si>
  <si>
    <t>ZS-K20</t>
  </si>
  <si>
    <t>格式：一般排行///文字///日期//否/</t>
    <phoneticPr fontId="6" type="noConversion"/>
  </si>
  <si>
    <t>00856B</t>
  </si>
  <si>
    <t>00857B</t>
  </si>
  <si>
    <t>00858</t>
  </si>
  <si>
    <t>永豐1-3年美公債</t>
  </si>
  <si>
    <t>永豐20年美公債</t>
  </si>
  <si>
    <t>永豐美國500大</t>
  </si>
  <si>
    <t>AdjPrice</t>
    <phoneticPr fontId="6" type="noConversion"/>
  </si>
  <si>
    <t>V_INDEX</t>
    <phoneticPr fontId="6" type="noConversion"/>
  </si>
  <si>
    <t>Master</t>
    <phoneticPr fontId="6" type="noConversion"/>
  </si>
  <si>
    <t>當日是否為交易日</t>
    <phoneticPr fontId="10" type="noConversion"/>
  </si>
  <si>
    <t>季初起始日</t>
    <phoneticPr fontId="10" type="noConversion"/>
  </si>
  <si>
    <t>季末結束日</t>
    <phoneticPr fontId="10" type="noConversion"/>
  </si>
  <si>
    <t>當天交易日</t>
    <phoneticPr fontId="10" type="noConversion"/>
  </si>
  <si>
    <t>前一交易日</t>
    <phoneticPr fontId="10" type="noConversion"/>
  </si>
  <si>
    <t>季初第一交易日</t>
    <phoneticPr fontId="10" type="noConversion"/>
  </si>
  <si>
    <t>台泥</t>
  </si>
  <si>
    <t>亞泥</t>
  </si>
  <si>
    <t>大成</t>
  </si>
  <si>
    <t>統一</t>
  </si>
  <si>
    <t>佳格</t>
  </si>
  <si>
    <t>聯華</t>
  </si>
  <si>
    <t>台塑</t>
  </si>
  <si>
    <t>南亞</t>
  </si>
  <si>
    <t>中石化</t>
  </si>
  <si>
    <t>東陽</t>
  </si>
  <si>
    <t>台化</t>
  </si>
  <si>
    <t>遠東新</t>
  </si>
  <si>
    <t>福懋</t>
  </si>
  <si>
    <t>儒鴻</t>
  </si>
  <si>
    <t>聚陽</t>
  </si>
  <si>
    <t>東元</t>
  </si>
  <si>
    <t>永大</t>
  </si>
  <si>
    <t>和大</t>
  </si>
  <si>
    <t>亞德客-KY</t>
  </si>
  <si>
    <t>華新</t>
  </si>
  <si>
    <t>葡萄王</t>
  </si>
  <si>
    <t>台肥</t>
  </si>
  <si>
    <t>中碳</t>
  </si>
  <si>
    <t>台玻</t>
  </si>
  <si>
    <t>中鋼</t>
  </si>
  <si>
    <t>大成鋼</t>
  </si>
  <si>
    <t>上銀</t>
  </si>
  <si>
    <t>川湖</t>
  </si>
  <si>
    <t>南港</t>
  </si>
  <si>
    <t>台橡</t>
  </si>
  <si>
    <t>國際中橡</t>
  </si>
  <si>
    <t>正新</t>
  </si>
  <si>
    <t>裕隆</t>
  </si>
  <si>
    <t>中華</t>
  </si>
  <si>
    <t>和泰車</t>
  </si>
  <si>
    <t>裕日車</t>
  </si>
  <si>
    <t>為升</t>
  </si>
  <si>
    <t>光寶科</t>
  </si>
  <si>
    <t>聯電</t>
  </si>
  <si>
    <t>台達電</t>
  </si>
  <si>
    <t>華通</t>
  </si>
  <si>
    <t>鴻海</t>
  </si>
  <si>
    <t>仁寶</t>
  </si>
  <si>
    <t>國巨</t>
  </si>
  <si>
    <t>台積電</t>
  </si>
  <si>
    <t>旺宏</t>
  </si>
  <si>
    <t>華邦電</t>
  </si>
  <si>
    <t>智邦</t>
  </si>
  <si>
    <t>聯強</t>
  </si>
  <si>
    <t>佳世達</t>
  </si>
  <si>
    <t>宏碁</t>
  </si>
  <si>
    <t>鴻準</t>
  </si>
  <si>
    <t>英業達</t>
  </si>
  <si>
    <t>華碩</t>
  </si>
  <si>
    <t>致茂</t>
  </si>
  <si>
    <t>大同</t>
  </si>
  <si>
    <t>技嘉</t>
  </si>
  <si>
    <t>微星</t>
  </si>
  <si>
    <t>瑞昱</t>
  </si>
  <si>
    <t>廣達</t>
  </si>
  <si>
    <t>台光電</t>
  </si>
  <si>
    <t>群光</t>
  </si>
  <si>
    <t>研華</t>
  </si>
  <si>
    <t>南亞科</t>
  </si>
  <si>
    <t>友達</t>
  </si>
  <si>
    <t>中華電</t>
  </si>
  <si>
    <t>美律</t>
  </si>
  <si>
    <t>超豐</t>
  </si>
  <si>
    <t>晶電</t>
  </si>
  <si>
    <t>京元電子</t>
  </si>
  <si>
    <t>創見</t>
  </si>
  <si>
    <t>聯發科</t>
  </si>
  <si>
    <t>可成</t>
  </si>
  <si>
    <t>華新科</t>
  </si>
  <si>
    <t>宏達電</t>
  </si>
  <si>
    <t>國建</t>
  </si>
  <si>
    <t>興富發</t>
  </si>
  <si>
    <t>長榮</t>
  </si>
  <si>
    <t>裕民</t>
  </si>
  <si>
    <t>華航</t>
  </si>
  <si>
    <t>萬海</t>
  </si>
  <si>
    <t>長榮航</t>
  </si>
  <si>
    <t>台灣高鐵</t>
  </si>
  <si>
    <t>美食-KY</t>
  </si>
  <si>
    <t>彰銀</t>
  </si>
  <si>
    <t>京城銀</t>
  </si>
  <si>
    <t>台中銀</t>
  </si>
  <si>
    <t>中壽</t>
  </si>
  <si>
    <t>臺企銀</t>
  </si>
  <si>
    <t>遠東銀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</si>
  <si>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</si>
  <si>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</si>
  <si>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</si>
  <si>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</si>
  <si>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</si>
  <si>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</si>
  <si>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</si>
  <si>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</si>
  <si>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</si>
  <si>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</si>
  <si>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</si>
  <si>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</si>
  <si>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</si>
  <si>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</si>
  <si>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統一超</t>
  </si>
  <si>
    <t>潤泰全</t>
  </si>
  <si>
    <t>神基</t>
  </si>
  <si>
    <t>大立光</t>
  </si>
  <si>
    <t>聯詠</t>
  </si>
  <si>
    <t>欣興</t>
  </si>
  <si>
    <t>健鼎</t>
  </si>
  <si>
    <t>台灣大</t>
  </si>
  <si>
    <t>緯創</t>
  </si>
  <si>
    <t>玉晶光</t>
  </si>
  <si>
    <t>創意</t>
  </si>
  <si>
    <t>群創</t>
  </si>
  <si>
    <t>台勝科</t>
  </si>
  <si>
    <t>亞太電</t>
  </si>
  <si>
    <t>大聯大</t>
  </si>
  <si>
    <t>神達</t>
  </si>
  <si>
    <t>日月光投控</t>
  </si>
  <si>
    <t>遠傳</t>
  </si>
  <si>
    <t>和碩</t>
  </si>
  <si>
    <t>臻鼎-KY</t>
  </si>
  <si>
    <t>祥碩</t>
  </si>
  <si>
    <t>遠雄</t>
  </si>
  <si>
    <t>長虹</t>
  </si>
  <si>
    <t>中租-KY</t>
  </si>
  <si>
    <t>上海商銀</t>
  </si>
  <si>
    <t>合庫金</t>
  </si>
  <si>
    <t>瑞儀</t>
  </si>
  <si>
    <t>力成</t>
  </si>
  <si>
    <t>台郡</t>
  </si>
  <si>
    <t>啟碁</t>
  </si>
  <si>
    <t>旭隼</t>
  </si>
  <si>
    <t>矽力-KY</t>
  </si>
  <si>
    <t>GIS-KY</t>
  </si>
  <si>
    <t>台塑化</t>
  </si>
  <si>
    <t>緯穎</t>
  </si>
  <si>
    <t>日友</t>
  </si>
  <si>
    <t>富邦媒</t>
  </si>
  <si>
    <t>億豐</t>
  </si>
  <si>
    <t>寶成</t>
  </si>
  <si>
    <t>豐泰</t>
  </si>
  <si>
    <t>美利達</t>
  </si>
  <si>
    <t>中保</t>
  </si>
  <si>
    <t>巨大</t>
  </si>
  <si>
    <t>中鼎</t>
  </si>
  <si>
    <t>裕融</t>
  </si>
  <si>
    <t>潤泰新</t>
  </si>
  <si>
    <t>穩懋</t>
  </si>
  <si>
    <t>環球晶</t>
  </si>
  <si>
    <t>世界</t>
  </si>
  <si>
    <t>群聯</t>
  </si>
  <si>
    <t>中裕</t>
  </si>
  <si>
    <t>參考標題/12/31</t>
  </si>
  <si>
    <t>00859B</t>
  </si>
  <si>
    <t>00860B</t>
  </si>
  <si>
    <t>00861</t>
  </si>
  <si>
    <t>00862B</t>
  </si>
  <si>
    <t>00863B</t>
  </si>
  <si>
    <t>00864B</t>
  </si>
  <si>
    <t>00865B</t>
  </si>
  <si>
    <t>00867B</t>
  </si>
  <si>
    <t>群益0-1年美債</t>
  </si>
  <si>
    <t>群益1-5年IG債</t>
  </si>
  <si>
    <t>元大全球未來通訊</t>
  </si>
  <si>
    <t>中信投資級公司債</t>
  </si>
  <si>
    <t>中信全球電信債</t>
  </si>
  <si>
    <t>中信美國公債0-1</t>
  </si>
  <si>
    <t>國泰US短期公債</t>
  </si>
  <si>
    <t>新光A-BBB電信債</t>
  </si>
  <si>
    <t>小羅素2000</t>
    <phoneticPr fontId="6" type="noConversion"/>
  </si>
  <si>
    <r>
      <t>ZS</t>
    </r>
    <r>
      <rPr>
        <sz val="12"/>
        <rFont val="新細明體"/>
        <family val="1"/>
        <charset val="136"/>
      </rPr>
      <t>-Q20</t>
    </r>
    <phoneticPr fontId="8" type="noConversion"/>
  </si>
  <si>
    <r>
      <t>TN</t>
    </r>
    <r>
      <rPr>
        <sz val="12"/>
        <rFont val="新細明體"/>
        <family val="1"/>
        <charset val="136"/>
      </rPr>
      <t>-U20</t>
    </r>
    <phoneticPr fontId="8" type="noConversion"/>
  </si>
  <si>
    <t>ZS-N20</t>
  </si>
  <si>
    <t>ZS-Q20</t>
  </si>
  <si>
    <t>TN-U20</t>
  </si>
  <si>
    <t>ZSE0</t>
  </si>
  <si>
    <t>ZSH0</t>
  </si>
  <si>
    <t>TNI0</t>
  </si>
  <si>
    <t>adjClose</t>
    <phoneticPr fontId="6" type="noConversion"/>
  </si>
  <si>
    <t>基準日:最近一日</t>
    <phoneticPr fontId="6" type="noConversion"/>
  </si>
  <si>
    <t>更新標題:是</t>
    <phoneticPr fontId="6" type="noConversion"/>
  </si>
  <si>
    <t>資料日期/</t>
    <phoneticPr fontId="6" type="noConversion"/>
  </si>
  <si>
    <t>參考標題</t>
    <phoneticPr fontId="6" type="noConversion"/>
  </si>
  <si>
    <t>股票代號</t>
    <phoneticPr fontId="6" type="noConversion"/>
  </si>
  <si>
    <t>股票名稱</t>
    <phoneticPr fontId="6" type="noConversion"/>
  </si>
  <si>
    <t>表格欄位/代號種類^=^S^;^週期編號^=^D^;^AllCMenuIDs^=^M002^;^是否轉置^=^False^;^檢視方式^=^2^;^AllFields^=^收盤價^;^MainTable^=^^;^ListType^=^^;^SelectDate^=^TOP 1^;^SelectCMenuID^=^M002^;^SelectDate種類^=^1^;^AllFieldsNO^=^^;^自訂欄位公式^=^^;^自訂欄位Where條件^=^^;^多期數值處理方式^=^1^;^多欄指定個股方式^=^^;^多欄指定個股^=^^;^多欄指定群組名稱^=^^;^欄位顯示狀態^=^1^;^欄位轉換日期方式^=^日^;^欄位排序方式^=^^;^欄位採用各期最新^=^^;^樣本表系統定義全部代號^=^^;^單項目比較欄位^=^^;^單項目比較欄位編號^=^^;^表格類型^=^</t>
    <phoneticPr fontId="6" type="noConversion"/>
  </si>
  <si>
    <t>日收盤表排行.收盤價/每一期/最近/1/遞增/日//</t>
    <phoneticPr fontId="6" type="noConversion"/>
  </si>
  <si>
    <t>00868B</t>
  </si>
  <si>
    <t>00869B</t>
  </si>
  <si>
    <t>FT1-3年美公債</t>
  </si>
  <si>
    <t>FT10-25年公司債</t>
  </si>
  <si>
    <t>00870B</t>
  </si>
  <si>
    <t>00872B</t>
  </si>
  <si>
    <t>元大15年EM主權債</t>
  </si>
  <si>
    <t>凱基美債1-3</t>
  </si>
  <si>
    <t>16:17:55</t>
  </si>
  <si>
    <t>CL-Z20</t>
  </si>
  <si>
    <t>ZS-F21</t>
  </si>
  <si>
    <t>ZS-F21</t>
    <phoneticPr fontId="8" type="noConversion"/>
  </si>
  <si>
    <t>ZSA1</t>
  </si>
  <si>
    <t>當月最後交易日</t>
    <phoneticPr fontId="6" type="noConversion"/>
  </si>
  <si>
    <t>NAV</t>
    <phoneticPr fontId="6" type="noConversion"/>
  </si>
  <si>
    <t>XQ淨值</t>
    <phoneticPr fontId="6" type="noConversion"/>
  </si>
  <si>
    <t>折溢價</t>
    <phoneticPr fontId="6" type="noConversion"/>
  </si>
  <si>
    <t>折溢價%</t>
    <phoneticPr fontId="6" type="noConversion"/>
  </si>
  <si>
    <t>高級銅</t>
    <phoneticPr fontId="6" type="noConversion"/>
  </si>
  <si>
    <t>ZS-H21</t>
  </si>
  <si>
    <t>ZSC1</t>
  </si>
  <si>
    <r>
      <t>ZS</t>
    </r>
    <r>
      <rPr>
        <sz val="12"/>
        <rFont val="新細明體"/>
        <family val="1"/>
        <charset val="136"/>
      </rPr>
      <t>-H21</t>
    </r>
    <phoneticPr fontId="8" type="noConversion"/>
  </si>
  <si>
    <t>ZS-K21</t>
    <phoneticPr fontId="8" type="noConversion"/>
  </si>
  <si>
    <t>ZS-K21</t>
  </si>
  <si>
    <t>ZSE1</t>
  </si>
  <si>
    <t>格式：一般排行///文字///日期//否/</t>
    <phoneticPr fontId="6" type="noConversion"/>
  </si>
  <si>
    <t>3042</t>
  </si>
  <si>
    <t>3653</t>
  </si>
  <si>
    <t>6257</t>
  </si>
  <si>
    <t>8210</t>
  </si>
  <si>
    <t>月份</t>
    <phoneticPr fontId="6" type="noConversion"/>
  </si>
  <si>
    <t>系統</t>
    <phoneticPr fontId="6" type="noConversion"/>
  </si>
  <si>
    <t>凱基期</t>
    <phoneticPr fontId="6" type="noConversion"/>
  </si>
  <si>
    <t>MME-H21</t>
  </si>
  <si>
    <t>MME-H21</t>
    <phoneticPr fontId="6" type="noConversion"/>
  </si>
  <si>
    <t>TOPIX-H21</t>
  </si>
  <si>
    <t>TOPIX-H21</t>
    <phoneticPr fontId="6" type="noConversion"/>
  </si>
  <si>
    <t>RTY-H21</t>
  </si>
  <si>
    <t>RTY-H21</t>
    <phoneticPr fontId="6" type="noConversion"/>
  </si>
  <si>
    <t>MMEC1</t>
  </si>
  <si>
    <t>JTIC1</t>
  </si>
  <si>
    <t>RTYC1</t>
  </si>
  <si>
    <t>NK-H21</t>
    <phoneticPr fontId="6" type="noConversion"/>
  </si>
  <si>
    <t>NK-H21</t>
  </si>
  <si>
    <t>SSIC1</t>
  </si>
  <si>
    <t>00875</t>
  </si>
  <si>
    <t>國泰網路資安</t>
  </si>
  <si>
    <t>IN</t>
    <phoneticPr fontId="6" type="noConversion"/>
  </si>
  <si>
    <t>印度指數期貨</t>
    <phoneticPr fontId="6" type="noConversion"/>
  </si>
  <si>
    <t>HG-G21</t>
    <phoneticPr fontId="6" type="noConversion"/>
  </si>
  <si>
    <t>HG-H21</t>
    <phoneticPr fontId="6" type="noConversion"/>
  </si>
  <si>
    <t>HG-F21</t>
    <phoneticPr fontId="6" type="noConversion"/>
  </si>
  <si>
    <t>HG-F21</t>
  </si>
  <si>
    <t>HG-G21</t>
  </si>
  <si>
    <t>HG-H21</t>
  </si>
  <si>
    <t>HGA1</t>
  </si>
  <si>
    <t>HGB1</t>
  </si>
  <si>
    <t>HGC1</t>
  </si>
  <si>
    <t>CL-H21</t>
  </si>
  <si>
    <t>CL-H21</t>
    <phoneticPr fontId="6" type="noConversion"/>
  </si>
  <si>
    <t>CL-J21</t>
  </si>
  <si>
    <t>CL-J21</t>
    <phoneticPr fontId="6" type="noConversion"/>
  </si>
  <si>
    <t>ES-H21</t>
  </si>
  <si>
    <t>ES-H21</t>
    <phoneticPr fontId="6" type="noConversion"/>
  </si>
  <si>
    <t>NQ-H21</t>
  </si>
  <si>
    <t>NQ-H21</t>
    <phoneticPr fontId="6" type="noConversion"/>
  </si>
  <si>
    <t>YM-H21</t>
  </si>
  <si>
    <t>YM-H21</t>
    <phoneticPr fontId="6" type="noConversion"/>
  </si>
  <si>
    <t>CLC1</t>
  </si>
  <si>
    <t>CLD1</t>
  </si>
  <si>
    <t>ESC1</t>
  </si>
  <si>
    <t>NQC1</t>
  </si>
  <si>
    <t>YMC1</t>
  </si>
  <si>
    <t>HG-K21</t>
  </si>
  <si>
    <t>HG-K21</t>
    <phoneticPr fontId="6" type="noConversion"/>
  </si>
  <si>
    <t>SI-G21</t>
  </si>
  <si>
    <t>SI-G21</t>
    <phoneticPr fontId="6" type="noConversion"/>
  </si>
  <si>
    <t>SI-K21</t>
  </si>
  <si>
    <t>SI-K21</t>
    <phoneticPr fontId="6" type="noConversion"/>
  </si>
  <si>
    <t>SIB1</t>
  </si>
  <si>
    <t>SIE1</t>
  </si>
  <si>
    <t>HGE1</t>
  </si>
  <si>
    <t>NK-M21</t>
    <phoneticPr fontId="6" type="noConversion"/>
  </si>
  <si>
    <t>NK-M21</t>
  </si>
  <si>
    <t>SSIF1</t>
  </si>
  <si>
    <r>
      <t>TW</t>
    </r>
    <r>
      <rPr>
        <sz val="12"/>
        <rFont val="新細明體"/>
        <family val="1"/>
        <charset val="136"/>
      </rPr>
      <t>-F21</t>
    </r>
    <phoneticPr fontId="8" type="noConversion"/>
  </si>
  <si>
    <t>ES-M21</t>
  </si>
  <si>
    <t>ES-M21</t>
    <phoneticPr fontId="6" type="noConversion"/>
  </si>
  <si>
    <t>NQ-M21</t>
  </si>
  <si>
    <t>NQ-M21</t>
    <phoneticPr fontId="6" type="noConversion"/>
  </si>
  <si>
    <t>YM-M21</t>
  </si>
  <si>
    <t>YM-M21</t>
    <phoneticPr fontId="6" type="noConversion"/>
  </si>
  <si>
    <t>GC-J21</t>
  </si>
  <si>
    <t>GC-J21</t>
    <phoneticPr fontId="6" type="noConversion"/>
  </si>
  <si>
    <t>BRN-K21</t>
  </si>
  <si>
    <t>BRN-K21</t>
    <phoneticPr fontId="6" type="noConversion"/>
  </si>
  <si>
    <t>TW-F21</t>
  </si>
  <si>
    <t>ESF1</t>
  </si>
  <si>
    <t>NQF1</t>
  </si>
  <si>
    <t>YMF1</t>
  </si>
  <si>
    <t>GCD1</t>
  </si>
  <si>
    <t>LCOBE1</t>
  </si>
  <si>
    <t>STWA1</t>
  </si>
  <si>
    <t>VX-H21</t>
    <phoneticPr fontId="8" type="noConversion"/>
  </si>
  <si>
    <t>日圓</t>
    <phoneticPr fontId="6" type="noConversion"/>
  </si>
  <si>
    <t>JY</t>
    <phoneticPr fontId="6" type="noConversion"/>
  </si>
  <si>
    <t>RTY-M21</t>
  </si>
  <si>
    <t>RTY-M21</t>
    <phoneticPr fontId="6" type="noConversion"/>
  </si>
  <si>
    <t>CME</t>
    <phoneticPr fontId="8" type="noConversion"/>
  </si>
  <si>
    <t>JY</t>
    <phoneticPr fontId="6" type="noConversion"/>
  </si>
  <si>
    <t>VX-H21</t>
  </si>
  <si>
    <t>VXC1</t>
  </si>
  <si>
    <t>RTYF1</t>
  </si>
  <si>
    <t>匯率相關期貨代號</t>
    <phoneticPr fontId="6" type="noConversion"/>
  </si>
  <si>
    <t>00876</t>
  </si>
  <si>
    <t>元大未來關鍵科技</t>
  </si>
  <si>
    <t>00878</t>
  </si>
  <si>
    <t>國泰永續高股息</t>
  </si>
  <si>
    <t>元大日經225</t>
    <phoneticPr fontId="6" type="noConversion"/>
  </si>
  <si>
    <t>國泰臺韓科技</t>
    <phoneticPr fontId="6" type="noConversion"/>
  </si>
  <si>
    <t>新光中國政金綠債</t>
    <phoneticPr fontId="6" type="noConversion"/>
  </si>
  <si>
    <t>國泰A級科技債</t>
    <phoneticPr fontId="6" type="noConversion"/>
  </si>
  <si>
    <t>國泰A級公用債</t>
    <phoneticPr fontId="6" type="noConversion"/>
  </si>
  <si>
    <t>富邦中証500</t>
    <phoneticPr fontId="6" type="noConversion"/>
  </si>
  <si>
    <t>元大10年IG醫療債</t>
    <phoneticPr fontId="6" type="noConversion"/>
  </si>
  <si>
    <t>中信美國公債20年</t>
    <phoneticPr fontId="6" type="noConversion"/>
  </si>
  <si>
    <t>中信中國債7-10</t>
    <phoneticPr fontId="6" type="noConversion"/>
  </si>
  <si>
    <t>BP上證50</t>
    <phoneticPr fontId="6" type="noConversion"/>
  </si>
  <si>
    <t>新光美債1-3</t>
    <phoneticPr fontId="6" type="noConversion"/>
  </si>
  <si>
    <t>凱基醫療保健債</t>
    <phoneticPr fontId="6" type="noConversion"/>
  </si>
  <si>
    <t>台新美元銀行債</t>
    <phoneticPr fontId="6" type="noConversion"/>
  </si>
  <si>
    <t>新光15年IG金融債</t>
    <phoneticPr fontId="6" type="noConversion"/>
  </si>
  <si>
    <t>富邦新興投等債</t>
    <phoneticPr fontId="6" type="noConversion"/>
  </si>
  <si>
    <t>元大臺灣ESG永續</t>
    <phoneticPr fontId="6" type="noConversion"/>
  </si>
  <si>
    <t>永豐20年美公債</t>
    <phoneticPr fontId="6" type="noConversion"/>
  </si>
  <si>
    <t>群益0-1年美債</t>
    <phoneticPr fontId="6" type="noConversion"/>
  </si>
  <si>
    <t>中信全球電信債</t>
    <phoneticPr fontId="6" type="noConversion"/>
  </si>
  <si>
    <t>新光A-BBB電信債</t>
    <phoneticPr fontId="6" type="noConversion"/>
  </si>
  <si>
    <t>元大15年EM主權債</t>
    <phoneticPr fontId="6" type="noConversion"/>
  </si>
  <si>
    <t>元大未來關鍵科技</t>
    <phoneticPr fontId="6" type="noConversion"/>
  </si>
  <si>
    <t>富邦上証反1</t>
    <phoneticPr fontId="6" type="noConversion"/>
  </si>
  <si>
    <t>元大10年IG電能債</t>
    <phoneticPr fontId="6" type="noConversion"/>
  </si>
  <si>
    <t>第一金金融債10+</t>
    <phoneticPr fontId="6" type="noConversion"/>
  </si>
  <si>
    <t>國泰網路資安</t>
    <phoneticPr fontId="6" type="noConversion"/>
  </si>
  <si>
    <t>富邦金融投等債</t>
    <phoneticPr fontId="6" type="noConversion"/>
  </si>
  <si>
    <t>元大10年IG銀行債</t>
    <phoneticPr fontId="6" type="noConversion"/>
  </si>
  <si>
    <t>元大台灣50</t>
    <phoneticPr fontId="6" type="noConversion"/>
  </si>
  <si>
    <t>元大中型100</t>
    <phoneticPr fontId="6" type="noConversion"/>
  </si>
  <si>
    <t>富邦科技</t>
    <phoneticPr fontId="6" type="noConversion"/>
  </si>
  <si>
    <t>元大電子</t>
    <phoneticPr fontId="6" type="noConversion"/>
  </si>
  <si>
    <t>元大台商50</t>
    <phoneticPr fontId="6" type="noConversion"/>
  </si>
  <si>
    <t>元大MSCI金融</t>
    <phoneticPr fontId="6" type="noConversion"/>
  </si>
  <si>
    <t>元大高股息</t>
    <phoneticPr fontId="6" type="noConversion"/>
  </si>
  <si>
    <t>富邦摩台</t>
    <phoneticPr fontId="6" type="noConversion"/>
  </si>
  <si>
    <t>元大寶滬深</t>
    <phoneticPr fontId="6" type="noConversion"/>
  </si>
  <si>
    <t>元大富櫃50</t>
    <phoneticPr fontId="6" type="noConversion"/>
  </si>
  <si>
    <t>元大MSCI台灣</t>
    <phoneticPr fontId="6" type="noConversion"/>
  </si>
  <si>
    <t>永豐臺灣加權</t>
    <phoneticPr fontId="6" type="noConversion"/>
  </si>
  <si>
    <t>富邦上証</t>
    <phoneticPr fontId="6" type="noConversion"/>
  </si>
  <si>
    <t>元大上證50</t>
    <phoneticPr fontId="6" type="noConversion"/>
  </si>
  <si>
    <t>FH滬深</t>
    <phoneticPr fontId="6" type="noConversion"/>
  </si>
  <si>
    <t>富邦台50</t>
    <phoneticPr fontId="6" type="noConversion"/>
  </si>
  <si>
    <t>富邦上証+R</t>
    <phoneticPr fontId="6" type="noConversion"/>
  </si>
  <si>
    <t>元大台灣50正2</t>
    <phoneticPr fontId="6" type="noConversion"/>
  </si>
  <si>
    <t>元大台灣50反1</t>
    <phoneticPr fontId="6" type="noConversion"/>
  </si>
  <si>
    <t>富邦上証正2</t>
    <phoneticPr fontId="6" type="noConversion"/>
  </si>
  <si>
    <t>國泰中國A50</t>
    <phoneticPr fontId="6" type="noConversion"/>
  </si>
  <si>
    <t>國泰中國A50+U</t>
    <phoneticPr fontId="6" type="noConversion"/>
  </si>
  <si>
    <t>元大滬深300正2</t>
    <phoneticPr fontId="6" type="noConversion"/>
  </si>
  <si>
    <t>元大滬深300反1</t>
    <phoneticPr fontId="6" type="noConversion"/>
  </si>
  <si>
    <t>富邦深100</t>
    <phoneticPr fontId="6" type="noConversion"/>
  </si>
  <si>
    <t>富邦日本正2</t>
    <phoneticPr fontId="6" type="noConversion"/>
  </si>
  <si>
    <t>富邦日本反1</t>
    <phoneticPr fontId="6" type="noConversion"/>
  </si>
  <si>
    <t>群益深証中小</t>
    <phoneticPr fontId="6" type="noConversion"/>
  </si>
  <si>
    <t>群益深証中小+R</t>
    <phoneticPr fontId="6" type="noConversion"/>
  </si>
  <si>
    <t>富邦日本</t>
    <phoneticPr fontId="6" type="noConversion"/>
  </si>
  <si>
    <t>元大S&amp;P500</t>
    <phoneticPr fontId="6" type="noConversion"/>
  </si>
  <si>
    <t>元大S&amp;P500正2</t>
    <phoneticPr fontId="6" type="noConversion"/>
  </si>
  <si>
    <t>元大S&amp;P500反1</t>
    <phoneticPr fontId="6" type="noConversion"/>
  </si>
  <si>
    <t>FH香港正2</t>
    <phoneticPr fontId="6" type="noConversion"/>
  </si>
  <si>
    <t>FH香港反1</t>
    <phoneticPr fontId="6" type="noConversion"/>
  </si>
  <si>
    <t>富邦印度</t>
    <phoneticPr fontId="6" type="noConversion"/>
  </si>
  <si>
    <t>富邦印度正2</t>
    <phoneticPr fontId="6" type="noConversion"/>
  </si>
  <si>
    <t>富邦印度反1</t>
    <phoneticPr fontId="6" type="noConversion"/>
  </si>
  <si>
    <t>國泰中國A50正2</t>
    <phoneticPr fontId="6" type="noConversion"/>
  </si>
  <si>
    <t>國泰中國A50反1</t>
    <phoneticPr fontId="6" type="noConversion"/>
  </si>
  <si>
    <t>國泰日經225</t>
    <phoneticPr fontId="6" type="noConversion"/>
  </si>
  <si>
    <t>國泰日經225+U</t>
    <phoneticPr fontId="6" type="noConversion"/>
  </si>
  <si>
    <t>元大歐洲50</t>
    <phoneticPr fontId="6" type="noConversion"/>
  </si>
  <si>
    <t>富邦NASDAQ</t>
    <phoneticPr fontId="6" type="noConversion"/>
  </si>
  <si>
    <t>國泰臺灣加權正2</t>
    <phoneticPr fontId="6" type="noConversion"/>
  </si>
  <si>
    <t>國泰臺灣加權反1</t>
    <phoneticPr fontId="6" type="noConversion"/>
  </si>
  <si>
    <t>富邦恒生國企正2</t>
    <phoneticPr fontId="6" type="noConversion"/>
  </si>
  <si>
    <t>富邦恒生國企反1</t>
    <phoneticPr fontId="6" type="noConversion"/>
  </si>
  <si>
    <t>國泰美國道瓊</t>
    <phoneticPr fontId="6" type="noConversion"/>
  </si>
  <si>
    <t>國泰美國道瓊+U</t>
    <phoneticPr fontId="6" type="noConversion"/>
  </si>
  <si>
    <t>國泰美國道瓊反1</t>
    <phoneticPr fontId="6" type="noConversion"/>
  </si>
  <si>
    <t>富邦NASDAQ正2</t>
    <phoneticPr fontId="6" type="noConversion"/>
  </si>
  <si>
    <t>富邦NASDAQ反1</t>
    <phoneticPr fontId="6" type="noConversion"/>
  </si>
  <si>
    <t>富邦臺灣加權正2</t>
    <phoneticPr fontId="6" type="noConversion"/>
  </si>
  <si>
    <t>富邦臺灣加權反1</t>
    <phoneticPr fontId="6" type="noConversion"/>
  </si>
  <si>
    <t>群益NBI生技</t>
    <phoneticPr fontId="6" type="noConversion"/>
  </si>
  <si>
    <t>元大美債20年</t>
    <phoneticPr fontId="6" type="noConversion"/>
  </si>
  <si>
    <t>元大美債20正2</t>
    <phoneticPr fontId="6" type="noConversion"/>
  </si>
  <si>
    <t>元大美債20反1</t>
    <phoneticPr fontId="6" type="noConversion"/>
  </si>
  <si>
    <t>群益臺灣加權正2</t>
    <phoneticPr fontId="6" type="noConversion"/>
  </si>
  <si>
    <t>群益臺灣加權反1</t>
    <phoneticPr fontId="6" type="noConversion"/>
  </si>
  <si>
    <t>國泰20年美債</t>
    <phoneticPr fontId="6" type="noConversion"/>
  </si>
  <si>
    <t>國泰20年美債正2</t>
    <phoneticPr fontId="6" type="noConversion"/>
  </si>
  <si>
    <t>國泰20年美債反1</t>
    <phoneticPr fontId="6" type="noConversion"/>
  </si>
  <si>
    <t>兆豐藍籌30</t>
    <phoneticPr fontId="6" type="noConversion"/>
  </si>
  <si>
    <t>富邦公司治理</t>
    <phoneticPr fontId="6" type="noConversion"/>
  </si>
  <si>
    <t>富邦美債1-3年</t>
    <phoneticPr fontId="6" type="noConversion"/>
  </si>
  <si>
    <t>富邦美債7-10年</t>
    <phoneticPr fontId="6" type="noConversion"/>
  </si>
  <si>
    <t>富邦美債20年</t>
    <phoneticPr fontId="6" type="noConversion"/>
  </si>
  <si>
    <t>元大美債7-10</t>
    <phoneticPr fontId="6" type="noConversion"/>
  </si>
  <si>
    <t>富邦恆生國企</t>
    <phoneticPr fontId="6" type="noConversion"/>
  </si>
  <si>
    <t>國泰股利精選30</t>
    <phoneticPr fontId="6" type="noConversion"/>
  </si>
  <si>
    <t>國泰標普低波高息</t>
    <phoneticPr fontId="6" type="noConversion"/>
  </si>
  <si>
    <t>台新MSCI中國</t>
    <phoneticPr fontId="6" type="noConversion"/>
  </si>
  <si>
    <t>富邦歐洲</t>
    <phoneticPr fontId="6" type="noConversion"/>
  </si>
  <si>
    <t>FH彭博高收益債</t>
    <phoneticPr fontId="6" type="noConversion"/>
  </si>
  <si>
    <t>FH彭博新興債</t>
    <phoneticPr fontId="6" type="noConversion"/>
  </si>
  <si>
    <t>FH富時不動產</t>
    <phoneticPr fontId="6" type="noConversion"/>
  </si>
  <si>
    <t>元大台灣高息低波</t>
    <phoneticPr fontId="6" type="noConversion"/>
  </si>
  <si>
    <t>群益道瓊美國地產</t>
    <phoneticPr fontId="6" type="noConversion"/>
  </si>
  <si>
    <t>富邦美國特別股</t>
    <phoneticPr fontId="6" type="noConversion"/>
  </si>
  <si>
    <t>富邦中國政策債</t>
    <phoneticPr fontId="6" type="noConversion"/>
  </si>
  <si>
    <t>元大美債1-3</t>
    <phoneticPr fontId="6" type="noConversion"/>
  </si>
  <si>
    <t>元大投資級公司債</t>
    <phoneticPr fontId="6" type="noConversion"/>
  </si>
  <si>
    <t>元大中國債3-5</t>
    <phoneticPr fontId="6" type="noConversion"/>
  </si>
  <si>
    <t>群益15年IG電信債</t>
    <phoneticPr fontId="6" type="noConversion"/>
  </si>
  <si>
    <t>群益15年IG科技債</t>
    <phoneticPr fontId="6" type="noConversion"/>
  </si>
  <si>
    <t>群益10年IG金融債</t>
    <phoneticPr fontId="6" type="noConversion"/>
  </si>
  <si>
    <t>國泰投資級公司債</t>
    <phoneticPr fontId="6" type="noConversion"/>
  </si>
  <si>
    <t>國泰5Y+新興債</t>
    <phoneticPr fontId="6" type="noConversion"/>
  </si>
  <si>
    <t>國泰1-5Y高收債</t>
    <phoneticPr fontId="6" type="noConversion"/>
  </si>
  <si>
    <t>第一金工業30</t>
    <phoneticPr fontId="6" type="noConversion"/>
  </si>
  <si>
    <t>富邦臺灣優質高息</t>
    <phoneticPr fontId="6" type="noConversion"/>
  </si>
  <si>
    <t>FH富時高息低波</t>
    <phoneticPr fontId="6" type="noConversion"/>
  </si>
  <si>
    <t>國泰RMB短期報酬</t>
    <phoneticPr fontId="6" type="noConversion"/>
  </si>
  <si>
    <t>富邦臺灣中小</t>
    <phoneticPr fontId="6" type="noConversion"/>
  </si>
  <si>
    <t>台新JPM新興債</t>
    <phoneticPr fontId="6" type="noConversion"/>
  </si>
  <si>
    <t>國泰新興市場</t>
    <phoneticPr fontId="6" type="noConversion"/>
  </si>
  <si>
    <t>國泰AI+ROBO</t>
    <phoneticPr fontId="6" type="noConversion"/>
  </si>
  <si>
    <t>元大MSCI A股</t>
    <phoneticPr fontId="6" type="noConversion"/>
  </si>
  <si>
    <t>富邦全球投等債</t>
    <phoneticPr fontId="6" type="noConversion"/>
  </si>
  <si>
    <t>富邦全球高收債</t>
    <phoneticPr fontId="6" type="noConversion"/>
  </si>
  <si>
    <t>新光內需收益</t>
    <phoneticPr fontId="6" type="noConversion"/>
  </si>
  <si>
    <t>國泰中國A150</t>
    <phoneticPr fontId="6" type="noConversion"/>
  </si>
  <si>
    <t>國泰中國政金債5+</t>
    <phoneticPr fontId="6" type="noConversion"/>
  </si>
  <si>
    <t>富邦中政債0-1</t>
    <phoneticPr fontId="6" type="noConversion"/>
  </si>
  <si>
    <t>富邦A級公司債</t>
    <phoneticPr fontId="6" type="noConversion"/>
  </si>
  <si>
    <t>FH中國政策債</t>
    <phoneticPr fontId="6" type="noConversion"/>
  </si>
  <si>
    <t>凱基中國債3-10</t>
    <phoneticPr fontId="6" type="noConversion"/>
  </si>
  <si>
    <t>凱基新興債10+</t>
    <phoneticPr fontId="6" type="noConversion"/>
  </si>
  <si>
    <t>凱基科技債10+</t>
    <phoneticPr fontId="6" type="noConversion"/>
  </si>
  <si>
    <t>元大AAA至A公司債</t>
    <phoneticPr fontId="6" type="noConversion"/>
  </si>
  <si>
    <t>中信中國50</t>
    <phoneticPr fontId="6" type="noConversion"/>
  </si>
  <si>
    <t>中信中國50正2</t>
    <phoneticPr fontId="6" type="noConversion"/>
  </si>
  <si>
    <t>群益AAA-AA公司債</t>
    <phoneticPr fontId="6" type="noConversion"/>
  </si>
  <si>
    <t>群益15年IG公用債</t>
    <phoneticPr fontId="6" type="noConversion"/>
  </si>
  <si>
    <t>群益15年EM主權債</t>
    <phoneticPr fontId="6" type="noConversion"/>
  </si>
  <si>
    <t>統一FANG+</t>
    <phoneticPr fontId="6" type="noConversion"/>
  </si>
  <si>
    <t>FH能源債</t>
    <phoneticPr fontId="6" type="noConversion"/>
  </si>
  <si>
    <t>FH製藥債</t>
    <phoneticPr fontId="6" type="noConversion"/>
  </si>
  <si>
    <t>FH新興企業債</t>
    <phoneticPr fontId="6" type="noConversion"/>
  </si>
  <si>
    <t>國泰A級公司債</t>
    <phoneticPr fontId="6" type="noConversion"/>
  </si>
  <si>
    <t>元大全球AI</t>
    <phoneticPr fontId="6" type="noConversion"/>
  </si>
  <si>
    <t>群益25年美債</t>
    <phoneticPr fontId="6" type="noConversion"/>
  </si>
  <si>
    <t>群益中國政金債</t>
    <phoneticPr fontId="6" type="noConversion"/>
  </si>
  <si>
    <t>FH20年美債</t>
    <phoneticPr fontId="6" type="noConversion"/>
  </si>
  <si>
    <t>國泰北美科技</t>
    <phoneticPr fontId="6" type="noConversion"/>
  </si>
  <si>
    <t>元大US高息特別股</t>
    <phoneticPr fontId="6" type="noConversion"/>
  </si>
  <si>
    <t>中信高評級公司債</t>
    <phoneticPr fontId="6" type="noConversion"/>
  </si>
  <si>
    <t>中信優先金融債</t>
    <phoneticPr fontId="6" type="noConversion"/>
  </si>
  <si>
    <t>新光中政金綠債+R</t>
    <phoneticPr fontId="6" type="noConversion"/>
  </si>
  <si>
    <t>新光投等債15+</t>
    <phoneticPr fontId="6" type="noConversion"/>
  </si>
  <si>
    <t>凱基AAA至A公司債</t>
    <phoneticPr fontId="6" type="noConversion"/>
  </si>
  <si>
    <t>凱基金融債20+</t>
    <phoneticPr fontId="6" type="noConversion"/>
  </si>
  <si>
    <t>凱基美債25+</t>
    <phoneticPr fontId="6" type="noConversion"/>
  </si>
  <si>
    <t>國泰A級金融債</t>
    <phoneticPr fontId="6" type="noConversion"/>
  </si>
  <si>
    <t>富邦中國投等債</t>
    <phoneticPr fontId="6" type="noConversion"/>
  </si>
  <si>
    <t>FH公司債A3</t>
    <phoneticPr fontId="6" type="noConversion"/>
  </si>
  <si>
    <t>FH次順位IG金融債</t>
    <phoneticPr fontId="6" type="noConversion"/>
  </si>
  <si>
    <t>FH美元信用債1-5Y</t>
    <phoneticPr fontId="6" type="noConversion"/>
  </si>
  <si>
    <t>群益A級公司債</t>
    <phoneticPr fontId="6" type="noConversion"/>
  </si>
  <si>
    <t>群益AAA-A醫療債</t>
    <phoneticPr fontId="6" type="noConversion"/>
  </si>
  <si>
    <t>群益7+中國政金債</t>
    <phoneticPr fontId="6" type="noConversion"/>
  </si>
  <si>
    <t>國泰A級醫療債</t>
    <phoneticPr fontId="6" type="noConversion"/>
  </si>
  <si>
    <t>國泰費城半導體</t>
    <phoneticPr fontId="6" type="noConversion"/>
  </si>
  <si>
    <t>新光美債20+</t>
    <phoneticPr fontId="6" type="noConversion"/>
  </si>
  <si>
    <t>永豐10年A公司債</t>
    <phoneticPr fontId="6" type="noConversion"/>
  </si>
  <si>
    <t>永豐7-10年中國債</t>
    <phoneticPr fontId="6" type="noConversion"/>
  </si>
  <si>
    <t>凱基IG精選15+</t>
    <phoneticPr fontId="6" type="noConversion"/>
  </si>
  <si>
    <t>凱基AAA-AA公司債</t>
    <phoneticPr fontId="6" type="noConversion"/>
  </si>
  <si>
    <t>台新中國政策債</t>
    <phoneticPr fontId="6" type="noConversion"/>
  </si>
  <si>
    <t>富邦歐洲銀行債</t>
    <phoneticPr fontId="6" type="noConversion"/>
  </si>
  <si>
    <t>中信美國市政債</t>
    <phoneticPr fontId="6" type="noConversion"/>
  </si>
  <si>
    <t>中信新興亞洲債</t>
    <phoneticPr fontId="6" type="noConversion"/>
  </si>
  <si>
    <t>中信EM主權債0-5</t>
    <phoneticPr fontId="6" type="noConversion"/>
  </si>
  <si>
    <t>台新全球AI</t>
    <phoneticPr fontId="6" type="noConversion"/>
  </si>
  <si>
    <t>國泰美國道瓊正2</t>
    <phoneticPr fontId="6" type="noConversion"/>
  </si>
  <si>
    <t>統一美債10年Aa-A</t>
    <phoneticPr fontId="6" type="noConversion"/>
  </si>
  <si>
    <t>永豐1-3年美公債</t>
    <phoneticPr fontId="6" type="noConversion"/>
  </si>
  <si>
    <t>永豐美國500大</t>
    <phoneticPr fontId="6" type="noConversion"/>
  </si>
  <si>
    <t>群益1-5年IG債</t>
    <phoneticPr fontId="6" type="noConversion"/>
  </si>
  <si>
    <t>元大全球未來通訊</t>
    <phoneticPr fontId="6" type="noConversion"/>
  </si>
  <si>
    <t>中信投資級公司債</t>
    <phoneticPr fontId="6" type="noConversion"/>
  </si>
  <si>
    <t>中信美國公債0-1</t>
    <phoneticPr fontId="6" type="noConversion"/>
  </si>
  <si>
    <t>國泰US短期公債</t>
    <phoneticPr fontId="6" type="noConversion"/>
  </si>
  <si>
    <t>FT10-25年公司債</t>
    <phoneticPr fontId="6" type="noConversion"/>
  </si>
  <si>
    <t>凱基美債1-3</t>
    <phoneticPr fontId="6" type="noConversion"/>
  </si>
  <si>
    <t>國泰永續高股息</t>
    <phoneticPr fontId="6" type="noConversion"/>
  </si>
  <si>
    <t>富台</t>
    <phoneticPr fontId="6" type="noConversion"/>
  </si>
  <si>
    <t>TWN</t>
    <phoneticPr fontId="6" type="noConversion"/>
  </si>
  <si>
    <t>VX-J21</t>
    <phoneticPr fontId="8" type="noConversion"/>
  </si>
  <si>
    <t>CL-K21</t>
    <phoneticPr fontId="6" type="noConversion"/>
  </si>
  <si>
    <t>CL-M21</t>
    <phoneticPr fontId="6" type="noConversion"/>
  </si>
  <si>
    <t>CN-M21</t>
    <phoneticPr fontId="6" type="noConversion"/>
  </si>
  <si>
    <t>GC-M21</t>
    <phoneticPr fontId="6" type="noConversion"/>
  </si>
  <si>
    <t>MME-M21</t>
    <phoneticPr fontId="6" type="noConversion"/>
  </si>
  <si>
    <r>
      <t>TN</t>
    </r>
    <r>
      <rPr>
        <sz val="12"/>
        <rFont val="新細明體"/>
        <family val="1"/>
        <charset val="136"/>
      </rPr>
      <t>-H21</t>
    </r>
    <phoneticPr fontId="8" type="noConversion"/>
  </si>
  <si>
    <r>
      <t>TN</t>
    </r>
    <r>
      <rPr>
        <sz val="12"/>
        <rFont val="新細明體"/>
        <family val="1"/>
        <charset val="136"/>
      </rPr>
      <t>-M21</t>
    </r>
    <phoneticPr fontId="8" type="noConversion"/>
  </si>
  <si>
    <t>VX-J21</t>
  </si>
  <si>
    <t>CL-K21</t>
  </si>
  <si>
    <t>CL-M21</t>
  </si>
  <si>
    <t>CN-M21</t>
  </si>
  <si>
    <t>GC-M21</t>
  </si>
  <si>
    <t>MME-M21</t>
  </si>
  <si>
    <t>TN-H21</t>
  </si>
  <si>
    <t>TN-M21</t>
  </si>
  <si>
    <t>VXD1</t>
  </si>
  <si>
    <t>CLE1</t>
  </si>
  <si>
    <t>CLF1</t>
  </si>
  <si>
    <t>SCNF1</t>
  </si>
  <si>
    <t>GCF1</t>
  </si>
  <si>
    <t>MMEF1</t>
  </si>
  <si>
    <t>TNC1</t>
  </si>
  <si>
    <t>TNF1</t>
  </si>
  <si>
    <t>資產類別</t>
    <phoneticPr fontId="9" type="noConversion"/>
  </si>
  <si>
    <t>標的類別</t>
    <phoneticPr fontId="9" type="noConversion"/>
  </si>
  <si>
    <t>標的代號</t>
  </si>
  <si>
    <t>標的簡稱</t>
  </si>
  <si>
    <t>市價</t>
    <phoneticPr fontId="9" type="noConversion"/>
  </si>
  <si>
    <t>淨值</t>
    <phoneticPr fontId="9" type="noConversion"/>
  </si>
  <si>
    <t>BASpread</t>
    <phoneticPr fontId="9" type="noConversion"/>
  </si>
  <si>
    <t>Trade</t>
    <phoneticPr fontId="9" type="noConversion"/>
  </si>
  <si>
    <t>Bid</t>
    <phoneticPr fontId="9" type="noConversion"/>
  </si>
  <si>
    <t>Bid淨值</t>
    <phoneticPr fontId="9" type="noConversion"/>
  </si>
  <si>
    <t>Ask</t>
    <phoneticPr fontId="9" type="noConversion"/>
  </si>
  <si>
    <t>Ask淨值</t>
    <phoneticPr fontId="9" type="noConversion"/>
  </si>
  <si>
    <t>昨收價</t>
    <phoneticPr fontId="9" type="noConversion"/>
  </si>
  <si>
    <t>昨淨值</t>
    <phoneticPr fontId="9" type="noConversion"/>
  </si>
  <si>
    <t>目前部位(張)</t>
    <phoneticPr fontId="9" type="noConversion"/>
  </si>
  <si>
    <t>昨日部位(張)</t>
    <phoneticPr fontId="9" type="noConversion"/>
  </si>
  <si>
    <t>今日淨買賣(張)</t>
    <phoneticPr fontId="9" type="noConversion"/>
  </si>
  <si>
    <t>今日買進(張)</t>
    <phoneticPr fontId="9" type="noConversion"/>
  </si>
  <si>
    <t>今日賣出(張)</t>
    <phoneticPr fontId="9" type="noConversion"/>
  </si>
  <si>
    <t>KGI總成交張數</t>
    <phoneticPr fontId="9" type="noConversion"/>
  </si>
  <si>
    <t>當日總成交張數</t>
    <phoneticPr fontId="9" type="noConversion"/>
  </si>
  <si>
    <t>成交佔比</t>
    <phoneticPr fontId="9" type="noConversion"/>
  </si>
  <si>
    <t>原油</t>
    <phoneticPr fontId="9" type="noConversion"/>
  </si>
  <si>
    <t>布蘭特</t>
    <phoneticPr fontId="9" type="noConversion"/>
  </si>
  <si>
    <t>輕原油</t>
    <phoneticPr fontId="9" type="noConversion"/>
  </si>
  <si>
    <t>00642U</t>
    <phoneticPr fontId="9" type="noConversion"/>
  </si>
  <si>
    <t>00673R</t>
    <phoneticPr fontId="9" type="noConversion"/>
  </si>
  <si>
    <t>美股</t>
  </si>
  <si>
    <t>小道瓊</t>
    <phoneticPr fontId="9" type="noConversion"/>
  </si>
  <si>
    <t>00668</t>
    <phoneticPr fontId="9" type="noConversion"/>
  </si>
  <si>
    <t>00669R</t>
    <phoneticPr fontId="9" type="noConversion"/>
  </si>
  <si>
    <t>小那斯達克</t>
    <phoneticPr fontId="9" type="noConversion"/>
  </si>
  <si>
    <t>00861</t>
    <phoneticPr fontId="9" type="noConversion"/>
  </si>
  <si>
    <t>00875</t>
    <phoneticPr fontId="9" type="noConversion"/>
  </si>
  <si>
    <t>小S&amp;P500</t>
  </si>
  <si>
    <t>日本</t>
    <phoneticPr fontId="9" type="noConversion"/>
  </si>
  <si>
    <t>日經</t>
    <phoneticPr fontId="9" type="noConversion"/>
  </si>
  <si>
    <t>日經</t>
  </si>
  <si>
    <t>東證</t>
    <phoneticPr fontId="9" type="noConversion"/>
  </si>
  <si>
    <t>金屬</t>
    <phoneticPr fontId="9" type="noConversion"/>
  </si>
  <si>
    <t>黃金</t>
    <phoneticPr fontId="9" type="noConversion"/>
  </si>
  <si>
    <t>00635U</t>
    <phoneticPr fontId="9" type="noConversion"/>
  </si>
  <si>
    <t>00674R</t>
    <phoneticPr fontId="9" type="noConversion"/>
  </si>
  <si>
    <t>00708L</t>
    <phoneticPr fontId="9" type="noConversion"/>
  </si>
  <si>
    <t>白銀</t>
    <phoneticPr fontId="9" type="noConversion"/>
  </si>
  <si>
    <t>00738U</t>
    <phoneticPr fontId="9" type="noConversion"/>
  </si>
  <si>
    <t>高級銅</t>
    <phoneticPr fontId="9" type="noConversion"/>
  </si>
  <si>
    <t>00763U</t>
    <phoneticPr fontId="9" type="noConversion"/>
  </si>
  <si>
    <t>VIX</t>
    <phoneticPr fontId="9" type="noConversion"/>
  </si>
  <si>
    <t>00677U</t>
    <phoneticPr fontId="9" type="noConversion"/>
  </si>
  <si>
    <t>農產品</t>
  </si>
  <si>
    <t>黃豆</t>
    <phoneticPr fontId="9" type="noConversion"/>
  </si>
  <si>
    <t>00693U</t>
    <phoneticPr fontId="9" type="noConversion"/>
  </si>
  <si>
    <t>陸股</t>
    <phoneticPr fontId="9" type="noConversion"/>
  </si>
  <si>
    <t>0061</t>
    <phoneticPr fontId="9" type="noConversion"/>
  </si>
  <si>
    <t>006205</t>
    <phoneticPr fontId="9" type="noConversion"/>
  </si>
  <si>
    <t>006206</t>
    <phoneticPr fontId="9" type="noConversion"/>
  </si>
  <si>
    <t>006207</t>
    <phoneticPr fontId="9" type="noConversion"/>
  </si>
  <si>
    <t>00633L</t>
    <phoneticPr fontId="9" type="noConversion"/>
  </si>
  <si>
    <t>00634R</t>
    <phoneticPr fontId="9" type="noConversion"/>
  </si>
  <si>
    <t>00636</t>
    <phoneticPr fontId="9" type="noConversion"/>
  </si>
  <si>
    <t>00637L</t>
    <phoneticPr fontId="9" type="noConversion"/>
  </si>
  <si>
    <t>00638R</t>
    <phoneticPr fontId="9" type="noConversion"/>
  </si>
  <si>
    <t>00639</t>
    <phoneticPr fontId="9" type="noConversion"/>
  </si>
  <si>
    <t>00643</t>
    <phoneticPr fontId="9" type="noConversion"/>
  </si>
  <si>
    <t>00655L</t>
    <phoneticPr fontId="9" type="noConversion"/>
  </si>
  <si>
    <t>00656R</t>
    <phoneticPr fontId="9" type="noConversion"/>
  </si>
  <si>
    <t>00739</t>
    <phoneticPr fontId="9" type="noConversion"/>
  </si>
  <si>
    <t>00743</t>
    <phoneticPr fontId="9" type="noConversion"/>
  </si>
  <si>
    <t>00752</t>
    <phoneticPr fontId="9" type="noConversion"/>
  </si>
  <si>
    <t>00753L</t>
    <phoneticPr fontId="9" type="noConversion"/>
  </si>
  <si>
    <t>00783</t>
    <phoneticPr fontId="9" type="noConversion"/>
  </si>
  <si>
    <t>008201</t>
    <phoneticPr fontId="9" type="noConversion"/>
  </si>
  <si>
    <t>港股</t>
    <phoneticPr fontId="9" type="noConversion"/>
  </si>
  <si>
    <t>港股</t>
  </si>
  <si>
    <t>印度</t>
    <phoneticPr fontId="9" type="noConversion"/>
  </si>
  <si>
    <t>00652</t>
    <phoneticPr fontId="9" type="noConversion"/>
  </si>
  <si>
    <t>00653L</t>
    <phoneticPr fontId="9" type="noConversion"/>
  </si>
  <si>
    <t>00654R</t>
    <phoneticPr fontId="9" type="noConversion"/>
  </si>
  <si>
    <t>台股</t>
    <phoneticPr fontId="9" type="noConversion"/>
  </si>
  <si>
    <t>00631L</t>
    <phoneticPr fontId="9" type="noConversion"/>
  </si>
  <si>
    <t>00632R</t>
    <phoneticPr fontId="9" type="noConversion"/>
  </si>
  <si>
    <t>00663L</t>
    <phoneticPr fontId="9" type="noConversion"/>
  </si>
  <si>
    <t>00664R</t>
    <phoneticPr fontId="9" type="noConversion"/>
  </si>
  <si>
    <t>00685L</t>
    <phoneticPr fontId="9" type="noConversion"/>
  </si>
  <si>
    <t>0051</t>
    <phoneticPr fontId="9" type="noConversion"/>
  </si>
  <si>
    <t>台股</t>
    <phoneticPr fontId="9" type="noConversion"/>
  </si>
  <si>
    <t>0052</t>
    <phoneticPr fontId="9" type="noConversion"/>
  </si>
  <si>
    <t>0053</t>
    <phoneticPr fontId="9" type="noConversion"/>
  </si>
  <si>
    <t>0054</t>
    <phoneticPr fontId="9" type="noConversion"/>
  </si>
  <si>
    <t>0055</t>
    <phoneticPr fontId="9" type="noConversion"/>
  </si>
  <si>
    <t>0055</t>
    <phoneticPr fontId="9" type="noConversion"/>
  </si>
  <si>
    <t>0056</t>
    <phoneticPr fontId="9" type="noConversion"/>
  </si>
  <si>
    <t>0056</t>
    <phoneticPr fontId="9" type="noConversion"/>
  </si>
  <si>
    <t>0057</t>
    <phoneticPr fontId="9" type="noConversion"/>
  </si>
  <si>
    <t>006201</t>
    <phoneticPr fontId="9" type="noConversion"/>
  </si>
  <si>
    <t>006203</t>
    <phoneticPr fontId="9" type="noConversion"/>
  </si>
  <si>
    <t>006204</t>
    <phoneticPr fontId="9" type="noConversion"/>
  </si>
  <si>
    <t>006208</t>
    <phoneticPr fontId="9" type="noConversion"/>
  </si>
  <si>
    <t>00692</t>
    <phoneticPr fontId="9" type="noConversion"/>
  </si>
  <si>
    <t>00728</t>
    <phoneticPr fontId="9" type="noConversion"/>
  </si>
  <si>
    <t>00731</t>
    <phoneticPr fontId="9" type="noConversion"/>
  </si>
  <si>
    <t>00733</t>
    <phoneticPr fontId="9" type="noConversion"/>
  </si>
  <si>
    <t>BRN-Q20</t>
  </si>
  <si>
    <t>布蘭特原油期貨</t>
    <phoneticPr fontId="9" type="noConversion"/>
  </si>
  <si>
    <t>輕原油期貨</t>
    <phoneticPr fontId="9" type="noConversion"/>
  </si>
  <si>
    <t>小道瓊</t>
  </si>
  <si>
    <t>YM-M20</t>
  </si>
  <si>
    <t>小道瓊期貨</t>
    <phoneticPr fontId="9" type="noConversion"/>
  </si>
  <si>
    <t>小那斯達克</t>
  </si>
  <si>
    <t>NQ-M20</t>
  </si>
  <si>
    <t>小那斯達克期貨</t>
    <phoneticPr fontId="9" type="noConversion"/>
  </si>
  <si>
    <t>小S&amp;P500</t>
    <phoneticPr fontId="9" type="noConversion"/>
  </si>
  <si>
    <t>ES-M20</t>
  </si>
  <si>
    <t>小S&amp;P500期貨</t>
    <phoneticPr fontId="9" type="noConversion"/>
  </si>
  <si>
    <t>黃金</t>
  </si>
  <si>
    <t>GC-M20</t>
  </si>
  <si>
    <t>黃金期貨</t>
    <phoneticPr fontId="9" type="noConversion"/>
  </si>
  <si>
    <t>VX-M20</t>
    <phoneticPr fontId="9" type="noConversion"/>
  </si>
  <si>
    <t>VIX期貨</t>
    <phoneticPr fontId="9" type="noConversion"/>
  </si>
  <si>
    <t>黃豆</t>
  </si>
  <si>
    <t>黃豆期貨</t>
    <phoneticPr fontId="9" type="noConversion"/>
  </si>
  <si>
    <t>A50</t>
    <phoneticPr fontId="9" type="noConversion"/>
  </si>
  <si>
    <t>CN-M20</t>
    <phoneticPr fontId="9" type="noConversion"/>
  </si>
  <si>
    <t>A50期貨</t>
    <phoneticPr fontId="9" type="noConversion"/>
  </si>
  <si>
    <t>FITX06</t>
    <phoneticPr fontId="9" type="noConversion"/>
  </si>
  <si>
    <t>台指期</t>
    <phoneticPr fontId="9" type="noConversion"/>
  </si>
  <si>
    <t>FITE06</t>
    <phoneticPr fontId="9" type="noConversion"/>
  </si>
  <si>
    <t>電子期</t>
    <phoneticPr fontId="9" type="noConversion"/>
  </si>
  <si>
    <r>
      <t>ZS</t>
    </r>
    <r>
      <rPr>
        <sz val="12"/>
        <rFont val="新細明體"/>
        <family val="1"/>
        <charset val="136"/>
      </rPr>
      <t>-N21</t>
    </r>
    <phoneticPr fontId="8" type="noConversion"/>
  </si>
  <si>
    <r>
      <t>TW</t>
    </r>
    <r>
      <rPr>
        <sz val="12"/>
        <rFont val="新細明體"/>
        <family val="1"/>
        <charset val="136"/>
      </rPr>
      <t>-H21</t>
    </r>
    <phoneticPr fontId="8" type="noConversion"/>
  </si>
  <si>
    <r>
      <t>TWN</t>
    </r>
    <r>
      <rPr>
        <sz val="12"/>
        <rFont val="新細明體"/>
        <family val="1"/>
        <charset val="136"/>
      </rPr>
      <t>-M21</t>
    </r>
    <phoneticPr fontId="8" type="noConversion"/>
  </si>
  <si>
    <t>VX-K21</t>
    <phoneticPr fontId="8" type="noConversion"/>
  </si>
  <si>
    <t>VX-K21</t>
  </si>
  <si>
    <t>ZS-N21</t>
  </si>
  <si>
    <t>TW-H21</t>
  </si>
  <si>
    <t>TWN-M21</t>
  </si>
  <si>
    <t>VXE1</t>
  </si>
  <si>
    <t>ZSG1</t>
  </si>
  <si>
    <t>STWC1</t>
  </si>
  <si>
    <t>TWNF1</t>
  </si>
  <si>
    <t>TOPIX-M21</t>
    <phoneticPr fontId="6" type="noConversion"/>
  </si>
  <si>
    <t>TOPIX-M21</t>
  </si>
  <si>
    <t>JTIF1</t>
  </si>
  <si>
    <t>00879B</t>
  </si>
  <si>
    <t>00880B</t>
  </si>
  <si>
    <t>第一金美債0-1</t>
  </si>
  <si>
    <t>第一金電信債15+</t>
  </si>
  <si>
    <t>HHI-F21</t>
  </si>
  <si>
    <t>HHI-F21</t>
    <phoneticPr fontId="6" type="noConversion"/>
  </si>
  <si>
    <t>HHIA1</t>
  </si>
  <si>
    <t>NCH-H21</t>
  </si>
  <si>
    <t>NCH-H21</t>
    <phoneticPr fontId="6" type="noConversion"/>
  </si>
  <si>
    <t>MME-U21</t>
  </si>
  <si>
    <t>MME-U21</t>
    <phoneticPr fontId="6" type="noConversion"/>
  </si>
  <si>
    <t>NCHC1</t>
  </si>
  <si>
    <t>MMEI1</t>
  </si>
  <si>
    <t>HHI-H21</t>
  </si>
  <si>
    <t>HHI-H21</t>
    <phoneticPr fontId="6" type="noConversion"/>
  </si>
  <si>
    <t>TOPIX-U21</t>
  </si>
  <si>
    <t>TOPIX-U21</t>
    <phoneticPr fontId="6" type="noConversion"/>
  </si>
  <si>
    <t>RTY-U21</t>
  </si>
  <si>
    <t>RTY-U21</t>
    <phoneticPr fontId="6" type="noConversion"/>
  </si>
  <si>
    <t>HG-M21</t>
  </si>
  <si>
    <t>HG-M21</t>
    <phoneticPr fontId="6" type="noConversion"/>
  </si>
  <si>
    <t>HG-N21</t>
  </si>
  <si>
    <t>HG-N21</t>
    <phoneticPr fontId="6" type="noConversion"/>
  </si>
  <si>
    <t>HG-Q21</t>
  </si>
  <si>
    <t>HG-Q21</t>
    <phoneticPr fontId="6" type="noConversion"/>
  </si>
  <si>
    <t>HG-U21</t>
  </si>
  <si>
    <t>HG-U21</t>
    <phoneticPr fontId="6" type="noConversion"/>
  </si>
  <si>
    <t>HG-V21</t>
  </si>
  <si>
    <t>HG-V21</t>
    <phoneticPr fontId="6" type="noConversion"/>
  </si>
  <si>
    <t>HHIC1</t>
  </si>
  <si>
    <t>JTII1</t>
  </si>
  <si>
    <t>RTYI1</t>
  </si>
  <si>
    <t>HGF1</t>
  </si>
  <si>
    <t>HGG1</t>
  </si>
  <si>
    <t>HGH1</t>
  </si>
  <si>
    <t>HGI1</t>
  </si>
  <si>
    <t>HGJ1</t>
  </si>
  <si>
    <r>
      <t>CL</t>
    </r>
    <r>
      <rPr>
        <sz val="12"/>
        <rFont val="新細明體"/>
        <family val="1"/>
        <charset val="136"/>
      </rPr>
      <t>-N21</t>
    </r>
    <phoneticPr fontId="8" type="noConversion"/>
  </si>
  <si>
    <r>
      <t>CL</t>
    </r>
    <r>
      <rPr>
        <sz val="12"/>
        <rFont val="新細明體"/>
        <family val="1"/>
        <charset val="136"/>
      </rPr>
      <t>-V21</t>
    </r>
    <phoneticPr fontId="8" type="noConversion"/>
  </si>
  <si>
    <t>CL-X21</t>
  </si>
  <si>
    <t>CL-X21</t>
    <phoneticPr fontId="6" type="noConversion"/>
  </si>
  <si>
    <t>CL-Z21</t>
  </si>
  <si>
    <t>CL-Z21</t>
    <phoneticPr fontId="6" type="noConversion"/>
  </si>
  <si>
    <t>VX-M21</t>
  </si>
  <si>
    <t>VX-M21</t>
    <phoneticPr fontId="8" type="noConversion"/>
  </si>
  <si>
    <t>VX-N21</t>
  </si>
  <si>
    <t>VX-N21</t>
    <phoneticPr fontId="8" type="noConversion"/>
  </si>
  <si>
    <t>VX-Q21</t>
  </si>
  <si>
    <t>VX-Q21</t>
    <phoneticPr fontId="8" type="noConversion"/>
  </si>
  <si>
    <t>GC-V21</t>
  </si>
  <si>
    <t>GC-V21</t>
    <phoneticPr fontId="6" type="noConversion"/>
  </si>
  <si>
    <r>
      <t>BRN</t>
    </r>
    <r>
      <rPr>
        <sz val="12"/>
        <rFont val="新細明體"/>
        <family val="1"/>
        <charset val="136"/>
      </rPr>
      <t>-V21</t>
    </r>
    <phoneticPr fontId="8" type="noConversion"/>
  </si>
  <si>
    <t>SI-H21</t>
  </si>
  <si>
    <t>SI-H21</t>
    <phoneticPr fontId="6" type="noConversion"/>
  </si>
  <si>
    <t>SI-J21</t>
  </si>
  <si>
    <t>SI-J21</t>
    <phoneticPr fontId="6" type="noConversion"/>
  </si>
  <si>
    <t>CL-N21</t>
  </si>
  <si>
    <t>CL-V21</t>
  </si>
  <si>
    <t>BRN-V21</t>
  </si>
  <si>
    <t>VXF1</t>
  </si>
  <si>
    <t>VXG1</t>
  </si>
  <si>
    <t>VXH1</t>
  </si>
  <si>
    <t>CLG1</t>
  </si>
  <si>
    <t>CLJ1</t>
  </si>
  <si>
    <t>CLK1</t>
  </si>
  <si>
    <t>CLL1</t>
  </si>
  <si>
    <t>GCJ1</t>
  </si>
  <si>
    <t>LCOBJ1</t>
  </si>
  <si>
    <t>SIC1</t>
  </si>
  <si>
    <t>SID1</t>
  </si>
  <si>
    <t>HG-X21</t>
  </si>
  <si>
    <t>HG-X21</t>
    <phoneticPr fontId="6" type="noConversion"/>
  </si>
  <si>
    <t>HGK1</t>
  </si>
  <si>
    <t>台泥</t>
    <phoneticPr fontId="6" type="noConversion"/>
  </si>
  <si>
    <t>亞泥</t>
    <phoneticPr fontId="6" type="noConversion"/>
  </si>
  <si>
    <t>味全</t>
    <phoneticPr fontId="6" type="noConversion"/>
  </si>
  <si>
    <t>大成</t>
    <phoneticPr fontId="6" type="noConversion"/>
  </si>
  <si>
    <t>統一</t>
    <phoneticPr fontId="6" type="noConversion"/>
  </si>
  <si>
    <t>佳格</t>
    <phoneticPr fontId="6" type="noConversion"/>
  </si>
  <si>
    <t>聯華</t>
    <phoneticPr fontId="6" type="noConversion"/>
  </si>
  <si>
    <t>安心</t>
    <phoneticPr fontId="6" type="noConversion"/>
  </si>
  <si>
    <t>漢來美食</t>
    <phoneticPr fontId="6" type="noConversion"/>
  </si>
  <si>
    <t>台塑</t>
    <phoneticPr fontId="6" type="noConversion"/>
  </si>
  <si>
    <t>南亞</t>
    <phoneticPr fontId="6" type="noConversion"/>
  </si>
  <si>
    <t>台聚</t>
    <phoneticPr fontId="6" type="noConversion"/>
  </si>
  <si>
    <t>華夏</t>
    <phoneticPr fontId="6" type="noConversion"/>
  </si>
  <si>
    <t>國喬</t>
    <phoneticPr fontId="6" type="noConversion"/>
  </si>
  <si>
    <t>中石化</t>
    <phoneticPr fontId="6" type="noConversion"/>
  </si>
  <si>
    <t>東陽</t>
    <phoneticPr fontId="6" type="noConversion"/>
  </si>
  <si>
    <t>台化</t>
    <phoneticPr fontId="6" type="noConversion"/>
  </si>
  <si>
    <t>遠東新</t>
    <phoneticPr fontId="6" type="noConversion"/>
  </si>
  <si>
    <t>福懋</t>
    <phoneticPr fontId="6" type="noConversion"/>
  </si>
  <si>
    <t>儒鴻</t>
    <phoneticPr fontId="6" type="noConversion"/>
  </si>
  <si>
    <t>聚陽</t>
    <phoneticPr fontId="6" type="noConversion"/>
  </si>
  <si>
    <t>士電</t>
    <phoneticPr fontId="6" type="noConversion"/>
  </si>
  <si>
    <t>東元</t>
    <phoneticPr fontId="6" type="noConversion"/>
  </si>
  <si>
    <t>永大</t>
    <phoneticPr fontId="6" type="noConversion"/>
  </si>
  <si>
    <t>和大</t>
    <phoneticPr fontId="6" type="noConversion"/>
  </si>
  <si>
    <t>精華</t>
    <phoneticPr fontId="6" type="noConversion"/>
  </si>
  <si>
    <t>和勤</t>
    <phoneticPr fontId="6" type="noConversion"/>
  </si>
  <si>
    <t>亞德客-KY</t>
    <phoneticPr fontId="6" type="noConversion"/>
  </si>
  <si>
    <t>直得</t>
    <phoneticPr fontId="6" type="noConversion"/>
  </si>
  <si>
    <t>宏佳騰</t>
    <phoneticPr fontId="6" type="noConversion"/>
  </si>
  <si>
    <t>華新</t>
    <phoneticPr fontId="6" type="noConversion"/>
  </si>
  <si>
    <t>大亞</t>
    <phoneticPr fontId="6" type="noConversion"/>
  </si>
  <si>
    <t>葡萄王</t>
    <phoneticPr fontId="6" type="noConversion"/>
  </si>
  <si>
    <t>長興</t>
    <phoneticPr fontId="6" type="noConversion"/>
  </si>
  <si>
    <t>台肥</t>
    <phoneticPr fontId="6" type="noConversion"/>
  </si>
  <si>
    <t>中碳</t>
    <phoneticPr fontId="6" type="noConversion"/>
  </si>
  <si>
    <t>生泰</t>
    <phoneticPr fontId="6" type="noConversion"/>
  </si>
  <si>
    <t>光洋科</t>
    <phoneticPr fontId="6" type="noConversion"/>
  </si>
  <si>
    <t>美時</t>
    <phoneticPr fontId="6" type="noConversion"/>
  </si>
  <si>
    <t>台玻</t>
    <phoneticPr fontId="6" type="noConversion"/>
  </si>
  <si>
    <t>富喬</t>
    <phoneticPr fontId="6" type="noConversion"/>
  </si>
  <si>
    <t>正隆</t>
    <phoneticPr fontId="6" type="noConversion"/>
  </si>
  <si>
    <t>中鋼</t>
    <phoneticPr fontId="6" type="noConversion"/>
  </si>
  <si>
    <t>東和鋼鐵</t>
    <phoneticPr fontId="6" type="noConversion"/>
  </si>
  <si>
    <t>中鋼構</t>
    <phoneticPr fontId="6" type="noConversion"/>
  </si>
  <si>
    <t>大成鋼</t>
    <phoneticPr fontId="6" type="noConversion"/>
  </si>
  <si>
    <t>上銀</t>
    <phoneticPr fontId="6" type="noConversion"/>
  </si>
  <si>
    <t>川湖</t>
    <phoneticPr fontId="6" type="noConversion"/>
  </si>
  <si>
    <t>世德</t>
    <phoneticPr fontId="6" type="noConversion"/>
  </si>
  <si>
    <t>南港</t>
    <phoneticPr fontId="6" type="noConversion"/>
  </si>
  <si>
    <t>台橡</t>
    <phoneticPr fontId="6" type="noConversion"/>
  </si>
  <si>
    <t>國際中橡</t>
    <phoneticPr fontId="6" type="noConversion"/>
  </si>
  <si>
    <t>正新</t>
    <phoneticPr fontId="6" type="noConversion"/>
  </si>
  <si>
    <t>建大</t>
    <phoneticPr fontId="6" type="noConversion"/>
  </si>
  <si>
    <t>裕隆</t>
    <phoneticPr fontId="6" type="noConversion"/>
  </si>
  <si>
    <t>中華</t>
    <phoneticPr fontId="6" type="noConversion"/>
  </si>
  <si>
    <t>三陽工業</t>
    <phoneticPr fontId="6" type="noConversion"/>
  </si>
  <si>
    <t>和泰車</t>
    <phoneticPr fontId="6" type="noConversion"/>
  </si>
  <si>
    <t>台船</t>
    <phoneticPr fontId="6" type="noConversion"/>
  </si>
  <si>
    <t>裕日車</t>
    <phoneticPr fontId="6" type="noConversion"/>
  </si>
  <si>
    <t>為升</t>
    <phoneticPr fontId="6" type="noConversion"/>
  </si>
  <si>
    <t>宇隆</t>
    <phoneticPr fontId="6" type="noConversion"/>
  </si>
  <si>
    <t>光寶科</t>
    <phoneticPr fontId="6" type="noConversion"/>
  </si>
  <si>
    <t>聯電</t>
    <phoneticPr fontId="6" type="noConversion"/>
  </si>
  <si>
    <t>台達電</t>
    <phoneticPr fontId="6" type="noConversion"/>
  </si>
  <si>
    <t>金寶</t>
    <phoneticPr fontId="6" type="noConversion"/>
  </si>
  <si>
    <t>華通</t>
    <phoneticPr fontId="6" type="noConversion"/>
  </si>
  <si>
    <t>鴻海</t>
    <phoneticPr fontId="6" type="noConversion"/>
  </si>
  <si>
    <t>仁寶</t>
    <phoneticPr fontId="6" type="noConversion"/>
  </si>
  <si>
    <t>國巨</t>
    <phoneticPr fontId="6" type="noConversion"/>
  </si>
  <si>
    <t>台積電</t>
    <phoneticPr fontId="6" type="noConversion"/>
  </si>
  <si>
    <t>旺宏</t>
    <phoneticPr fontId="6" type="noConversion"/>
  </si>
  <si>
    <t>華邦電</t>
    <phoneticPr fontId="6" type="noConversion"/>
  </si>
  <si>
    <t>智邦</t>
    <phoneticPr fontId="6" type="noConversion"/>
  </si>
  <si>
    <t>聯強</t>
    <phoneticPr fontId="6" type="noConversion"/>
  </si>
  <si>
    <t>佳世達</t>
    <phoneticPr fontId="6" type="noConversion"/>
  </si>
  <si>
    <t>宏碁</t>
    <phoneticPr fontId="6" type="noConversion"/>
  </si>
  <si>
    <t>鴻準</t>
    <phoneticPr fontId="6" type="noConversion"/>
  </si>
  <si>
    <t>敬鵬</t>
    <phoneticPr fontId="6" type="noConversion"/>
  </si>
  <si>
    <t>英業達</t>
    <phoneticPr fontId="6" type="noConversion"/>
  </si>
  <si>
    <t>華碩</t>
    <phoneticPr fontId="6" type="noConversion"/>
  </si>
  <si>
    <t>致茂</t>
    <phoneticPr fontId="6" type="noConversion"/>
  </si>
  <si>
    <t>藍天</t>
    <phoneticPr fontId="6" type="noConversion"/>
  </si>
  <si>
    <t>燿華</t>
    <phoneticPr fontId="6" type="noConversion"/>
  </si>
  <si>
    <t>菱生</t>
    <phoneticPr fontId="6" type="noConversion"/>
  </si>
  <si>
    <t>大同</t>
    <phoneticPr fontId="6" type="noConversion"/>
  </si>
  <si>
    <t>震旦行</t>
    <phoneticPr fontId="6" type="noConversion"/>
  </si>
  <si>
    <t>佳能</t>
    <phoneticPr fontId="6" type="noConversion"/>
  </si>
  <si>
    <t>技嘉</t>
    <phoneticPr fontId="6" type="noConversion"/>
  </si>
  <si>
    <t>微星</t>
    <phoneticPr fontId="6" type="noConversion"/>
  </si>
  <si>
    <t>瑞昱</t>
    <phoneticPr fontId="6" type="noConversion"/>
  </si>
  <si>
    <t>廣達</t>
    <phoneticPr fontId="6" type="noConversion"/>
  </si>
  <si>
    <t>台光電</t>
    <phoneticPr fontId="6" type="noConversion"/>
  </si>
  <si>
    <t>群光</t>
    <phoneticPr fontId="6" type="noConversion"/>
  </si>
  <si>
    <t>正崴</t>
    <phoneticPr fontId="6" type="noConversion"/>
  </si>
  <si>
    <t>億光</t>
    <phoneticPr fontId="6" type="noConversion"/>
  </si>
  <si>
    <t>研華</t>
    <phoneticPr fontId="6" type="noConversion"/>
  </si>
  <si>
    <t>凌陽</t>
    <phoneticPr fontId="6" type="noConversion"/>
  </si>
  <si>
    <t>漢唐</t>
    <phoneticPr fontId="6" type="noConversion"/>
  </si>
  <si>
    <t>南亞科</t>
    <phoneticPr fontId="6" type="noConversion"/>
  </si>
  <si>
    <t>友達</t>
    <phoneticPr fontId="6" type="noConversion"/>
  </si>
  <si>
    <t>中華電</t>
    <phoneticPr fontId="6" type="noConversion"/>
  </si>
  <si>
    <t>燦坤</t>
    <phoneticPr fontId="6" type="noConversion"/>
  </si>
  <si>
    <t>美律</t>
    <phoneticPr fontId="6" type="noConversion"/>
  </si>
  <si>
    <t>超豐</t>
    <phoneticPr fontId="6" type="noConversion"/>
  </si>
  <si>
    <t>新美齊</t>
    <phoneticPr fontId="6" type="noConversion"/>
  </si>
  <si>
    <t>京元電子</t>
    <phoneticPr fontId="6" type="noConversion"/>
  </si>
  <si>
    <t>神腦</t>
    <phoneticPr fontId="6" type="noConversion"/>
  </si>
  <si>
    <t>創見</t>
    <phoneticPr fontId="6" type="noConversion"/>
  </si>
  <si>
    <t>聯發科</t>
    <phoneticPr fontId="6" type="noConversion"/>
  </si>
  <si>
    <t>全新</t>
    <phoneticPr fontId="6" type="noConversion"/>
  </si>
  <si>
    <t>奇力新</t>
    <phoneticPr fontId="6" type="noConversion"/>
  </si>
  <si>
    <t>義隆</t>
    <phoneticPr fontId="6" type="noConversion"/>
  </si>
  <si>
    <t>可成</t>
    <phoneticPr fontId="6" type="noConversion"/>
  </si>
  <si>
    <t>瑞軒</t>
    <phoneticPr fontId="6" type="noConversion"/>
  </si>
  <si>
    <t>華新科</t>
    <phoneticPr fontId="6" type="noConversion"/>
  </si>
  <si>
    <t>宏達電</t>
    <phoneticPr fontId="6" type="noConversion"/>
  </si>
  <si>
    <t>國建</t>
    <phoneticPr fontId="6" type="noConversion"/>
  </si>
  <si>
    <t>國產</t>
    <phoneticPr fontId="6" type="noConversion"/>
  </si>
  <si>
    <t>興富發</t>
    <phoneticPr fontId="6" type="noConversion"/>
  </si>
  <si>
    <t>長榮</t>
    <phoneticPr fontId="6" type="noConversion"/>
  </si>
  <si>
    <t>裕民</t>
    <phoneticPr fontId="6" type="noConversion"/>
  </si>
  <si>
    <t>嘉里大榮</t>
    <phoneticPr fontId="6" type="noConversion"/>
  </si>
  <si>
    <t>華航</t>
    <phoneticPr fontId="6" type="noConversion"/>
  </si>
  <si>
    <t>萬海</t>
    <phoneticPr fontId="6" type="noConversion"/>
  </si>
  <si>
    <t>長榮航</t>
    <phoneticPr fontId="6" type="noConversion"/>
  </si>
  <si>
    <t>台灣高鐵</t>
    <phoneticPr fontId="6" type="noConversion"/>
  </si>
  <si>
    <t>漢翔</t>
    <phoneticPr fontId="6" type="noConversion"/>
  </si>
  <si>
    <t>慧洋-KY</t>
    <phoneticPr fontId="6" type="noConversion"/>
  </si>
  <si>
    <t>大車隊</t>
    <phoneticPr fontId="6" type="noConversion"/>
  </si>
  <si>
    <t>美食-KY</t>
    <phoneticPr fontId="6" type="noConversion"/>
  </si>
  <si>
    <t>王品</t>
    <phoneticPr fontId="6" type="noConversion"/>
  </si>
  <si>
    <t>瓦城</t>
    <phoneticPr fontId="6" type="noConversion"/>
  </si>
  <si>
    <t>六角</t>
    <phoneticPr fontId="6" type="noConversion"/>
  </si>
  <si>
    <t>彰銀</t>
    <phoneticPr fontId="6" type="noConversion"/>
  </si>
  <si>
    <t>京城銀</t>
    <phoneticPr fontId="6" type="noConversion"/>
  </si>
  <si>
    <t>台中銀</t>
    <phoneticPr fontId="6" type="noConversion"/>
  </si>
  <si>
    <t>中壽</t>
    <phoneticPr fontId="6" type="noConversion"/>
  </si>
  <si>
    <t>臺企銀</t>
    <phoneticPr fontId="6" type="noConversion"/>
  </si>
  <si>
    <t>高雄銀</t>
    <phoneticPr fontId="6" type="noConversion"/>
  </si>
  <si>
    <t>遠東銀</t>
    <phoneticPr fontId="6" type="noConversion"/>
  </si>
  <si>
    <t>三商壽</t>
    <phoneticPr fontId="6" type="noConversion"/>
  </si>
  <si>
    <t>華南金</t>
    <phoneticPr fontId="6" type="noConversion"/>
  </si>
  <si>
    <t>富邦金</t>
    <phoneticPr fontId="6" type="noConversion"/>
  </si>
  <si>
    <t>國泰金</t>
    <phoneticPr fontId="6" type="noConversion"/>
  </si>
  <si>
    <t>開發金</t>
    <phoneticPr fontId="6" type="noConversion"/>
  </si>
  <si>
    <t>玉山金</t>
    <phoneticPr fontId="6" type="noConversion"/>
  </si>
  <si>
    <t>元大金</t>
    <phoneticPr fontId="6" type="noConversion"/>
  </si>
  <si>
    <t>兆豐金</t>
    <phoneticPr fontId="6" type="noConversion"/>
  </si>
  <si>
    <t>台新金</t>
    <phoneticPr fontId="6" type="noConversion"/>
  </si>
  <si>
    <t>新光金</t>
    <phoneticPr fontId="6" type="noConversion"/>
  </si>
  <si>
    <t>國票金</t>
    <phoneticPr fontId="6" type="noConversion"/>
  </si>
  <si>
    <t>永豐金</t>
    <phoneticPr fontId="6" type="noConversion"/>
  </si>
  <si>
    <t>中信金</t>
    <phoneticPr fontId="6" type="noConversion"/>
  </si>
  <si>
    <t>第一金</t>
    <phoneticPr fontId="6" type="noConversion"/>
  </si>
  <si>
    <t>王道銀行</t>
    <phoneticPr fontId="6" type="noConversion"/>
  </si>
  <si>
    <t>遠百</t>
    <phoneticPr fontId="6" type="noConversion"/>
  </si>
  <si>
    <t>三商</t>
    <phoneticPr fontId="6" type="noConversion"/>
  </si>
  <si>
    <t>統一超</t>
    <phoneticPr fontId="6" type="noConversion"/>
  </si>
  <si>
    <t>潤泰全</t>
    <phoneticPr fontId="6" type="noConversion"/>
  </si>
  <si>
    <t>神基</t>
    <phoneticPr fontId="6" type="noConversion"/>
  </si>
  <si>
    <t>晶豪科</t>
    <phoneticPr fontId="6" type="noConversion"/>
  </si>
  <si>
    <t>大立光</t>
    <phoneticPr fontId="6" type="noConversion"/>
  </si>
  <si>
    <t>華立</t>
    <phoneticPr fontId="6" type="noConversion"/>
  </si>
  <si>
    <t>聯陽</t>
    <phoneticPr fontId="6" type="noConversion"/>
  </si>
  <si>
    <t>嘉晶</t>
    <phoneticPr fontId="6" type="noConversion"/>
  </si>
  <si>
    <t>亞光</t>
    <phoneticPr fontId="6" type="noConversion"/>
  </si>
  <si>
    <t>信邦</t>
    <phoneticPr fontId="6" type="noConversion"/>
  </si>
  <si>
    <t>禾伸堂</t>
    <phoneticPr fontId="6" type="noConversion"/>
  </si>
  <si>
    <t>威健</t>
    <phoneticPr fontId="6" type="noConversion"/>
  </si>
  <si>
    <t>聯詠</t>
    <phoneticPr fontId="6" type="noConversion"/>
  </si>
  <si>
    <t>智原</t>
    <phoneticPr fontId="6" type="noConversion"/>
  </si>
  <si>
    <t>文曄</t>
    <phoneticPr fontId="6" type="noConversion"/>
  </si>
  <si>
    <t>欣興</t>
    <phoneticPr fontId="6" type="noConversion"/>
  </si>
  <si>
    <t>健鼎</t>
    <phoneticPr fontId="6" type="noConversion"/>
  </si>
  <si>
    <t>台灣大</t>
    <phoneticPr fontId="6" type="noConversion"/>
  </si>
  <si>
    <t>僑威</t>
    <phoneticPr fontId="6" type="noConversion"/>
  </si>
  <si>
    <t>聯亞</t>
    <phoneticPr fontId="6" type="noConversion"/>
  </si>
  <si>
    <t>網龍</t>
    <phoneticPr fontId="6" type="noConversion"/>
  </si>
  <si>
    <t>艾訊</t>
    <phoneticPr fontId="6" type="noConversion"/>
  </si>
  <si>
    <t>鴻碩</t>
    <phoneticPr fontId="6" type="noConversion"/>
  </si>
  <si>
    <t>穩懋</t>
    <phoneticPr fontId="6" type="noConversion"/>
  </si>
  <si>
    <t>弘塑</t>
    <phoneticPr fontId="6" type="noConversion"/>
  </si>
  <si>
    <t>晶宏</t>
    <phoneticPr fontId="6" type="noConversion"/>
  </si>
  <si>
    <t>新揚科</t>
    <phoneticPr fontId="6" type="noConversion"/>
  </si>
  <si>
    <t>璟德</t>
    <phoneticPr fontId="6" type="noConversion"/>
  </si>
  <si>
    <t>波若威</t>
    <phoneticPr fontId="6" type="noConversion"/>
  </si>
  <si>
    <t>大量</t>
    <phoneticPr fontId="6" type="noConversion"/>
  </si>
  <si>
    <t>基亞</t>
    <phoneticPr fontId="6" type="noConversion"/>
  </si>
  <si>
    <t>景碩</t>
    <phoneticPr fontId="6" type="noConversion"/>
  </si>
  <si>
    <t>順達</t>
    <phoneticPr fontId="6" type="noConversion"/>
  </si>
  <si>
    <t>優群</t>
    <phoneticPr fontId="6" type="noConversion"/>
  </si>
  <si>
    <t>大學光</t>
    <phoneticPr fontId="6" type="noConversion"/>
  </si>
  <si>
    <t>三顧</t>
    <phoneticPr fontId="6" type="noConversion"/>
  </si>
  <si>
    <t>原相</t>
    <phoneticPr fontId="6" type="noConversion"/>
  </si>
  <si>
    <t>緯創</t>
    <phoneticPr fontId="6" type="noConversion"/>
  </si>
  <si>
    <t>光環</t>
    <phoneticPr fontId="6" type="noConversion"/>
  </si>
  <si>
    <t>威剛</t>
    <phoneticPr fontId="6" type="noConversion"/>
  </si>
  <si>
    <t>欣銓</t>
    <phoneticPr fontId="6" type="noConversion"/>
  </si>
  <si>
    <t>台星科</t>
    <phoneticPr fontId="6" type="noConversion"/>
  </si>
  <si>
    <t>宜特</t>
    <phoneticPr fontId="6" type="noConversion"/>
  </si>
  <si>
    <t>鈊象</t>
    <phoneticPr fontId="6" type="noConversion"/>
  </si>
  <si>
    <t>岱稜</t>
    <phoneticPr fontId="6" type="noConversion"/>
  </si>
  <si>
    <t>加百裕</t>
    <phoneticPr fontId="6" type="noConversion"/>
  </si>
  <si>
    <t>雙鴻</t>
    <phoneticPr fontId="6" type="noConversion"/>
  </si>
  <si>
    <t>先進光</t>
    <phoneticPr fontId="6" type="noConversion"/>
  </si>
  <si>
    <t>上詮</t>
    <phoneticPr fontId="6" type="noConversion"/>
  </si>
  <si>
    <t>精材</t>
    <phoneticPr fontId="6" type="noConversion"/>
  </si>
  <si>
    <t>新日興</t>
    <phoneticPr fontId="6" type="noConversion"/>
  </si>
  <si>
    <t>崇越電</t>
    <phoneticPr fontId="6" type="noConversion"/>
  </si>
  <si>
    <t>漢科</t>
    <phoneticPr fontId="6" type="noConversion"/>
  </si>
  <si>
    <t>玉晶光</t>
    <phoneticPr fontId="6" type="noConversion"/>
  </si>
  <si>
    <t>京鼎</t>
    <phoneticPr fontId="6" type="noConversion"/>
  </si>
  <si>
    <t>創意</t>
    <phoneticPr fontId="6" type="noConversion"/>
  </si>
  <si>
    <t>由田</t>
    <phoneticPr fontId="6" type="noConversion"/>
  </si>
  <si>
    <t>安勤</t>
    <phoneticPr fontId="6" type="noConversion"/>
  </si>
  <si>
    <t>群創</t>
    <phoneticPr fontId="6" type="noConversion"/>
  </si>
  <si>
    <t>森寶</t>
    <phoneticPr fontId="6" type="noConversion"/>
  </si>
  <si>
    <t>昇達科</t>
    <phoneticPr fontId="6" type="noConversion"/>
  </si>
  <si>
    <t>揚明光</t>
    <phoneticPr fontId="6" type="noConversion"/>
  </si>
  <si>
    <t>位速</t>
    <phoneticPr fontId="6" type="noConversion"/>
  </si>
  <si>
    <t>聚積</t>
    <phoneticPr fontId="6" type="noConversion"/>
  </si>
  <si>
    <t>力旺</t>
    <phoneticPr fontId="6" type="noConversion"/>
  </si>
  <si>
    <t>台勝科</t>
    <phoneticPr fontId="6" type="noConversion"/>
  </si>
  <si>
    <t>嘉澤</t>
    <phoneticPr fontId="6" type="noConversion"/>
  </si>
  <si>
    <t>西柏</t>
    <phoneticPr fontId="6" type="noConversion"/>
  </si>
  <si>
    <t>宇峻</t>
    <phoneticPr fontId="6" type="noConversion"/>
  </si>
  <si>
    <t>兆利</t>
    <phoneticPr fontId="6" type="noConversion"/>
  </si>
  <si>
    <t>世禾</t>
    <phoneticPr fontId="6" type="noConversion"/>
  </si>
  <si>
    <t>同致</t>
    <phoneticPr fontId="6" type="noConversion"/>
  </si>
  <si>
    <t>禾瑞亞</t>
    <phoneticPr fontId="6" type="noConversion"/>
  </si>
  <si>
    <t>神準</t>
    <phoneticPr fontId="6" type="noConversion"/>
  </si>
  <si>
    <t>牧德</t>
    <phoneticPr fontId="6" type="noConversion"/>
  </si>
  <si>
    <t>閎康</t>
    <phoneticPr fontId="6" type="noConversion"/>
  </si>
  <si>
    <t>智易</t>
    <phoneticPr fontId="6" type="noConversion"/>
  </si>
  <si>
    <t>鼎翰</t>
    <phoneticPr fontId="6" type="noConversion"/>
  </si>
  <si>
    <t>光頡</t>
    <phoneticPr fontId="6" type="noConversion"/>
  </si>
  <si>
    <t>新鉅科</t>
    <phoneticPr fontId="6" type="noConversion"/>
  </si>
  <si>
    <t>貿聯-KY</t>
    <phoneticPr fontId="6" type="noConversion"/>
  </si>
  <si>
    <t>TPK-KY</t>
    <phoneticPr fontId="6" type="noConversion"/>
  </si>
  <si>
    <t>家登</t>
    <phoneticPr fontId="6" type="noConversion"/>
  </si>
  <si>
    <t>亞太電</t>
    <phoneticPr fontId="6" type="noConversion"/>
  </si>
  <si>
    <t>碩禾</t>
    <phoneticPr fontId="6" type="noConversion"/>
  </si>
  <si>
    <t>大聯大</t>
    <phoneticPr fontId="6" type="noConversion"/>
  </si>
  <si>
    <t>欣陸</t>
    <phoneticPr fontId="6" type="noConversion"/>
  </si>
  <si>
    <t>神達</t>
    <phoneticPr fontId="6" type="noConversion"/>
  </si>
  <si>
    <t>漢磊</t>
    <phoneticPr fontId="6" type="noConversion"/>
  </si>
  <si>
    <t>上緯投控</t>
    <phoneticPr fontId="6" type="noConversion"/>
  </si>
  <si>
    <t>日月光投控</t>
    <phoneticPr fontId="6" type="noConversion"/>
  </si>
  <si>
    <t>東洋</t>
    <phoneticPr fontId="6" type="noConversion"/>
  </si>
  <si>
    <t>邦特</t>
    <phoneticPr fontId="6" type="noConversion"/>
  </si>
  <si>
    <t>聯上</t>
    <phoneticPr fontId="6" type="noConversion"/>
  </si>
  <si>
    <t>健喬</t>
    <phoneticPr fontId="6" type="noConversion"/>
  </si>
  <si>
    <t>旭富</t>
    <phoneticPr fontId="6" type="noConversion"/>
  </si>
  <si>
    <t>友華</t>
    <phoneticPr fontId="6" type="noConversion"/>
  </si>
  <si>
    <t>晟德</t>
    <phoneticPr fontId="6" type="noConversion"/>
  </si>
  <si>
    <t>太醫</t>
    <phoneticPr fontId="6" type="noConversion"/>
  </si>
  <si>
    <t>聯合</t>
    <phoneticPr fontId="6" type="noConversion"/>
  </si>
  <si>
    <t>健亞</t>
    <phoneticPr fontId="6" type="noConversion"/>
  </si>
  <si>
    <t>中裕</t>
    <phoneticPr fontId="6" type="noConversion"/>
  </si>
  <si>
    <t>鈺緯</t>
    <phoneticPr fontId="6" type="noConversion"/>
  </si>
  <si>
    <t>太景*-KY</t>
    <phoneticPr fontId="6" type="noConversion"/>
  </si>
  <si>
    <t>智擎</t>
    <phoneticPr fontId="6" type="noConversion"/>
  </si>
  <si>
    <t>鐿鈦</t>
    <phoneticPr fontId="6" type="noConversion"/>
  </si>
  <si>
    <t>松瑞藥</t>
    <phoneticPr fontId="6" type="noConversion"/>
  </si>
  <si>
    <t>醣聯</t>
    <phoneticPr fontId="6" type="noConversion"/>
  </si>
  <si>
    <t>浩鼎</t>
    <phoneticPr fontId="6" type="noConversion"/>
  </si>
  <si>
    <t>安克</t>
    <phoneticPr fontId="6" type="noConversion"/>
  </si>
  <si>
    <t>環泰</t>
    <phoneticPr fontId="6" type="noConversion"/>
  </si>
  <si>
    <t>東隆興</t>
    <phoneticPr fontId="6" type="noConversion"/>
  </si>
  <si>
    <t>金洲</t>
    <phoneticPr fontId="6" type="noConversion"/>
  </si>
  <si>
    <t>崇友</t>
    <phoneticPr fontId="6" type="noConversion"/>
  </si>
  <si>
    <t>江興鍛</t>
    <phoneticPr fontId="6" type="noConversion"/>
  </si>
  <si>
    <t>至興</t>
    <phoneticPr fontId="6" type="noConversion"/>
  </si>
  <si>
    <t>桓達</t>
    <phoneticPr fontId="6" type="noConversion"/>
  </si>
  <si>
    <t>磐亞</t>
    <phoneticPr fontId="6" type="noConversion"/>
  </si>
  <si>
    <t>美琪瑪</t>
    <phoneticPr fontId="6" type="noConversion"/>
  </si>
  <si>
    <t>雙美</t>
    <phoneticPr fontId="6" type="noConversion"/>
  </si>
  <si>
    <t>泰博</t>
    <phoneticPr fontId="6" type="noConversion"/>
  </si>
  <si>
    <t>合一</t>
    <phoneticPr fontId="6" type="noConversion"/>
  </si>
  <si>
    <t>合富-KY</t>
    <phoneticPr fontId="6" type="noConversion"/>
  </si>
  <si>
    <t>國碳科</t>
    <phoneticPr fontId="6" type="noConversion"/>
  </si>
  <si>
    <t>VHQ-KY</t>
    <phoneticPr fontId="6" type="noConversion"/>
  </si>
  <si>
    <t>遠傳</t>
    <phoneticPr fontId="6" type="noConversion"/>
  </si>
  <si>
    <t>富宇</t>
    <phoneticPr fontId="6" type="noConversion"/>
  </si>
  <si>
    <t>致伸</t>
    <phoneticPr fontId="6" type="noConversion"/>
  </si>
  <si>
    <t>新唐</t>
    <phoneticPr fontId="6" type="noConversion"/>
  </si>
  <si>
    <t>和碩</t>
    <phoneticPr fontId="6" type="noConversion"/>
  </si>
  <si>
    <t>昂寶-KY(下櫃)</t>
    <phoneticPr fontId="6" type="noConversion"/>
  </si>
  <si>
    <t>緯軟</t>
    <phoneticPr fontId="6" type="noConversion"/>
  </si>
  <si>
    <t>臻鼎-KY</t>
    <phoneticPr fontId="6" type="noConversion"/>
  </si>
  <si>
    <t>譜瑞-KY</t>
    <phoneticPr fontId="6" type="noConversion"/>
  </si>
  <si>
    <t>亞泰</t>
    <phoneticPr fontId="6" type="noConversion"/>
  </si>
  <si>
    <t>華星光</t>
    <phoneticPr fontId="6" type="noConversion"/>
  </si>
  <si>
    <t>環宇-KY</t>
    <phoneticPr fontId="6" type="noConversion"/>
  </si>
  <si>
    <t>榮剛</t>
    <phoneticPr fontId="6" type="noConversion"/>
  </si>
  <si>
    <t>亞昕</t>
    <phoneticPr fontId="6" type="noConversion"/>
  </si>
  <si>
    <t>立凱-KY</t>
    <phoneticPr fontId="6" type="noConversion"/>
  </si>
  <si>
    <t>智晶</t>
    <phoneticPr fontId="6" type="noConversion"/>
  </si>
  <si>
    <t>智崴</t>
    <phoneticPr fontId="6" type="noConversion"/>
  </si>
  <si>
    <t>祥碩</t>
    <phoneticPr fontId="6" type="noConversion"/>
  </si>
  <si>
    <t>信驊</t>
    <phoneticPr fontId="6" type="noConversion"/>
  </si>
  <si>
    <t>尚凡</t>
    <phoneticPr fontId="6" type="noConversion"/>
  </si>
  <si>
    <t>宜鼎</t>
    <phoneticPr fontId="6" type="noConversion"/>
  </si>
  <si>
    <t>杰力</t>
    <phoneticPr fontId="6" type="noConversion"/>
  </si>
  <si>
    <t>凱美(下櫃)</t>
    <phoneticPr fontId="6" type="noConversion"/>
  </si>
  <si>
    <t>建榮</t>
    <phoneticPr fontId="6" type="noConversion"/>
  </si>
  <si>
    <t>世界</t>
    <phoneticPr fontId="6" type="noConversion"/>
  </si>
  <si>
    <t>先豐(下櫃)</t>
    <phoneticPr fontId="6" type="noConversion"/>
  </si>
  <si>
    <t>鈺創</t>
    <phoneticPr fontId="6" type="noConversion"/>
  </si>
  <si>
    <t>協益</t>
    <phoneticPr fontId="6" type="noConversion"/>
  </si>
  <si>
    <t>中光電</t>
    <phoneticPr fontId="6" type="noConversion"/>
  </si>
  <si>
    <t>中磊</t>
    <phoneticPr fontId="6" type="noConversion"/>
  </si>
  <si>
    <t>應華</t>
    <phoneticPr fontId="6" type="noConversion"/>
  </si>
  <si>
    <t>國眾</t>
    <phoneticPr fontId="6" type="noConversion"/>
  </si>
  <si>
    <t>台半</t>
    <phoneticPr fontId="6" type="noConversion"/>
  </si>
  <si>
    <t>崇越</t>
    <phoneticPr fontId="6" type="noConversion"/>
  </si>
  <si>
    <t>高技</t>
    <phoneticPr fontId="6" type="noConversion"/>
  </si>
  <si>
    <t>均豪</t>
    <phoneticPr fontId="6" type="noConversion"/>
  </si>
  <si>
    <t>宣德</t>
    <phoneticPr fontId="6" type="noConversion"/>
  </si>
  <si>
    <t>聰泰</t>
    <phoneticPr fontId="6" type="noConversion"/>
  </si>
  <si>
    <t>智冠</t>
    <phoneticPr fontId="6" type="noConversion"/>
  </si>
  <si>
    <t>中美晶</t>
    <phoneticPr fontId="6" type="noConversion"/>
  </si>
  <si>
    <t>彩富</t>
    <phoneticPr fontId="6" type="noConversion"/>
  </si>
  <si>
    <t>同亨</t>
    <phoneticPr fontId="6" type="noConversion"/>
  </si>
  <si>
    <t>力麒</t>
    <phoneticPr fontId="6" type="noConversion"/>
  </si>
  <si>
    <t>遠雄</t>
    <phoneticPr fontId="6" type="noConversion"/>
  </si>
  <si>
    <t>龍巖</t>
    <phoneticPr fontId="6" type="noConversion"/>
  </si>
  <si>
    <t>長虹</t>
    <phoneticPr fontId="6" type="noConversion"/>
  </si>
  <si>
    <t>聖暉</t>
    <phoneticPr fontId="6" type="noConversion"/>
  </si>
  <si>
    <t>日盛金</t>
    <phoneticPr fontId="6" type="noConversion"/>
  </si>
  <si>
    <t>中租-KY</t>
    <phoneticPr fontId="6" type="noConversion"/>
  </si>
  <si>
    <t>上海商銀</t>
    <phoneticPr fontId="6" type="noConversion"/>
  </si>
  <si>
    <t>合庫金</t>
    <phoneticPr fontId="6" type="noConversion"/>
  </si>
  <si>
    <t>全家</t>
    <phoneticPr fontId="6" type="noConversion"/>
  </si>
  <si>
    <t>寶雅</t>
    <phoneticPr fontId="6" type="noConversion"/>
  </si>
  <si>
    <t>群益證</t>
    <phoneticPr fontId="6" type="noConversion"/>
  </si>
  <si>
    <t>康和證</t>
    <phoneticPr fontId="6" type="noConversion"/>
  </si>
  <si>
    <t>元大期</t>
    <phoneticPr fontId="6" type="noConversion"/>
  </si>
  <si>
    <t>寬魚國際</t>
    <phoneticPr fontId="6" type="noConversion"/>
  </si>
  <si>
    <t>創惟</t>
    <phoneticPr fontId="6" type="noConversion"/>
  </si>
  <si>
    <t>大宇資</t>
    <phoneticPr fontId="6" type="noConversion"/>
  </si>
  <si>
    <t>彩晶</t>
    <phoneticPr fontId="6" type="noConversion"/>
  </si>
  <si>
    <t>新普</t>
    <phoneticPr fontId="6" type="noConversion"/>
  </si>
  <si>
    <t>廣運</t>
    <phoneticPr fontId="6" type="noConversion"/>
  </si>
  <si>
    <t>茂達</t>
    <phoneticPr fontId="6" type="noConversion"/>
  </si>
  <si>
    <t>振曜</t>
    <phoneticPr fontId="6" type="noConversion"/>
  </si>
  <si>
    <t>耕興</t>
    <phoneticPr fontId="6" type="noConversion"/>
  </si>
  <si>
    <t>頎邦</t>
    <phoneticPr fontId="6" type="noConversion"/>
  </si>
  <si>
    <t>嘉聯益</t>
    <phoneticPr fontId="6" type="noConversion"/>
  </si>
  <si>
    <t>禾昌</t>
    <phoneticPr fontId="6" type="noConversion"/>
  </si>
  <si>
    <t>凌華</t>
    <phoneticPr fontId="6" type="noConversion"/>
  </si>
  <si>
    <t>信昌電</t>
    <phoneticPr fontId="6" type="noConversion"/>
  </si>
  <si>
    <t>立敦</t>
    <phoneticPr fontId="6" type="noConversion"/>
  </si>
  <si>
    <t>瑞儀</t>
    <phoneticPr fontId="6" type="noConversion"/>
  </si>
  <si>
    <t>橘子</t>
    <phoneticPr fontId="6" type="noConversion"/>
  </si>
  <si>
    <t>合晶</t>
    <phoneticPr fontId="6" type="noConversion"/>
  </si>
  <si>
    <t>萬潤</t>
    <phoneticPr fontId="6" type="noConversion"/>
  </si>
  <si>
    <t>廣明</t>
    <phoneticPr fontId="6" type="noConversion"/>
  </si>
  <si>
    <t>萬泰科</t>
    <phoneticPr fontId="6" type="noConversion"/>
  </si>
  <si>
    <t>詩肯</t>
    <phoneticPr fontId="6" type="noConversion"/>
  </si>
  <si>
    <t>帆宣</t>
    <phoneticPr fontId="6" type="noConversion"/>
  </si>
  <si>
    <t>盛群</t>
    <phoneticPr fontId="6" type="noConversion"/>
  </si>
  <si>
    <t>海韻電</t>
    <phoneticPr fontId="6" type="noConversion"/>
  </si>
  <si>
    <t>雷科</t>
    <phoneticPr fontId="6" type="noConversion"/>
  </si>
  <si>
    <t>聯茂</t>
    <phoneticPr fontId="6" type="noConversion"/>
  </si>
  <si>
    <t>精誠</t>
    <phoneticPr fontId="6" type="noConversion"/>
  </si>
  <si>
    <t>岳豐</t>
    <phoneticPr fontId="6" type="noConversion"/>
  </si>
  <si>
    <t>旺矽</t>
    <phoneticPr fontId="6" type="noConversion"/>
  </si>
  <si>
    <t>勝麗(下櫃)</t>
    <phoneticPr fontId="6" type="noConversion"/>
  </si>
  <si>
    <t>力成</t>
    <phoneticPr fontId="6" type="noConversion"/>
  </si>
  <si>
    <t>茂迪</t>
    <phoneticPr fontId="6" type="noConversion"/>
  </si>
  <si>
    <t>立端</t>
    <phoneticPr fontId="6" type="noConversion"/>
  </si>
  <si>
    <t>久元</t>
    <phoneticPr fontId="6" type="noConversion"/>
  </si>
  <si>
    <t>台郡</t>
    <phoneticPr fontId="6" type="noConversion"/>
  </si>
  <si>
    <t>同欣電</t>
    <phoneticPr fontId="6" type="noConversion"/>
  </si>
  <si>
    <t>台燿</t>
    <phoneticPr fontId="6" type="noConversion"/>
  </si>
  <si>
    <t>宏正</t>
    <phoneticPr fontId="6" type="noConversion"/>
  </si>
  <si>
    <t>台表科</t>
    <phoneticPr fontId="6" type="noConversion"/>
  </si>
  <si>
    <t>胡連</t>
    <phoneticPr fontId="6" type="noConversion"/>
  </si>
  <si>
    <t>康舒</t>
    <phoneticPr fontId="6" type="noConversion"/>
  </si>
  <si>
    <t>佳邦</t>
    <phoneticPr fontId="6" type="noConversion"/>
  </si>
  <si>
    <t>啟碁</t>
    <phoneticPr fontId="6" type="noConversion"/>
  </si>
  <si>
    <t>良維</t>
    <phoneticPr fontId="6" type="noConversion"/>
  </si>
  <si>
    <t>智基</t>
    <phoneticPr fontId="6" type="noConversion"/>
  </si>
  <si>
    <t>旭隼</t>
    <phoneticPr fontId="6" type="noConversion"/>
  </si>
  <si>
    <t>晶焱</t>
    <phoneticPr fontId="6" type="noConversion"/>
  </si>
  <si>
    <t>群電</t>
    <phoneticPr fontId="6" type="noConversion"/>
  </si>
  <si>
    <t>樺漢</t>
    <phoneticPr fontId="6" type="noConversion"/>
  </si>
  <si>
    <t>矽力-KY</t>
    <phoneticPr fontId="6" type="noConversion"/>
  </si>
  <si>
    <t>統新</t>
    <phoneticPr fontId="6" type="noConversion"/>
  </si>
  <si>
    <t>大中</t>
    <phoneticPr fontId="6" type="noConversion"/>
  </si>
  <si>
    <t>迅得</t>
    <phoneticPr fontId="6" type="noConversion"/>
  </si>
  <si>
    <t>藥華藥</t>
    <phoneticPr fontId="6" type="noConversion"/>
  </si>
  <si>
    <t>GIS-KY</t>
    <phoneticPr fontId="6" type="noConversion"/>
  </si>
  <si>
    <t>神盾</t>
    <phoneticPr fontId="6" type="noConversion"/>
  </si>
  <si>
    <t>大樹</t>
    <phoneticPr fontId="6" type="noConversion"/>
  </si>
  <si>
    <t>保瑞</t>
    <phoneticPr fontId="6" type="noConversion"/>
  </si>
  <si>
    <t>安集</t>
    <phoneticPr fontId="6" type="noConversion"/>
  </si>
  <si>
    <t>環球晶</t>
    <phoneticPr fontId="6" type="noConversion"/>
  </si>
  <si>
    <t>益安</t>
    <phoneticPr fontId="6" type="noConversion"/>
  </si>
  <si>
    <t>台塑化</t>
    <phoneticPr fontId="6" type="noConversion"/>
  </si>
  <si>
    <t>聚和</t>
    <phoneticPr fontId="6" type="noConversion"/>
  </si>
  <si>
    <t>精測</t>
    <phoneticPr fontId="6" type="noConversion"/>
  </si>
  <si>
    <t>勤崴國際</t>
    <phoneticPr fontId="6" type="noConversion"/>
  </si>
  <si>
    <t>達爾膚</t>
    <phoneticPr fontId="6" type="noConversion"/>
  </si>
  <si>
    <t>瑞耘</t>
    <phoneticPr fontId="6" type="noConversion"/>
  </si>
  <si>
    <t>高端疫苗</t>
    <phoneticPr fontId="6" type="noConversion"/>
  </si>
  <si>
    <t>是方</t>
    <phoneticPr fontId="6" type="noConversion"/>
  </si>
  <si>
    <t>宏觀</t>
    <phoneticPr fontId="6" type="noConversion"/>
  </si>
  <si>
    <t>醫揚</t>
    <phoneticPr fontId="6" type="noConversion"/>
  </si>
  <si>
    <t>逸達</t>
    <phoneticPr fontId="6" type="noConversion"/>
  </si>
  <si>
    <t>勁豐</t>
    <phoneticPr fontId="6" type="noConversion"/>
  </si>
  <si>
    <t>帝寶</t>
    <phoneticPr fontId="6" type="noConversion"/>
  </si>
  <si>
    <t>朋億</t>
    <phoneticPr fontId="6" type="noConversion"/>
  </si>
  <si>
    <t>M31</t>
    <phoneticPr fontId="6" type="noConversion"/>
  </si>
  <si>
    <t>緯穎</t>
    <phoneticPr fontId="6" type="noConversion"/>
  </si>
  <si>
    <t>崑鼎</t>
    <phoneticPr fontId="6" type="noConversion"/>
  </si>
  <si>
    <t>矽創</t>
    <phoneticPr fontId="6" type="noConversion"/>
  </si>
  <si>
    <t>鈦昇</t>
    <phoneticPr fontId="6" type="noConversion"/>
  </si>
  <si>
    <t>長園科</t>
    <phoneticPr fontId="6" type="noConversion"/>
  </si>
  <si>
    <t>金山電</t>
    <phoneticPr fontId="6" type="noConversion"/>
  </si>
  <si>
    <t>蜜望實</t>
    <phoneticPr fontId="6" type="noConversion"/>
  </si>
  <si>
    <t>網家</t>
    <phoneticPr fontId="6" type="noConversion"/>
  </si>
  <si>
    <t>南電</t>
    <phoneticPr fontId="6" type="noConversion"/>
  </si>
  <si>
    <t>晶采</t>
    <phoneticPr fontId="6" type="noConversion"/>
  </si>
  <si>
    <t>東捷</t>
    <phoneticPr fontId="6" type="noConversion"/>
  </si>
  <si>
    <t>來思達</t>
    <phoneticPr fontId="6" type="noConversion"/>
  </si>
  <si>
    <t>元太</t>
    <phoneticPr fontId="6" type="noConversion"/>
  </si>
  <si>
    <t>能率網通</t>
    <phoneticPr fontId="6" type="noConversion"/>
  </si>
  <si>
    <t>伍豐</t>
    <phoneticPr fontId="6" type="noConversion"/>
  </si>
  <si>
    <t>宏捷科</t>
    <phoneticPr fontId="6" type="noConversion"/>
  </si>
  <si>
    <t>翔名</t>
    <phoneticPr fontId="6" type="noConversion"/>
  </si>
  <si>
    <t>華東</t>
    <phoneticPr fontId="6" type="noConversion"/>
  </si>
  <si>
    <t>越峰</t>
    <phoneticPr fontId="6" type="noConversion"/>
  </si>
  <si>
    <t>福懋科</t>
    <phoneticPr fontId="6" type="noConversion"/>
  </si>
  <si>
    <t>南茂</t>
    <phoneticPr fontId="6" type="noConversion"/>
  </si>
  <si>
    <t>博智</t>
    <phoneticPr fontId="6" type="noConversion"/>
  </si>
  <si>
    <t>達方</t>
    <phoneticPr fontId="6" type="noConversion"/>
  </si>
  <si>
    <t>志超</t>
    <phoneticPr fontId="6" type="noConversion"/>
  </si>
  <si>
    <t>朋程</t>
    <phoneticPr fontId="6" type="noConversion"/>
  </si>
  <si>
    <t>生展</t>
    <phoneticPr fontId="6" type="noConversion"/>
  </si>
  <si>
    <t>群聯</t>
    <phoneticPr fontId="6" type="noConversion"/>
  </si>
  <si>
    <t>日友</t>
    <phoneticPr fontId="6" type="noConversion"/>
  </si>
  <si>
    <t>恒耀</t>
    <phoneticPr fontId="6" type="noConversion"/>
  </si>
  <si>
    <t>金居</t>
    <phoneticPr fontId="6" type="noConversion"/>
  </si>
  <si>
    <t>千附</t>
    <phoneticPr fontId="6" type="noConversion"/>
  </si>
  <si>
    <t>盛弘</t>
    <phoneticPr fontId="6" type="noConversion"/>
  </si>
  <si>
    <t>金可-KY</t>
    <phoneticPr fontId="6" type="noConversion"/>
  </si>
  <si>
    <t>大國鋼</t>
    <phoneticPr fontId="6" type="noConversion"/>
  </si>
  <si>
    <t>實威</t>
    <phoneticPr fontId="6" type="noConversion"/>
  </si>
  <si>
    <t>東生華</t>
    <phoneticPr fontId="6" type="noConversion"/>
  </si>
  <si>
    <t>大江</t>
    <phoneticPr fontId="6" type="noConversion"/>
  </si>
  <si>
    <t>華研</t>
    <phoneticPr fontId="6" type="noConversion"/>
  </si>
  <si>
    <t>富邦媒</t>
    <phoneticPr fontId="6" type="noConversion"/>
  </si>
  <si>
    <t>億豐</t>
    <phoneticPr fontId="6" type="noConversion"/>
  </si>
  <si>
    <t>三貝德</t>
    <phoneticPr fontId="6" type="noConversion"/>
  </si>
  <si>
    <t>光隆</t>
    <phoneticPr fontId="6" type="noConversion"/>
  </si>
  <si>
    <t>大田</t>
    <phoneticPr fontId="6" type="noConversion"/>
  </si>
  <si>
    <t>台汽電</t>
    <phoneticPr fontId="6" type="noConversion"/>
  </si>
  <si>
    <t>國統</t>
    <phoneticPr fontId="6" type="noConversion"/>
  </si>
  <si>
    <t>明安</t>
    <phoneticPr fontId="6" type="noConversion"/>
  </si>
  <si>
    <t>森鉅</t>
    <phoneticPr fontId="6" type="noConversion"/>
  </si>
  <si>
    <t>寶成</t>
    <phoneticPr fontId="6" type="noConversion"/>
  </si>
  <si>
    <t>統一實</t>
    <phoneticPr fontId="6" type="noConversion"/>
  </si>
  <si>
    <t>豐泰</t>
    <phoneticPr fontId="6" type="noConversion"/>
  </si>
  <si>
    <t>美利達</t>
    <phoneticPr fontId="6" type="noConversion"/>
  </si>
  <si>
    <t>中保科</t>
    <phoneticPr fontId="6" type="noConversion"/>
  </si>
  <si>
    <t>巨大</t>
    <phoneticPr fontId="6" type="noConversion"/>
  </si>
  <si>
    <t>新保</t>
    <phoneticPr fontId="6" type="noConversion"/>
  </si>
  <si>
    <t>中鼎</t>
    <phoneticPr fontId="6" type="noConversion"/>
  </si>
  <si>
    <t>全國</t>
    <phoneticPr fontId="6" type="noConversion"/>
  </si>
  <si>
    <t>信義</t>
    <phoneticPr fontId="6" type="noConversion"/>
  </si>
  <si>
    <t>裕融</t>
    <phoneticPr fontId="6" type="noConversion"/>
  </si>
  <si>
    <t>好樂迪</t>
    <phoneticPr fontId="6" type="noConversion"/>
  </si>
  <si>
    <t>潤泰新</t>
    <phoneticPr fontId="6" type="noConversion"/>
  </si>
  <si>
    <t>皇田</t>
    <phoneticPr fontId="6" type="noConversion"/>
  </si>
  <si>
    <t>晶技</t>
    <phoneticPr fontId="6" type="noConversion"/>
  </si>
  <si>
    <t>健策</t>
    <phoneticPr fontId="6" type="noConversion"/>
  </si>
  <si>
    <t>矽格</t>
    <phoneticPr fontId="6" type="noConversion"/>
  </si>
  <si>
    <t>勤誠</t>
    <phoneticPr fontId="6" type="noConversion"/>
  </si>
  <si>
    <r>
      <t>ZB</t>
    </r>
    <r>
      <rPr>
        <sz val="12"/>
        <rFont val="新細明體"/>
        <family val="1"/>
        <charset val="136"/>
      </rPr>
      <t>-H21</t>
    </r>
    <phoneticPr fontId="8" type="noConversion"/>
  </si>
  <si>
    <t>ZB-M21</t>
    <phoneticPr fontId="8" type="noConversion"/>
  </si>
  <si>
    <t>ZB-U21</t>
    <phoneticPr fontId="8" type="noConversion"/>
  </si>
  <si>
    <t>00881</t>
  </si>
  <si>
    <t>國泰台灣5G+</t>
  </si>
  <si>
    <t>國泰台灣5G+</t>
    <phoneticPr fontId="6" type="noConversion"/>
  </si>
  <si>
    <t>ZB-H21</t>
  </si>
  <si>
    <t>ZB-M21</t>
  </si>
  <si>
    <t>ZB-U21</t>
  </si>
  <si>
    <t>USC1</t>
  </si>
  <si>
    <t>USF1</t>
  </si>
  <si>
    <t>USI1</t>
  </si>
  <si>
    <t>SI-M21</t>
  </si>
  <si>
    <t>SI-M21</t>
    <phoneticPr fontId="6" type="noConversion"/>
  </si>
  <si>
    <t>SI-N21</t>
  </si>
  <si>
    <t>SI-N21</t>
    <phoneticPr fontId="6" type="noConversion"/>
  </si>
  <si>
    <t>SI-Q21</t>
  </si>
  <si>
    <t>SI-Q21</t>
    <phoneticPr fontId="6" type="noConversion"/>
  </si>
  <si>
    <t>SI-U21</t>
  </si>
  <si>
    <t>SI-U21</t>
    <phoneticPr fontId="6" type="noConversion"/>
  </si>
  <si>
    <t>SI-V21</t>
  </si>
  <si>
    <t>SI-V21</t>
    <phoneticPr fontId="6" type="noConversion"/>
  </si>
  <si>
    <r>
      <t>ZS</t>
    </r>
    <r>
      <rPr>
        <sz val="12"/>
        <rFont val="新細明體"/>
        <family val="1"/>
        <charset val="136"/>
      </rPr>
      <t>-U21</t>
    </r>
    <phoneticPr fontId="8" type="noConversion"/>
  </si>
  <si>
    <r>
      <t>ZS</t>
    </r>
    <r>
      <rPr>
        <sz val="12"/>
        <rFont val="新細明體"/>
        <family val="1"/>
        <charset val="136"/>
      </rPr>
      <t>-X21</t>
    </r>
    <phoneticPr fontId="8" type="noConversion"/>
  </si>
  <si>
    <t>BRN-N21</t>
  </si>
  <si>
    <t>BRN-N21</t>
    <phoneticPr fontId="6" type="noConversion"/>
  </si>
  <si>
    <t>BRN-U21</t>
  </si>
  <si>
    <t>GC-Q21</t>
  </si>
  <si>
    <t>GC-Q21</t>
    <phoneticPr fontId="6" type="noConversion"/>
  </si>
  <si>
    <t>GC-Z21</t>
  </si>
  <si>
    <t>GC-Z21</t>
    <phoneticPr fontId="6" type="noConversion"/>
  </si>
  <si>
    <t>CN-J21</t>
  </si>
  <si>
    <t>CN-J21</t>
    <phoneticPr fontId="6" type="noConversion"/>
  </si>
  <si>
    <t>MHI-H21</t>
  </si>
  <si>
    <t>MHI-H21</t>
    <phoneticPr fontId="6" type="noConversion"/>
  </si>
  <si>
    <t>MHI-J21</t>
  </si>
  <si>
    <t>MHI-J21</t>
    <phoneticPr fontId="6" type="noConversion"/>
  </si>
  <si>
    <t>ZS-U21</t>
  </si>
  <si>
    <t>ZS-X21</t>
  </si>
  <si>
    <t>MHIC1</t>
  </si>
  <si>
    <t>MHID1</t>
  </si>
  <si>
    <t>SCND1</t>
  </si>
  <si>
    <t>GCL1</t>
  </si>
  <si>
    <t>GCH1</t>
  </si>
  <si>
    <t>LCOBG1</t>
  </si>
  <si>
    <t>LCOBI1</t>
  </si>
  <si>
    <t>ZSI1</t>
  </si>
  <si>
    <t>ZSK1</t>
  </si>
  <si>
    <t>SIF1</t>
  </si>
  <si>
    <t>SIG1</t>
  </si>
  <si>
    <t>SIH1</t>
  </si>
  <si>
    <t>SII1</t>
  </si>
  <si>
    <t>SIJ1</t>
  </si>
  <si>
    <t>HHI-M21</t>
    <phoneticPr fontId="6" type="noConversion"/>
  </si>
  <si>
    <t>HHI-U21</t>
    <phoneticPr fontId="6" type="noConversion"/>
  </si>
  <si>
    <t>NK-U21</t>
    <phoneticPr fontId="6" type="noConversion"/>
  </si>
  <si>
    <t>MME-Z21</t>
    <phoneticPr fontId="6" type="noConversion"/>
  </si>
  <si>
    <t>TOPIX-Z21</t>
    <phoneticPr fontId="6" type="noConversion"/>
  </si>
  <si>
    <t>SI-X21</t>
    <phoneticPr fontId="6" type="noConversion"/>
  </si>
  <si>
    <r>
      <t>TN</t>
    </r>
    <r>
      <rPr>
        <sz val="12"/>
        <rFont val="新細明體"/>
        <family val="1"/>
        <charset val="136"/>
      </rPr>
      <t>-Z21</t>
    </r>
    <phoneticPr fontId="8" type="noConversion"/>
  </si>
  <si>
    <t>RTY-Z21</t>
    <phoneticPr fontId="6" type="noConversion"/>
  </si>
  <si>
    <r>
      <t>TWN</t>
    </r>
    <r>
      <rPr>
        <sz val="12"/>
        <rFont val="新細明體"/>
        <family val="1"/>
        <charset val="136"/>
      </rPr>
      <t>-J21</t>
    </r>
    <phoneticPr fontId="8" type="noConversion"/>
  </si>
  <si>
    <r>
      <t>TWN</t>
    </r>
    <r>
      <rPr>
        <sz val="12"/>
        <rFont val="新細明體"/>
        <family val="1"/>
        <charset val="136"/>
      </rPr>
      <t>-K21</t>
    </r>
    <phoneticPr fontId="8" type="noConversion"/>
  </si>
  <si>
    <t>ES-Z21</t>
  </si>
  <si>
    <t>ES-Z21</t>
    <phoneticPr fontId="6" type="noConversion"/>
  </si>
  <si>
    <t>NQ-Z21</t>
  </si>
  <si>
    <t>NQ-Z21</t>
    <phoneticPr fontId="6" type="noConversion"/>
  </si>
  <si>
    <t>YM-Z21</t>
  </si>
  <si>
    <t>YM-Z21</t>
    <phoneticPr fontId="6" type="noConversion"/>
  </si>
  <si>
    <t>UB-U21</t>
  </si>
  <si>
    <t>UB-U21</t>
    <phoneticPr fontId="6" type="noConversion"/>
  </si>
  <si>
    <t>UB-M21</t>
  </si>
  <si>
    <t>UB-M21</t>
    <phoneticPr fontId="6" type="noConversion"/>
  </si>
  <si>
    <t>BRN-M21</t>
  </si>
  <si>
    <t>BRN-M21</t>
    <phoneticPr fontId="6" type="noConversion"/>
  </si>
  <si>
    <t>BRN-Q21</t>
  </si>
  <si>
    <t>BRN-Q21</t>
    <phoneticPr fontId="6" type="noConversion"/>
  </si>
  <si>
    <r>
      <t>BRN</t>
    </r>
    <r>
      <rPr>
        <sz val="12"/>
        <rFont val="新細明體"/>
        <family val="1"/>
        <charset val="136"/>
      </rPr>
      <t>-U21</t>
    </r>
    <phoneticPr fontId="8" type="noConversion"/>
  </si>
  <si>
    <t>NCH-G21</t>
  </si>
  <si>
    <t>NCH-G21</t>
    <phoneticPr fontId="6" type="noConversion"/>
  </si>
  <si>
    <t>NCH-J21</t>
  </si>
  <si>
    <t>NCH-J21</t>
    <phoneticPr fontId="6" type="noConversion"/>
  </si>
  <si>
    <t>HG-J21</t>
  </si>
  <si>
    <t>HG-J21</t>
    <phoneticPr fontId="6" type="noConversion"/>
  </si>
  <si>
    <t>VX-U21</t>
  </si>
  <si>
    <t>VX-U21</t>
    <phoneticPr fontId="8" type="noConversion"/>
  </si>
  <si>
    <t>HHI-M21</t>
  </si>
  <si>
    <t>HHI-U21</t>
  </si>
  <si>
    <t>NK-U21</t>
  </si>
  <si>
    <t>MME-Z21</t>
  </si>
  <si>
    <t>TOPIX-Z21</t>
  </si>
  <si>
    <t>SI-X21</t>
  </si>
  <si>
    <t>TN-Z21</t>
  </si>
  <si>
    <t>RTY-Z21</t>
  </si>
  <si>
    <t>TWN-J21</t>
  </si>
  <si>
    <t>TWN-K21</t>
  </si>
  <si>
    <t>VXI1</t>
  </si>
  <si>
    <t>ESL1</t>
  </si>
  <si>
    <t>NQL1</t>
  </si>
  <si>
    <t>YML1</t>
  </si>
  <si>
    <t>UBF1</t>
  </si>
  <si>
    <t>UBI1</t>
  </si>
  <si>
    <t>LCOBH1</t>
  </si>
  <si>
    <t>LCOBF1</t>
  </si>
  <si>
    <t>NCHB1</t>
  </si>
  <si>
    <t>NCHD1</t>
  </si>
  <si>
    <t>HHIF1</t>
  </si>
  <si>
    <t>HHII1</t>
  </si>
  <si>
    <t>SSII1</t>
  </si>
  <si>
    <t>MMEL1</t>
  </si>
  <si>
    <t>JTIL1</t>
  </si>
  <si>
    <t>SIK1</t>
  </si>
  <si>
    <t>TNL1</t>
  </si>
  <si>
    <t>RTYL1</t>
  </si>
  <si>
    <t>HGD1</t>
  </si>
  <si>
    <t>TWND1</t>
  </si>
  <si>
    <t>TWNE1</t>
  </si>
  <si>
    <t>CN-Z20</t>
  </si>
  <si>
    <t>CN-Z20</t>
    <phoneticPr fontId="6" type="noConversion"/>
  </si>
  <si>
    <t>SCNL0</t>
  </si>
  <si>
    <t>晶電(下市)</t>
    <phoneticPr fontId="6" type="noConversion"/>
  </si>
  <si>
    <t>隆達(下市)</t>
    <phoneticPr fontId="6" type="noConversion"/>
  </si>
  <si>
    <t>鎧勝-KY(下市)</t>
    <phoneticPr fontId="6" type="noConversion"/>
  </si>
  <si>
    <t>NCH-K21</t>
  </si>
  <si>
    <t>NCH-K21</t>
    <phoneticPr fontId="6" type="noConversion"/>
  </si>
  <si>
    <t>NCHE1</t>
  </si>
  <si>
    <t>00882</t>
  </si>
  <si>
    <t>中信中國高股息</t>
  </si>
  <si>
    <t>00883B</t>
  </si>
  <si>
    <t>00884B</t>
  </si>
  <si>
    <t>中信ESG投資級債</t>
  </si>
  <si>
    <t>中信低碳新興債</t>
  </si>
  <si>
    <t>NK-Z21</t>
  </si>
  <si>
    <t>NK-Z21</t>
    <phoneticPr fontId="6" type="noConversion"/>
  </si>
  <si>
    <t>SSIL1</t>
  </si>
  <si>
    <t>VX-V21</t>
  </si>
  <si>
    <t>VX-V21</t>
    <phoneticPr fontId="8" type="noConversion"/>
  </si>
  <si>
    <t>VXJ1</t>
  </si>
  <si>
    <t>TXFD1</t>
  </si>
  <si>
    <t>EXFD1</t>
  </si>
  <si>
    <t>FXFD1</t>
  </si>
  <si>
    <t>NYFD1</t>
  </si>
  <si>
    <t>OAFD1</t>
  </si>
  <si>
    <t>CDFD1</t>
  </si>
  <si>
    <t>KDFD1</t>
  </si>
  <si>
    <t>PFFD1</t>
  </si>
  <si>
    <t>VX-X21</t>
  </si>
  <si>
    <t>VX-X21</t>
    <phoneticPr fontId="8" type="noConversion"/>
  </si>
  <si>
    <t>VXK1</t>
  </si>
  <si>
    <t>期元大S&amp;P黃金</t>
    <phoneticPr fontId="6" type="noConversion"/>
  </si>
  <si>
    <t>期元大S&amp;P石油</t>
    <phoneticPr fontId="6" type="noConversion"/>
  </si>
  <si>
    <t>期元大S&amp;P原油反1</t>
    <phoneticPr fontId="6" type="noConversion"/>
  </si>
  <si>
    <t>期元大S&amp;P黃金反1</t>
    <phoneticPr fontId="6" type="noConversion"/>
  </si>
  <si>
    <t>期富邦VIX</t>
    <phoneticPr fontId="6" type="noConversion"/>
  </si>
  <si>
    <t>期元大美元指數</t>
    <phoneticPr fontId="6" type="noConversion"/>
  </si>
  <si>
    <t>期街口S&amp;P黃豆</t>
    <phoneticPr fontId="6" type="noConversion"/>
  </si>
  <si>
    <t>期元大S&amp;P日圓正2</t>
    <phoneticPr fontId="6" type="noConversion"/>
  </si>
  <si>
    <t>期元大S&amp;P日圓反1</t>
    <phoneticPr fontId="6" type="noConversion"/>
  </si>
  <si>
    <t>期元大S&amp;P黃金正2</t>
    <phoneticPr fontId="6" type="noConversion"/>
  </si>
  <si>
    <t>期街口S&amp;P布蘭特油正2</t>
    <phoneticPr fontId="6" type="noConversion"/>
  </si>
  <si>
    <t>期元大道瓊白銀</t>
    <phoneticPr fontId="6" type="noConversion"/>
  </si>
  <si>
    <t>期街口道瓊銅</t>
    <phoneticPr fontId="6" type="noConversion"/>
  </si>
  <si>
    <t>期元大S&amp;P黃金</t>
  </si>
  <si>
    <t>期元大S&amp;P石油</t>
  </si>
  <si>
    <t>期元大S&amp;P原油反1</t>
  </si>
  <si>
    <t>期元大S&amp;P黃金反1</t>
  </si>
  <si>
    <t>期富邦VIX</t>
  </si>
  <si>
    <t>期元大美元指數</t>
  </si>
  <si>
    <t>期街口S&amp;P黃豆</t>
  </si>
  <si>
    <t>期元大S&amp;P日圓正2</t>
  </si>
  <si>
    <t>期元大S&amp;P日圓反1</t>
  </si>
  <si>
    <t>期元大S&amp;P黃金正2</t>
  </si>
  <si>
    <t>期街口S&amp;P布蘭特油正2</t>
  </si>
  <si>
    <t>期元大道瓊白銀</t>
  </si>
  <si>
    <t>期街口道瓊銅</t>
  </si>
  <si>
    <t>IN-K21</t>
  </si>
  <si>
    <t>IN-K21</t>
    <phoneticPr fontId="6" type="noConversion"/>
  </si>
  <si>
    <t>CL-Q21</t>
  </si>
  <si>
    <t>CL-Q21</t>
    <phoneticPr fontId="6" type="noConversion"/>
  </si>
  <si>
    <t>CL-U21</t>
  </si>
  <si>
    <t>CL-U21</t>
    <phoneticPr fontId="6" type="noConversion"/>
  </si>
  <si>
    <t>ES-U21</t>
  </si>
  <si>
    <t>ES-U21</t>
    <phoneticPr fontId="6" type="noConversion"/>
  </si>
  <si>
    <t>NQ-U21</t>
  </si>
  <si>
    <t>NQ-U21</t>
    <phoneticPr fontId="6" type="noConversion"/>
  </si>
  <si>
    <t>YM-U21</t>
  </si>
  <si>
    <t>YM-U21</t>
    <phoneticPr fontId="6" type="noConversion"/>
  </si>
  <si>
    <t>HSI-K21</t>
  </si>
  <si>
    <t>HSI-K21</t>
    <phoneticPr fontId="6" type="noConversion"/>
  </si>
  <si>
    <t>HSI-M21</t>
  </si>
  <si>
    <t>HSI-M21</t>
    <phoneticPr fontId="6" type="noConversion"/>
  </si>
  <si>
    <t>MHI-K21</t>
  </si>
  <si>
    <t>MHI-K21</t>
    <phoneticPr fontId="6" type="noConversion"/>
  </si>
  <si>
    <t>MHI-M21</t>
  </si>
  <si>
    <t>MHI-M21</t>
    <phoneticPr fontId="6" type="noConversion"/>
  </si>
  <si>
    <t>CN-K21</t>
  </si>
  <si>
    <t>CN-K21</t>
    <phoneticPr fontId="6" type="noConversion"/>
  </si>
  <si>
    <t>CN-N21</t>
  </si>
  <si>
    <t>CN-N21</t>
    <phoneticPr fontId="6" type="noConversion"/>
  </si>
  <si>
    <t>GC-G22</t>
  </si>
  <si>
    <t>GC-G22</t>
    <phoneticPr fontId="6" type="noConversion"/>
  </si>
  <si>
    <t>BRN-X21</t>
  </si>
  <si>
    <t>BRN-X21</t>
    <phoneticPr fontId="6" type="noConversion"/>
  </si>
  <si>
    <t>BRN-Z21</t>
  </si>
  <si>
    <r>
      <t>BRN</t>
    </r>
    <r>
      <rPr>
        <sz val="12"/>
        <rFont val="新細明體"/>
        <family val="1"/>
        <charset val="136"/>
      </rPr>
      <t>-Z21</t>
    </r>
    <phoneticPr fontId="8" type="noConversion"/>
  </si>
  <si>
    <t>BRN-Z20</t>
  </si>
  <si>
    <t>BRN-Z20</t>
    <phoneticPr fontId="6" type="noConversion"/>
  </si>
  <si>
    <t>HHI-J21</t>
  </si>
  <si>
    <t>HHI-J21</t>
    <phoneticPr fontId="6" type="noConversion"/>
  </si>
  <si>
    <t>SI-Z21</t>
  </si>
  <si>
    <t>SI-Z21</t>
    <phoneticPr fontId="6" type="noConversion"/>
  </si>
  <si>
    <t>CLH1</t>
  </si>
  <si>
    <t>CLI1</t>
  </si>
  <si>
    <t>ESI1</t>
  </si>
  <si>
    <t>NQI1</t>
  </si>
  <si>
    <t>YMI1</t>
  </si>
  <si>
    <t>HSIE1</t>
  </si>
  <si>
    <t>HSIF1</t>
  </si>
  <si>
    <t>MHIE1</t>
  </si>
  <si>
    <t>MHIF1</t>
  </si>
  <si>
    <t>SCNE1</t>
  </si>
  <si>
    <t>SCNG1</t>
  </si>
  <si>
    <t>GCB2</t>
  </si>
  <si>
    <t>LCOBL1</t>
  </si>
  <si>
    <t>LCOBK1</t>
  </si>
  <si>
    <t>LCOBL0</t>
  </si>
  <si>
    <t>HHID1</t>
  </si>
  <si>
    <t>SIL1</t>
  </si>
  <si>
    <t>INE1</t>
  </si>
  <si>
    <t>尼得科超眾</t>
    <phoneticPr fontId="6" type="noConversion"/>
  </si>
  <si>
    <t>DX</t>
    <phoneticPr fontId="6" type="noConversion"/>
  </si>
  <si>
    <t>美元指數</t>
    <phoneticPr fontId="6" type="noConversion"/>
  </si>
  <si>
    <t>NYBOT</t>
    <phoneticPr fontId="8" type="noConversion"/>
  </si>
  <si>
    <t>Master</t>
    <phoneticPr fontId="8" type="noConversion"/>
  </si>
  <si>
    <t>DX-M21</t>
  </si>
  <si>
    <t>DX-M21</t>
    <phoneticPr fontId="6" type="noConversion"/>
  </si>
  <si>
    <t>DX-U21</t>
  </si>
  <si>
    <t>DX-U21</t>
    <phoneticPr fontId="6" type="noConversion"/>
  </si>
  <si>
    <t>DX-Z21</t>
  </si>
  <si>
    <t>DX-Z21</t>
    <phoneticPr fontId="6" type="noConversion"/>
  </si>
  <si>
    <t>DX-H22</t>
    <phoneticPr fontId="6" type="noConversion"/>
  </si>
  <si>
    <t>DXF1</t>
  </si>
  <si>
    <t>DXI1</t>
  </si>
  <si>
    <t>DXL1</t>
  </si>
  <si>
    <t>6J-M21</t>
  </si>
  <si>
    <t>6J-M21</t>
    <phoneticPr fontId="6" type="noConversion"/>
  </si>
  <si>
    <t>JYF1</t>
  </si>
  <si>
    <t>DX-H22</t>
  </si>
  <si>
    <t>DXC2</t>
  </si>
  <si>
    <t>TXFE1</t>
  </si>
  <si>
    <t>EXFE1</t>
  </si>
  <si>
    <t>FXFE1</t>
  </si>
  <si>
    <t>NYFE1</t>
  </si>
  <si>
    <t>OAFE1</t>
  </si>
  <si>
    <t>CDFE1</t>
  </si>
  <si>
    <t>PFFE1</t>
  </si>
  <si>
    <t>KDFE1</t>
  </si>
  <si>
    <t>00886</t>
  </si>
  <si>
    <t>00887</t>
  </si>
  <si>
    <t>00888</t>
  </si>
  <si>
    <t>永豐美國科技</t>
  </si>
  <si>
    <t>永豐中國科技50大</t>
  </si>
  <si>
    <t>永豐台灣ESG</t>
  </si>
  <si>
    <t>第一金美債0-1</t>
    <phoneticPr fontId="6" type="noConversion"/>
  </si>
  <si>
    <t>第一金電信債15+</t>
    <phoneticPr fontId="6" type="noConversion"/>
  </si>
  <si>
    <t>中信中國高股息</t>
    <phoneticPr fontId="6" type="noConversion"/>
  </si>
  <si>
    <t>中信ESG投資級債</t>
    <phoneticPr fontId="6" type="noConversion"/>
  </si>
  <si>
    <t>中信低碳新興債</t>
    <phoneticPr fontId="6" type="noConversion"/>
  </si>
  <si>
    <t>永豐美國科技</t>
    <phoneticPr fontId="6" type="noConversion"/>
  </si>
  <si>
    <t>永豐中國科技50大</t>
    <phoneticPr fontId="6" type="noConversion"/>
  </si>
  <si>
    <t>永豐台灣ESG</t>
    <phoneticPr fontId="6" type="noConversion"/>
  </si>
  <si>
    <t>TAMSCI</t>
    <phoneticPr fontId="8" type="noConversion"/>
  </si>
  <si>
    <t>FTCRTWRP</t>
    <phoneticPr fontId="8" type="noConversion"/>
  </si>
  <si>
    <t>富時台灣指數</t>
    <phoneticPr fontId="6" type="noConversion"/>
  </si>
  <si>
    <t>香港摩台指</t>
    <phoneticPr fontId="6" type="noConversion"/>
  </si>
  <si>
    <t>新加坡摩台指</t>
    <phoneticPr fontId="6" type="noConversion"/>
  </si>
  <si>
    <t>期元大美元指正2</t>
    <phoneticPr fontId="6" type="noConversion"/>
  </si>
  <si>
    <t>期元大美元指反1</t>
    <phoneticPr fontId="6" type="noConversion"/>
  </si>
  <si>
    <t>期元大美元指正2</t>
  </si>
  <si>
    <t>期元大美元指反1</t>
  </si>
  <si>
    <t>00885</t>
  </si>
  <si>
    <t>00885</t>
    <phoneticPr fontId="6" type="noConversion"/>
  </si>
  <si>
    <t>富邦越南</t>
  </si>
  <si>
    <t>富邦越南</t>
    <phoneticPr fontId="6" type="noConversion"/>
  </si>
  <si>
    <t>TXFF1</t>
  </si>
  <si>
    <t>臺股期貨F1</t>
  </si>
  <si>
    <t>EXFF1</t>
  </si>
  <si>
    <t>電子期貨F1</t>
  </si>
  <si>
    <t>FXFF1</t>
  </si>
  <si>
    <t>金融期貨F1</t>
  </si>
  <si>
    <t>NYFF1</t>
  </si>
  <si>
    <t>元大台灣50ETF期貨F1</t>
  </si>
  <si>
    <t>OAFF1</t>
  </si>
  <si>
    <t>富邦上証ETF期貨F1</t>
  </si>
  <si>
    <t>CDFF1</t>
  </si>
  <si>
    <t>台積電期貨F1</t>
  </si>
  <si>
    <t>KDFF1</t>
  </si>
  <si>
    <t>同欣電期貨F1</t>
  </si>
  <si>
    <t>PFFF1</t>
  </si>
  <si>
    <t>元大高股息ETF期貨F1</t>
  </si>
  <si>
    <t>臺股期貨E1</t>
  </si>
  <si>
    <t>電子期貨E1</t>
  </si>
  <si>
    <t>金融期貨E1</t>
  </si>
  <si>
    <t>元大台灣50ETF期貨E1</t>
  </si>
  <si>
    <t>富邦上証ETF期貨E1</t>
  </si>
  <si>
    <t>台積電期貨E1</t>
  </si>
  <si>
    <t>元大高股息ETF期貨E1</t>
  </si>
  <si>
    <t>同欣電期貨E1</t>
  </si>
  <si>
    <r>
      <t>TWN</t>
    </r>
    <r>
      <rPr>
        <sz val="12"/>
        <rFont val="新細明體"/>
        <family val="1"/>
        <charset val="136"/>
      </rPr>
      <t>-N21</t>
    </r>
    <phoneticPr fontId="8" type="noConversion"/>
  </si>
  <si>
    <r>
      <t>TWN</t>
    </r>
    <r>
      <rPr>
        <sz val="12"/>
        <rFont val="新細明體"/>
        <family val="1"/>
        <charset val="136"/>
      </rPr>
      <t>-U21</t>
    </r>
    <phoneticPr fontId="8" type="noConversion"/>
  </si>
  <si>
    <r>
      <t>TWN</t>
    </r>
    <r>
      <rPr>
        <sz val="12"/>
        <rFont val="新細明體"/>
        <family val="1"/>
        <charset val="136"/>
      </rPr>
      <t>-Q21</t>
    </r>
    <phoneticPr fontId="8" type="noConversion"/>
  </si>
  <si>
    <t>IN-M21</t>
  </si>
  <si>
    <t>IN-M21</t>
    <phoneticPr fontId="6" type="noConversion"/>
  </si>
  <si>
    <t>IN-N21</t>
  </si>
  <si>
    <t>IN-N21</t>
    <phoneticPr fontId="6" type="noConversion"/>
  </si>
  <si>
    <t>BRN-F21</t>
  </si>
  <si>
    <t>BRN-F21</t>
    <phoneticPr fontId="6" type="noConversion"/>
  </si>
  <si>
    <t>UB-Z21</t>
  </si>
  <si>
    <t>UB-Z21</t>
    <phoneticPr fontId="6" type="noConversion"/>
  </si>
  <si>
    <t>CN-Q21</t>
  </si>
  <si>
    <t>CN-Q21</t>
    <phoneticPr fontId="6" type="noConversion"/>
  </si>
  <si>
    <t>HSI-N21</t>
  </si>
  <si>
    <t>HSI-N21</t>
    <phoneticPr fontId="6" type="noConversion"/>
  </si>
  <si>
    <t>HSI-Q21</t>
  </si>
  <si>
    <t>HSI-Q21</t>
    <phoneticPr fontId="6" type="noConversion"/>
  </si>
  <si>
    <t>TWN-Q21</t>
  </si>
  <si>
    <t>TWN-N21</t>
  </si>
  <si>
    <t>TWN-U21</t>
  </si>
  <si>
    <t>HSIG1</t>
  </si>
  <si>
    <t>HSIH1</t>
  </si>
  <si>
    <t>SCNH1</t>
  </si>
  <si>
    <t>UBL1</t>
  </si>
  <si>
    <t>LCOBA1</t>
  </si>
  <si>
    <t>ING1</t>
  </si>
  <si>
    <t>INF1</t>
  </si>
  <si>
    <t>TWNH1</t>
  </si>
  <si>
    <t>TWNG1</t>
  </si>
  <si>
    <t>TWNI1</t>
  </si>
  <si>
    <t>00877</t>
  </si>
  <si>
    <t>FH中國5G</t>
  </si>
  <si>
    <t>基準日:最近一日</t>
    <phoneticPr fontId="6" type="noConversion"/>
  </si>
  <si>
    <t>更新標題:是</t>
    <phoneticPr fontId="6" type="noConversion"/>
  </si>
  <si>
    <t>表格欄位/代號種類^=^S^;^週期編號^=^D^;^AllCMenuIDs^=^M002^;^是否轉置^=^False^;^檢視方式^=^2^;^AllFields^=^收盤價^;^MainTable^=^^;^ListType^=^^;^SelectDate^=^TOP 1^;^SelectCMenuID^=^M002^;^SelectDate種類^=^1^;^AllFieldsNO^=^^;^自訂欄位公式^=^^;^自訂欄位Where條件^=^^;^多期數值處理方式^=^1^;^多欄指定個股方式^=^^;^多欄指定個股^=^^;^多欄指定群組名稱^=^^;^欄位顯示狀態^=^1^;^欄位轉換日期方式^=^^;^欄位排序方式^=^^;^欄位採用各期最新^=^^;^樣本表系統定義全部代號^=^^;^單項目比較欄位^=^^;^單項目比較欄位編號^=^^;^表格類型^=^</t>
    <phoneticPr fontId="6" type="noConversion"/>
  </si>
  <si>
    <t>資料日期/</t>
    <phoneticPr fontId="6" type="noConversion"/>
  </si>
  <si>
    <t>參考標題/12/31</t>
    <phoneticPr fontId="6" type="noConversion"/>
  </si>
  <si>
    <t>股票代號</t>
    <phoneticPr fontId="6" type="noConversion"/>
  </si>
  <si>
    <t>股票名稱</t>
    <phoneticPr fontId="6" type="noConversion"/>
  </si>
  <si>
    <t>日收盤表排行.收盤價/每一期/最近/1/遞增/日//</t>
    <phoneticPr fontId="6" type="noConversion"/>
  </si>
  <si>
    <t>20210505收盤價</t>
    <phoneticPr fontId="6" type="noConversion"/>
  </si>
  <si>
    <t>00881</t>
    <phoneticPr fontId="9" type="noConversion"/>
  </si>
  <si>
    <t>00888</t>
    <phoneticPr fontId="9" type="noConversion"/>
  </si>
  <si>
    <t>00885</t>
    <phoneticPr fontId="9" type="noConversion"/>
  </si>
  <si>
    <t>折溢價(元)</t>
    <phoneticPr fontId="9" type="noConversion"/>
  </si>
  <si>
    <t>折溢價(%)</t>
    <phoneticPr fontId="9" type="noConversion"/>
  </si>
  <si>
    <t>y折溢價(元)</t>
    <phoneticPr fontId="9" type="noConversion"/>
  </si>
  <si>
    <t>y折溢價(%)</t>
    <phoneticPr fontId="9" type="noConversion"/>
  </si>
  <si>
    <t>折溢價變動(%)</t>
    <phoneticPr fontId="9" type="noConversion"/>
  </si>
  <si>
    <t>市價漲跌幅(%)</t>
    <phoneticPr fontId="9" type="noConversion"/>
  </si>
  <si>
    <t>淨值漲跌幅(%)</t>
    <phoneticPr fontId="9" type="noConversion"/>
  </si>
  <si>
    <t>Bid折溢價(%)</t>
    <phoneticPr fontId="9" type="noConversion"/>
  </si>
  <si>
    <t>Ask折溢價(%)</t>
    <phoneticPr fontId="9" type="noConversion"/>
  </si>
  <si>
    <t>越南</t>
  </si>
  <si>
    <t>越南</t>
    <phoneticPr fontId="9" type="noConversion"/>
  </si>
  <si>
    <t>6J-U21</t>
  </si>
  <si>
    <t>6J-U21</t>
    <phoneticPr fontId="6" type="noConversion"/>
  </si>
  <si>
    <t>6J-Z21</t>
  </si>
  <si>
    <t>6J-Z21</t>
    <phoneticPr fontId="6" type="noConversion"/>
  </si>
  <si>
    <t>JYI1</t>
  </si>
  <si>
    <t>JYL1</t>
  </si>
  <si>
    <t>20210513各代號最新一期日期</t>
    <phoneticPr fontId="6" type="noConversion"/>
  </si>
  <si>
    <t>20210513各代號最新一期淨值</t>
    <phoneticPr fontId="6" type="noConversion"/>
  </si>
  <si>
    <t>20210513各代號最新一期淨值漲跌</t>
    <phoneticPr fontId="6" type="noConversion"/>
  </si>
  <si>
    <t>20210513各代號最新一期淨值漲跌幅(%)</t>
    <phoneticPr fontId="6" type="noConversion"/>
  </si>
  <si>
    <t>20210513各代號最新一期折溢價(%)</t>
    <phoneticPr fontId="6" type="noConversion"/>
  </si>
  <si>
    <t>20210513各代號最新一期淨值(原幣)</t>
    <phoneticPr fontId="6" type="noConversion"/>
  </si>
  <si>
    <t>20210513各代號最新一期淨值漲跌(原幣)</t>
    <phoneticPr fontId="6" type="noConversion"/>
  </si>
  <si>
    <t>20210513各代號最新一期淨值漲跌幅(原幣)</t>
    <phoneticPr fontId="6" type="noConversion"/>
  </si>
  <si>
    <t>20210513各代號最新一期基金淨資產價值(千)</t>
    <phoneticPr fontId="6" type="noConversion"/>
  </si>
  <si>
    <t>20210513各代號最新一期已發行受益權單位總數(千)</t>
    <phoneticPr fontId="6" type="noConversion"/>
  </si>
  <si>
    <t>20210513各代號最新一期與前日已發行單位差異數(千)</t>
    <phoneticPr fontId="6" type="noConversion"/>
  </si>
  <si>
    <t>20210513各代號最新一期已發行受益權單位總數(含加掛ETF)(千)</t>
    <phoneticPr fontId="6" type="noConversion"/>
  </si>
  <si>
    <t>20210513各代號最新一期與前日已發行單位差異數(含加掛ETF)(千)</t>
    <phoneticPr fontId="6" type="noConversion"/>
  </si>
  <si>
    <t>20210514收盤價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</si>
</sst>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_(* #,##0.00_);_(* \(#,##0.00\);_(* &quot;-&quot;??_);_(@_)"/>
    <numFmt numFmtId="177" formatCode="0.0000"/>
    <numFmt numFmtId="178" formatCode="0.000"/>
    <numFmt numFmtId="179" formatCode="0.00_);[Red]\(0.00\)"/>
    <numFmt numFmtId="180" formatCode="m&quot;月&quot;d&quot;日&quot;"/>
    <numFmt numFmtId="181" formatCode="0.000000"/>
    <numFmt numFmtId="182" formatCode="h:mm:ss;@"/>
    <numFmt numFmtId="183" formatCode="0.0000000"/>
    <numFmt numFmtId="184" formatCode="0.0%"/>
    <numFmt numFmtId="185" formatCode="#,##0_ ;[Red]\-#,##0\ "/>
    <numFmt numFmtId="186" formatCode="0.0"/>
    <numFmt numFmtId="187" formatCode="0_ "/>
  </numFmts>
  <fonts count="1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name val="新細明體"/>
      <family val="1"/>
      <charset val="136"/>
    </font>
    <font>
      <sz val="12"/>
      <color indexed="23"/>
      <name val="新細明體"/>
      <family val="1"/>
      <charset val="136"/>
    </font>
    <font>
      <sz val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sz val="9"/>
      <name val="新細明體"/>
      <family val="2"/>
      <charset val="136"/>
      <scheme val="minor"/>
    </font>
    <font>
      <sz val="9"/>
      <name val="標楷體"/>
      <family val="4"/>
      <charset val="136"/>
    </font>
    <font>
      <b/>
      <sz val="12"/>
      <name val="標楷體"/>
      <family val="4"/>
      <charset val="136"/>
    </font>
    <font>
      <sz val="10"/>
      <color theme="1"/>
      <name val="微軟正黑體"/>
      <family val="2"/>
      <charset val="136"/>
    </font>
    <font>
      <b/>
      <sz val="10"/>
      <color theme="0"/>
      <name val="微軟正黑體"/>
      <family val="2"/>
      <charset val="136"/>
    </font>
    <font>
      <b/>
      <sz val="10"/>
      <color theme="1"/>
      <name val="微軟正黑體"/>
      <family val="2"/>
      <charset val="136"/>
    </font>
    <font>
      <sz val="10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4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5" fillId="0" borderId="0" xfId="0" applyNumberFormat="1" applyFont="1">
      <alignment vertical="center"/>
    </xf>
    <xf numFmtId="0" fontId="0" fillId="0" borderId="0" xfId="0" applyNumberFormat="1" applyFont="1">
      <alignment vertical="center"/>
    </xf>
    <xf numFmtId="49" fontId="0" fillId="0" borderId="0" xfId="0" applyNumberFormat="1" applyFont="1">
      <alignment vertical="center"/>
    </xf>
    <xf numFmtId="0" fontId="2" fillId="0" borderId="0" xfId="2">
      <alignment vertical="center"/>
    </xf>
    <xf numFmtId="14" fontId="0" fillId="0" borderId="0" xfId="0" applyNumberFormat="1" applyFont="1">
      <alignment vertical="center"/>
    </xf>
    <xf numFmtId="0" fontId="0" fillId="0" borderId="0" xfId="0" applyNumberFormat="1" applyFont="1" applyAlignment="1">
      <alignment vertical="center" wrapText="1"/>
    </xf>
    <xf numFmtId="0" fontId="0" fillId="0" borderId="0" xfId="0" applyAlignment="1"/>
    <xf numFmtId="2" fontId="0" fillId="0" borderId="0" xfId="0" applyNumberFormat="1" applyAlignment="1"/>
    <xf numFmtId="0" fontId="0" fillId="0" borderId="0" xfId="0" applyAlignment="1">
      <alignment horizontal="right"/>
    </xf>
    <xf numFmtId="178" fontId="0" fillId="0" borderId="0" xfId="0" applyNumberFormat="1" applyAlignment="1">
      <alignment horizontal="right"/>
    </xf>
    <xf numFmtId="0" fontId="0" fillId="0" borderId="0" xfId="0" applyFont="1" applyAlignment="1">
      <alignment horizontal="right"/>
    </xf>
    <xf numFmtId="2" fontId="0" fillId="0" borderId="0" xfId="0" applyNumberFormat="1" applyAlignment="1">
      <alignment horizontal="right"/>
    </xf>
    <xf numFmtId="0" fontId="0" fillId="0" borderId="0" xfId="0" applyAlignment="1">
      <alignment horizontal="right" vertical="center"/>
    </xf>
    <xf numFmtId="0" fontId="7" fillId="0" borderId="0" xfId="0" applyFont="1" applyAlignment="1">
      <alignment horizontal="right"/>
    </xf>
    <xf numFmtId="180" fontId="0" fillId="0" borderId="0" xfId="0" applyNumberFormat="1">
      <alignment vertical="center"/>
    </xf>
    <xf numFmtId="181" fontId="0" fillId="0" borderId="0" xfId="0" applyNumberFormat="1" applyAlignment="1"/>
    <xf numFmtId="177" fontId="0" fillId="0" borderId="0" xfId="0" applyNumberFormat="1" applyAlignment="1">
      <alignment horizontal="right"/>
    </xf>
    <xf numFmtId="181" fontId="0" fillId="0" borderId="0" xfId="0" applyNumberFormat="1" applyAlignment="1">
      <alignment horizontal="right"/>
    </xf>
    <xf numFmtId="179" fontId="0" fillId="0" borderId="0" xfId="0" applyNumberFormat="1" applyAlignment="1"/>
    <xf numFmtId="179" fontId="0" fillId="0" borderId="0" xfId="0" applyNumberFormat="1" applyFont="1">
      <alignment vertical="center"/>
    </xf>
    <xf numFmtId="14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quotePrefix="1">
      <alignment vertical="center"/>
    </xf>
    <xf numFmtId="182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0" fontId="0" fillId="0" borderId="0" xfId="0" applyNumberFormat="1" applyFont="1" applyAlignment="1">
      <alignment horizontal="right"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left"/>
    </xf>
    <xf numFmtId="2" fontId="0" fillId="0" borderId="0" xfId="0" applyNumberFormat="1">
      <alignment vertical="center"/>
    </xf>
    <xf numFmtId="0" fontId="0" fillId="0" borderId="0" xfId="0" applyNumberFormat="1" applyAlignment="1">
      <alignment horizontal="right"/>
    </xf>
    <xf numFmtId="14" fontId="0" fillId="0" borderId="0" xfId="0" applyNumberFormat="1" applyAlignment="1"/>
    <xf numFmtId="14" fontId="11" fillId="2" borderId="0" xfId="0" applyNumberFormat="1" applyFont="1" applyFill="1" applyAlignment="1"/>
    <xf numFmtId="10" fontId="0" fillId="0" borderId="0" xfId="10" applyNumberFormat="1" applyFont="1">
      <alignment vertical="center"/>
    </xf>
    <xf numFmtId="0" fontId="0" fillId="3" borderId="0" xfId="0" applyFill="1">
      <alignment vertical="center"/>
    </xf>
    <xf numFmtId="0" fontId="0" fillId="0" borderId="0" xfId="0" applyFont="1" applyFill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ill="1">
      <alignment vertical="center"/>
    </xf>
    <xf numFmtId="0" fontId="0" fillId="3" borderId="0" xfId="0" applyNumberFormat="1" applyFont="1" applyFill="1">
      <alignment vertical="center"/>
    </xf>
    <xf numFmtId="178" fontId="0" fillId="0" borderId="0" xfId="0" applyNumberFormat="1" applyAlignment="1"/>
    <xf numFmtId="183" fontId="0" fillId="0" borderId="0" xfId="0" applyNumberFormat="1" applyAlignment="1">
      <alignment horizontal="right"/>
    </xf>
    <xf numFmtId="0" fontId="0" fillId="0" borderId="0" xfId="0" applyNumberFormat="1" applyFont="1" applyFill="1">
      <alignment vertical="center"/>
    </xf>
    <xf numFmtId="0" fontId="0" fillId="0" borderId="0" xfId="0" applyNumberFormat="1" applyFont="1" applyFill="1" applyAlignment="1"/>
    <xf numFmtId="2" fontId="0" fillId="0" borderId="0" xfId="0" applyNumberFormat="1" applyFont="1" applyFill="1">
      <alignment vertical="center"/>
    </xf>
    <xf numFmtId="179" fontId="0" fillId="0" borderId="0" xfId="0" applyNumberFormat="1" applyFill="1" applyAlignment="1"/>
    <xf numFmtId="2" fontId="0" fillId="0" borderId="0" xfId="0" applyNumberFormat="1" applyFill="1">
      <alignment vertical="center"/>
    </xf>
    <xf numFmtId="177" fontId="0" fillId="0" borderId="0" xfId="0" applyNumberFormat="1" applyAlignment="1"/>
    <xf numFmtId="2" fontId="0" fillId="4" borderId="0" xfId="0" applyNumberFormat="1" applyFill="1">
      <alignment vertical="center"/>
    </xf>
    <xf numFmtId="0" fontId="12" fillId="0" borderId="0" xfId="0" applyFont="1">
      <alignment vertical="center"/>
    </xf>
    <xf numFmtId="184" fontId="12" fillId="0" borderId="0" xfId="0" applyNumberFormat="1" applyFont="1">
      <alignment vertical="center"/>
    </xf>
    <xf numFmtId="9" fontId="12" fillId="0" borderId="0" xfId="0" applyNumberFormat="1" applyFont="1">
      <alignment vertical="center"/>
    </xf>
    <xf numFmtId="185" fontId="12" fillId="0" borderId="0" xfId="0" applyNumberFormat="1" applyFont="1">
      <alignment vertical="center"/>
    </xf>
    <xf numFmtId="49" fontId="13" fillId="5" borderId="0" xfId="0" applyNumberFormat="1" applyFont="1" applyFill="1" applyAlignment="1">
      <alignment horizontal="center" vertical="center" wrapText="1"/>
    </xf>
    <xf numFmtId="0" fontId="13" fillId="5" borderId="0" xfId="0" applyFont="1" applyFill="1" applyAlignment="1">
      <alignment horizontal="center" vertical="center" wrapText="1"/>
    </xf>
    <xf numFmtId="0" fontId="13" fillId="5" borderId="0" xfId="0" applyNumberFormat="1" applyFont="1" applyFill="1" applyAlignment="1">
      <alignment horizontal="center" vertical="center" wrapText="1"/>
    </xf>
    <xf numFmtId="185" fontId="13" fillId="5" borderId="0" xfId="0" applyNumberFormat="1" applyFont="1" applyFill="1" applyAlignment="1">
      <alignment horizontal="center" vertical="center" wrapText="1"/>
    </xf>
    <xf numFmtId="0" fontId="12" fillId="0" borderId="0" xfId="0" applyFont="1" applyAlignment="1">
      <alignment vertical="center" wrapText="1"/>
    </xf>
    <xf numFmtId="0" fontId="12" fillId="0" borderId="1" xfId="0" applyFont="1" applyBorder="1">
      <alignment vertical="center"/>
    </xf>
    <xf numFmtId="49" fontId="12" fillId="0" borderId="2" xfId="0" applyNumberFormat="1" applyFont="1" applyBorder="1">
      <alignment vertical="center"/>
    </xf>
    <xf numFmtId="0" fontId="12" fillId="0" borderId="2" xfId="0" applyFont="1" applyBorder="1">
      <alignment vertical="center"/>
    </xf>
    <xf numFmtId="184" fontId="12" fillId="0" borderId="2" xfId="10" applyNumberFormat="1" applyFont="1" applyBorder="1">
      <alignment vertical="center"/>
    </xf>
    <xf numFmtId="0" fontId="12" fillId="0" borderId="2" xfId="0" applyNumberFormat="1" applyFont="1" applyBorder="1">
      <alignment vertical="center"/>
    </xf>
    <xf numFmtId="2" fontId="12" fillId="0" borderId="2" xfId="0" applyNumberFormat="1" applyFont="1" applyBorder="1">
      <alignment vertical="center"/>
    </xf>
    <xf numFmtId="185" fontId="12" fillId="0" borderId="2" xfId="0" applyNumberFormat="1" applyFont="1" applyBorder="1">
      <alignment vertical="center"/>
    </xf>
    <xf numFmtId="185" fontId="12" fillId="0" borderId="3" xfId="0" applyNumberFormat="1" applyFont="1" applyBorder="1">
      <alignment vertical="center"/>
    </xf>
    <xf numFmtId="0" fontId="12" fillId="0" borderId="4" xfId="0" applyFont="1" applyBorder="1">
      <alignment vertical="center"/>
    </xf>
    <xf numFmtId="49" fontId="12" fillId="0" borderId="0" xfId="0" applyNumberFormat="1" applyFont="1" applyBorder="1">
      <alignment vertical="center"/>
    </xf>
    <xf numFmtId="0" fontId="12" fillId="0" borderId="0" xfId="0" applyFont="1" applyBorder="1">
      <alignment vertical="center"/>
    </xf>
    <xf numFmtId="184" fontId="12" fillId="0" borderId="0" xfId="10" applyNumberFormat="1" applyFont="1" applyBorder="1">
      <alignment vertical="center"/>
    </xf>
    <xf numFmtId="0" fontId="12" fillId="0" borderId="0" xfId="10" applyNumberFormat="1" applyFont="1" applyBorder="1">
      <alignment vertical="center"/>
    </xf>
    <xf numFmtId="2" fontId="12" fillId="0" borderId="0" xfId="10" applyNumberFormat="1" applyFont="1" applyBorder="1">
      <alignment vertical="center"/>
    </xf>
    <xf numFmtId="185" fontId="12" fillId="0" borderId="0" xfId="0" applyNumberFormat="1" applyFont="1" applyBorder="1">
      <alignment vertical="center"/>
    </xf>
    <xf numFmtId="185" fontId="12" fillId="0" borderId="5" xfId="0" applyNumberFormat="1" applyFont="1" applyBorder="1">
      <alignment vertical="center"/>
    </xf>
    <xf numFmtId="0" fontId="12" fillId="0" borderId="6" xfId="0" applyFont="1" applyBorder="1">
      <alignment vertical="center"/>
    </xf>
    <xf numFmtId="49" fontId="12" fillId="0" borderId="7" xfId="0" applyNumberFormat="1" applyFont="1" applyBorder="1">
      <alignment vertical="center"/>
    </xf>
    <xf numFmtId="0" fontId="12" fillId="0" borderId="7" xfId="0" applyFont="1" applyBorder="1">
      <alignment vertical="center"/>
    </xf>
    <xf numFmtId="184" fontId="12" fillId="0" borderId="7" xfId="10" applyNumberFormat="1" applyFont="1" applyBorder="1">
      <alignment vertical="center"/>
    </xf>
    <xf numFmtId="0" fontId="12" fillId="0" borderId="7" xfId="10" applyNumberFormat="1" applyFont="1" applyBorder="1">
      <alignment vertical="center"/>
    </xf>
    <xf numFmtId="2" fontId="12" fillId="0" borderId="7" xfId="10" applyNumberFormat="1" applyFont="1" applyBorder="1">
      <alignment vertical="center"/>
    </xf>
    <xf numFmtId="185" fontId="12" fillId="0" borderId="7" xfId="0" applyNumberFormat="1" applyFont="1" applyBorder="1">
      <alignment vertical="center"/>
    </xf>
    <xf numFmtId="185" fontId="12" fillId="0" borderId="8" xfId="0" applyNumberFormat="1" applyFont="1" applyBorder="1">
      <alignment vertical="center"/>
    </xf>
    <xf numFmtId="49" fontId="12" fillId="0" borderId="1" xfId="0" applyNumberFormat="1" applyFont="1" applyBorder="1">
      <alignment vertical="center"/>
    </xf>
    <xf numFmtId="49" fontId="14" fillId="0" borderId="2" xfId="0" applyNumberFormat="1" applyFont="1" applyBorder="1">
      <alignment vertical="center"/>
    </xf>
    <xf numFmtId="0" fontId="12" fillId="0" borderId="2" xfId="10" applyNumberFormat="1" applyFont="1" applyBorder="1">
      <alignment vertical="center"/>
    </xf>
    <xf numFmtId="2" fontId="12" fillId="0" borderId="2" xfId="10" applyNumberFormat="1" applyFont="1" applyBorder="1">
      <alignment vertical="center"/>
    </xf>
    <xf numFmtId="10" fontId="12" fillId="0" borderId="2" xfId="10" applyNumberFormat="1" applyFont="1" applyBorder="1">
      <alignment vertical="center"/>
    </xf>
    <xf numFmtId="0" fontId="12" fillId="0" borderId="4" xfId="0" applyFont="1" applyBorder="1" applyAlignment="1">
      <alignment horizontal="left" vertical="center"/>
    </xf>
    <xf numFmtId="49" fontId="14" fillId="0" borderId="0" xfId="0" applyNumberFormat="1" applyFont="1" applyBorder="1">
      <alignment vertical="center"/>
    </xf>
    <xf numFmtId="10" fontId="12" fillId="0" borderId="0" xfId="10" applyNumberFormat="1" applyFont="1" applyBorder="1">
      <alignment vertical="center"/>
    </xf>
    <xf numFmtId="49" fontId="15" fillId="0" borderId="0" xfId="0" applyNumberFormat="1" applyFont="1" applyBorder="1">
      <alignment vertical="center"/>
    </xf>
    <xf numFmtId="49" fontId="15" fillId="0" borderId="7" xfId="0" applyNumberFormat="1" applyFont="1" applyBorder="1">
      <alignment vertical="center"/>
    </xf>
    <xf numFmtId="10" fontId="12" fillId="0" borderId="7" xfId="10" applyNumberFormat="1" applyFont="1" applyBorder="1">
      <alignment vertical="center"/>
    </xf>
    <xf numFmtId="49" fontId="15" fillId="0" borderId="2" xfId="0" applyNumberFormat="1" applyFont="1" applyBorder="1">
      <alignment vertical="center"/>
    </xf>
    <xf numFmtId="49" fontId="12" fillId="0" borderId="9" xfId="0" applyNumberFormat="1" applyFont="1" applyBorder="1">
      <alignment vertical="center"/>
    </xf>
    <xf numFmtId="49" fontId="12" fillId="0" borderId="10" xfId="0" applyNumberFormat="1" applyFont="1" applyBorder="1">
      <alignment vertical="center"/>
    </xf>
    <xf numFmtId="0" fontId="12" fillId="0" borderId="10" xfId="0" applyFont="1" applyBorder="1">
      <alignment vertical="center"/>
    </xf>
    <xf numFmtId="184" fontId="12" fillId="0" borderId="10" xfId="10" applyNumberFormat="1" applyFont="1" applyBorder="1">
      <alignment vertical="center"/>
    </xf>
    <xf numFmtId="0" fontId="12" fillId="0" borderId="10" xfId="10" applyNumberFormat="1" applyFont="1" applyBorder="1">
      <alignment vertical="center"/>
    </xf>
    <xf numFmtId="2" fontId="12" fillId="0" borderId="10" xfId="10" applyNumberFormat="1" applyFont="1" applyBorder="1">
      <alignment vertical="center"/>
    </xf>
    <xf numFmtId="10" fontId="12" fillId="0" borderId="10" xfId="10" applyNumberFormat="1" applyFont="1" applyBorder="1">
      <alignment vertical="center"/>
    </xf>
    <xf numFmtId="185" fontId="12" fillId="0" borderId="10" xfId="0" applyNumberFormat="1" applyFont="1" applyBorder="1">
      <alignment vertical="center"/>
    </xf>
    <xf numFmtId="185" fontId="12" fillId="0" borderId="11" xfId="0" applyNumberFormat="1" applyFont="1" applyBorder="1">
      <alignment vertical="center"/>
    </xf>
    <xf numFmtId="0" fontId="12" fillId="0" borderId="4" xfId="0" applyFont="1" applyBorder="1" applyAlignment="1">
      <alignment horizontal="left" vertical="center" indent="1"/>
    </xf>
    <xf numFmtId="184" fontId="12" fillId="0" borderId="0" xfId="10" applyNumberFormat="1" applyFont="1">
      <alignment vertical="center"/>
    </xf>
    <xf numFmtId="49" fontId="12" fillId="3" borderId="0" xfId="0" applyNumberFormat="1" applyFont="1" applyFill="1" applyBorder="1">
      <alignment vertical="center"/>
    </xf>
    <xf numFmtId="2" fontId="12" fillId="0" borderId="0" xfId="0" applyNumberFormat="1" applyFont="1" applyBorder="1">
      <alignment vertical="center"/>
    </xf>
    <xf numFmtId="185" fontId="12" fillId="3" borderId="0" xfId="0" applyNumberFormat="1" applyFont="1" applyFill="1" applyBorder="1">
      <alignment vertical="center"/>
    </xf>
    <xf numFmtId="49" fontId="0" fillId="3" borderId="0" xfId="0" applyNumberFormat="1" applyFont="1" applyFill="1">
      <alignment vertical="center"/>
    </xf>
    <xf numFmtId="0" fontId="0" fillId="2" borderId="0" xfId="0" applyFill="1">
      <alignment vertical="center"/>
    </xf>
    <xf numFmtId="49" fontId="0" fillId="0" borderId="0" xfId="0" quotePrefix="1" applyNumberFormat="1" applyFont="1">
      <alignment vertical="center"/>
    </xf>
    <xf numFmtId="49" fontId="0" fillId="6" borderId="0" xfId="0" quotePrefix="1" applyNumberFormat="1" applyFont="1" applyFill="1">
      <alignment vertical="center"/>
    </xf>
    <xf numFmtId="0" fontId="0" fillId="6" borderId="0" xfId="0" applyNumberFormat="1" applyFont="1" applyFill="1">
      <alignment vertical="center"/>
    </xf>
    <xf numFmtId="0" fontId="0" fillId="6" borderId="0" xfId="0" applyFont="1" applyFill="1">
      <alignment vertical="center"/>
    </xf>
    <xf numFmtId="9" fontId="12" fillId="0" borderId="4" xfId="10" applyFont="1" applyBorder="1">
      <alignment vertical="center"/>
    </xf>
    <xf numFmtId="9" fontId="12" fillId="0" borderId="0" xfId="10" applyFont="1" applyBorder="1">
      <alignment vertical="center"/>
    </xf>
    <xf numFmtId="9" fontId="12" fillId="0" borderId="5" xfId="10" applyFont="1" applyBorder="1">
      <alignment vertical="center"/>
    </xf>
    <xf numFmtId="9" fontId="12" fillId="0" borderId="0" xfId="10" applyFont="1">
      <alignment vertical="center"/>
    </xf>
    <xf numFmtId="2" fontId="12" fillId="0" borderId="7" xfId="0" applyNumberFormat="1" applyFont="1" applyBorder="1">
      <alignment vertical="center"/>
    </xf>
    <xf numFmtId="2" fontId="12" fillId="0" borderId="10" xfId="0" applyNumberFormat="1" applyFont="1" applyBorder="1">
      <alignment vertical="center"/>
    </xf>
    <xf numFmtId="186" fontId="12" fillId="0" borderId="0" xfId="0" applyNumberFormat="1" applyFont="1" applyBorder="1">
      <alignment vertical="center"/>
    </xf>
    <xf numFmtId="186" fontId="12" fillId="0" borderId="7" xfId="0" applyNumberFormat="1" applyFont="1" applyBorder="1">
      <alignment vertical="center"/>
    </xf>
    <xf numFmtId="186" fontId="12" fillId="0" borderId="2" xfId="0" applyNumberFormat="1" applyFont="1" applyBorder="1">
      <alignment vertical="center"/>
    </xf>
    <xf numFmtId="186" fontId="12" fillId="0" borderId="10" xfId="0" applyNumberFormat="1" applyFont="1" applyBorder="1">
      <alignment vertical="center"/>
    </xf>
    <xf numFmtId="186" fontId="12" fillId="0" borderId="0" xfId="10" applyNumberFormat="1" applyFont="1" applyBorder="1">
      <alignment vertical="center"/>
    </xf>
    <xf numFmtId="187" fontId="12" fillId="0" borderId="2" xfId="10" applyNumberFormat="1" applyFont="1" applyBorder="1">
      <alignment vertical="center"/>
    </xf>
    <xf numFmtId="187" fontId="12" fillId="0" borderId="0" xfId="10" applyNumberFormat="1" applyFont="1" applyBorder="1">
      <alignment vertical="center"/>
    </xf>
    <xf numFmtId="187" fontId="12" fillId="0" borderId="7" xfId="10" applyNumberFormat="1" applyFont="1" applyBorder="1">
      <alignment vertical="center"/>
    </xf>
    <xf numFmtId="187" fontId="12" fillId="0" borderId="10" xfId="10" applyNumberFormat="1" applyFont="1" applyBorder="1">
      <alignment vertical="center"/>
    </xf>
    <xf numFmtId="1" fontId="12" fillId="0" borderId="0" xfId="10" applyNumberFormat="1" applyFont="1" applyBorder="1">
      <alignment vertical="center"/>
    </xf>
    <xf numFmtId="1" fontId="12" fillId="0" borderId="0" xfId="0" applyNumberFormat="1" applyFont="1" applyBorder="1">
      <alignment vertical="center"/>
    </xf>
    <xf numFmtId="1" fontId="12" fillId="0" borderId="2" xfId="0" applyNumberFormat="1" applyFont="1" applyBorder="1">
      <alignment vertical="center"/>
    </xf>
    <xf numFmtId="1" fontId="12" fillId="0" borderId="7" xfId="0" applyNumberFormat="1" applyFont="1" applyBorder="1">
      <alignment vertical="center"/>
    </xf>
    <xf numFmtId="1" fontId="12" fillId="0" borderId="10" xfId="0" applyNumberFormat="1" applyFont="1" applyBorder="1">
      <alignment vertical="center"/>
    </xf>
    <xf numFmtId="0" fontId="12" fillId="3" borderId="0" xfId="0" applyFont="1" applyFill="1" applyBorder="1">
      <alignment vertical="center"/>
    </xf>
    <xf numFmtId="2" fontId="12" fillId="3" borderId="0" xfId="0" applyNumberFormat="1" applyFont="1" applyFill="1" applyBorder="1">
      <alignment vertical="center"/>
    </xf>
    <xf numFmtId="187" fontId="12" fillId="3" borderId="0" xfId="10" applyNumberFormat="1" applyFont="1" applyFill="1" applyBorder="1">
      <alignment vertical="center"/>
    </xf>
    <xf numFmtId="184" fontId="12" fillId="3" borderId="0" xfId="10" applyNumberFormat="1" applyFont="1" applyFill="1" applyBorder="1">
      <alignment vertical="center"/>
    </xf>
    <xf numFmtId="49" fontId="12" fillId="3" borderId="2" xfId="0" applyNumberFormat="1" applyFont="1" applyFill="1" applyBorder="1">
      <alignment vertical="center"/>
    </xf>
    <xf numFmtId="0" fontId="12" fillId="3" borderId="2" xfId="0" applyFont="1" applyFill="1" applyBorder="1">
      <alignment vertical="center"/>
    </xf>
    <xf numFmtId="2" fontId="12" fillId="3" borderId="2" xfId="0" applyNumberFormat="1" applyFont="1" applyFill="1" applyBorder="1">
      <alignment vertical="center"/>
    </xf>
    <xf numFmtId="187" fontId="12" fillId="3" borderId="2" xfId="10" applyNumberFormat="1" applyFont="1" applyFill="1" applyBorder="1">
      <alignment vertical="center"/>
    </xf>
    <xf numFmtId="184" fontId="12" fillId="3" borderId="2" xfId="10" applyNumberFormat="1" applyFont="1" applyFill="1" applyBorder="1">
      <alignment vertical="center"/>
    </xf>
    <xf numFmtId="0" fontId="12" fillId="0" borderId="9" xfId="0" applyFont="1" applyBorder="1">
      <alignment vertical="center"/>
    </xf>
    <xf numFmtId="49" fontId="12" fillId="3" borderId="10" xfId="0" applyNumberFormat="1" applyFont="1" applyFill="1" applyBorder="1">
      <alignment vertical="center"/>
    </xf>
    <xf numFmtId="0" fontId="12" fillId="3" borderId="10" xfId="0" applyFont="1" applyFill="1" applyBorder="1">
      <alignment vertical="center"/>
    </xf>
    <xf numFmtId="2" fontId="12" fillId="3" borderId="10" xfId="0" applyNumberFormat="1" applyFont="1" applyFill="1" applyBorder="1">
      <alignment vertical="center"/>
    </xf>
    <xf numFmtId="187" fontId="12" fillId="3" borderId="10" xfId="10" applyNumberFormat="1" applyFont="1" applyFill="1" applyBorder="1">
      <alignment vertical="center"/>
    </xf>
    <xf numFmtId="184" fontId="12" fillId="3" borderId="10" xfId="10" applyNumberFormat="1" applyFont="1" applyFill="1" applyBorder="1">
      <alignment vertical="center"/>
    </xf>
    <xf numFmtId="10" fontId="12" fillId="3" borderId="10" xfId="10" applyNumberFormat="1" applyFont="1" applyFill="1" applyBorder="1">
      <alignment vertical="center"/>
    </xf>
  </cellXfs>
  <cellStyles count="11">
    <cellStyle name="一般" xfId="0" builtinId="0"/>
    <cellStyle name="一般 19" xfId="4"/>
    <cellStyle name="一般 2" xfId="7"/>
    <cellStyle name="一般 27" xfId="3"/>
    <cellStyle name="一般 32" xfId="1"/>
    <cellStyle name="一般 33" xfId="2"/>
    <cellStyle name="千分位 2" xfId="5"/>
    <cellStyle name="千分位 3" xfId="8"/>
    <cellStyle name="百分比" xfId="10" builtinId="5"/>
    <cellStyle name="百分比 2" xfId="6"/>
    <cellStyle name="百分比 3" xfId="9"/>
  </cellStyles>
  <dxfs count="116">
    <dxf>
      <font>
        <b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CCCC00"/>
        </patternFill>
      </fill>
    </dxf>
    <dxf>
      <fill>
        <patternFill>
          <bgColor rgb="FFCCCC00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CCCC00"/>
        </patternFill>
      </fill>
    </dxf>
    <dxf>
      <fill>
        <patternFill>
          <bgColor rgb="FFCCCC00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CCCC00"/>
        </patternFill>
      </fill>
    </dxf>
    <dxf>
      <fill>
        <patternFill>
          <bgColor rgb="FFCCCC00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CCCC00"/>
        </patternFill>
      </fill>
    </dxf>
    <dxf>
      <fill>
        <patternFill>
          <bgColor rgb="FFCCCC00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CCCC00"/>
        </patternFill>
      </fill>
    </dxf>
    <dxf>
      <fill>
        <patternFill>
          <bgColor rgb="FFCCCC00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CCCC00"/>
        </patternFill>
      </fill>
    </dxf>
    <dxf>
      <fill>
        <patternFill>
          <bgColor rgb="FFCCCC00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CCCC00"/>
        </patternFill>
      </fill>
    </dxf>
    <dxf>
      <fill>
        <patternFill>
          <bgColor rgb="FFCCCC00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CCCC00"/>
        </patternFill>
      </fill>
    </dxf>
    <dxf>
      <fill>
        <patternFill>
          <bgColor rgb="FFCCCC00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CCCC00"/>
        </patternFill>
      </fill>
    </dxf>
    <dxf>
      <fill>
        <patternFill>
          <bgColor rgb="FFCCCC00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CCCC00"/>
        </patternFill>
      </fill>
    </dxf>
    <dxf>
      <fill>
        <patternFill>
          <bgColor rgb="FFCCCC00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CCCC00"/>
        </patternFill>
      </fill>
    </dxf>
    <dxf>
      <fill>
        <patternFill>
          <bgColor rgb="FFCCCC00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CCCC00"/>
        </patternFill>
      </fill>
    </dxf>
    <dxf>
      <fill>
        <patternFill>
          <bgColor rgb="FFCCCC00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CCCC00"/>
        </patternFill>
      </fill>
    </dxf>
    <dxf>
      <fill>
        <patternFill>
          <bgColor rgb="FFCCCC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kgi.tw.der.pricertdserver.2014.1">
      <tp>
        <v>0</v>
        <stp/>
        <stp>DX-Z21_Time:NYBOT@Master</stp>
        <tr r="G87" s="12"/>
      </tp>
      <tp t="s">
        <v>20210514_151459398</v>
        <stp/>
        <stp>DX-U21_Time:NYBOT@Master</stp>
        <tr r="G86" s="12"/>
      </tp>
      <tp t="s">
        <v>20210514_151459148</v>
        <stp/>
        <stp>DX-M21_Time:NYBOT@Master</stp>
        <tr r="G85" s="12"/>
      </tp>
      <tp t="e">
        <v>#N/A</v>
        <stp/>
        <stp>SI-Q21:NYMEX@IDC54</stp>
        <tr r="F118" s="12"/>
      </tp>
      <tp>
        <v>4.6689999999999996</v>
        <stp/>
        <stp>HG-Q21:NYMEX@IDC54</stp>
        <tr r="F136" s="12"/>
      </tp>
      <tp>
        <v>63.73</v>
        <stp/>
        <stp>CL-Q21:NYMEX@IDC54</stp>
        <tr r="F18" s="12"/>
      </tp>
      <tp>
        <v>1835.4</v>
        <stp/>
        <stp>GC-Q21:NYMEX@IDC54</stp>
        <tr r="F61" s="12"/>
      </tp>
      <tp t="e">
        <v>#N/A</v>
        <stp/>
        <stp>DX-H22_Time:NYBOT@Master</stp>
        <tr r="G88" s="12"/>
      </tp>
    </main>
    <main first="kgi.tw.der.pricertdserver.2014.1">
      <tp>
        <v>27.34</v>
        <stp/>
        <stp>SI-U21:NYMEX@IDC54</stp>
        <tr r="F119" s="12"/>
      </tp>
      <tp>
        <v>4.67</v>
        <stp/>
        <stp>HG-U21:NYMEX@IDC54</stp>
        <tr r="F137" s="12"/>
      </tp>
      <tp>
        <v>63.42</v>
        <stp/>
        <stp>CL-U21:NYMEX@IDC54</stp>
        <tr r="F19" s="12"/>
      </tp>
    </main>
    <main first="kgi.tw.der.pricertdserver.2014.1">
      <tp t="e">
        <v>#N/A</v>
        <stp/>
        <stp>SI-V21:NYMEX@IDC54</stp>
        <tr r="F120" s="12"/>
      </tp>
      <tp>
        <v>4.6555</v>
        <stp/>
        <stp>HG-V21:NYMEX@IDC54</stp>
        <tr r="F138" s="12"/>
      </tp>
      <tp>
        <v>62.87</v>
        <stp/>
        <stp>CL-V21:NYMEX@IDC54</stp>
        <tr r="F20" s="12"/>
      </tp>
      <tp>
        <v>1838.4</v>
        <stp/>
        <stp>GC-V21:NYMEX@IDC54</stp>
        <tr r="F56" s="12"/>
      </tp>
    </main>
    <main first="kgi.tw.der.pricertdserver.2014.1">
      <tp>
        <v>24.92</v>
        <stp/>
        <stp>VX-X21:CFE@IDC54</stp>
        <tr r="F13" s="12"/>
      </tp>
      <tp>
        <v>24.7</v>
        <stp/>
        <stp>VX-Q21:CFE@IDC54</stp>
        <tr r="F10" s="12"/>
      </tp>
      <tp>
        <v>25.1</v>
        <stp/>
        <stp>VX-U21:CFE@IDC54</stp>
        <tr r="F11" s="12"/>
      </tp>
      <tp>
        <v>25.15</v>
        <stp/>
        <stp>VX-V21:CFE@IDC54</stp>
        <tr r="F12" s="12"/>
      </tp>
      <tp t="e">
        <v>#N/A</v>
        <stp/>
        <stp>VX-H21:CFE@IDC54</stp>
        <tr r="F14" s="12"/>
      </tp>
      <tp>
        <v>21.8</v>
        <stp/>
        <stp>VX-K21:CFE@IDC54</stp>
        <tr r="F16" s="12"/>
      </tp>
      <tp t="e">
        <v>#N/A</v>
        <stp/>
        <stp>VX-J21:CFE@IDC54</stp>
        <tr r="F15" s="12"/>
      </tp>
      <tp>
        <v>23.5</v>
        <stp/>
        <stp>VX-M21:CFE@IDC54</stp>
        <tr r="F8" s="12"/>
      </tp>
      <tp>
        <v>24.43</v>
        <stp/>
        <stp>VX-N21:CFE@IDC54</stp>
        <tr r="F9" s="12"/>
      </tp>
    </main>
    <main first="kgi.tw.der.pricertdserver.2014.1">
      <tp t="e">
        <v>#N/A</v>
        <stp/>
        <stp>SI-X21:NYMEX@IDC54</stp>
        <tr r="F110" s="12"/>
      </tp>
      <tp t="s">
        <v>20210514_151433782</v>
        <stp/>
        <stp>CNY.FX_Time:FX@IDC54</stp>
        <tr r="G7" s="12"/>
      </tp>
      <tp>
        <v>0</v>
        <stp/>
        <stp>HG-X21:NYMEX@IDC54</stp>
        <tr r="F139" s="12"/>
      </tp>
      <tp>
        <v>62.63</v>
        <stp/>
        <stp>CL-X21:NYMEX@IDC54</stp>
        <tr r="F21" s="12"/>
      </tp>
      <tp t="s">
        <v>20210514_151459750</v>
        <stp/>
        <stp>CNH.FX_Time:FX@IDC54</stp>
        <tr r="G6" s="12"/>
      </tp>
    </main>
    <main first="kgi.tw.der.pricertdserver.2014.1">
      <tp t="e">
        <v>#N/A</v>
        <stp/>
        <stp>HSI-Q21:HKEX@IDC54</stp>
        <tr r="F40" s="12"/>
      </tp>
    </main>
    <main first="kgi.tw.der.pricertdserver.2014.1">
      <tp>
        <v>10174</v>
        <stp/>
        <stp>HHI-U21:HKEX@IDC54</stp>
        <tr r="F96" s="12"/>
      </tp>
    </main>
    <main first="kgi.tw.der.pricertdserver.2014.1">
      <tp t="e">
        <v>#N/A</v>
        <stp/>
        <stp>HHI-F21:HKEX@IDC54</stp>
        <tr r="F93" s="12"/>
      </tp>
      <tp t="e">
        <v>#N/A</v>
        <stp/>
        <stp>HHI-H21:HKEX@IDC54</stp>
        <tr r="F97" s="12"/>
      </tp>
      <tp>
        <v>27742</v>
        <stp/>
        <stp>MHI-M21:HKEX@IDC54</stp>
        <tr r="F44" s="12"/>
      </tp>
      <tp>
        <v>27893</v>
        <stp/>
        <stp>HSI-K21:HKEX@IDC54</stp>
        <tr r="F41" s="12"/>
      </tp>
      <tp t="e">
        <v>#N/A</v>
        <stp/>
        <stp>HHI-J21:HKEX@IDC54</stp>
        <tr r="F94" s="12"/>
      </tp>
      <tp>
        <v>10305</v>
        <stp/>
        <stp>HHI-M21:HKEX@IDC54</stp>
        <tr r="F95" s="12"/>
      </tp>
      <tp t="e">
        <v>#N/A</v>
        <stp/>
        <stp>MHI-H21:HKEX@IDC54</stp>
        <tr r="F45" s="12"/>
      </tp>
      <tp>
        <v>27748</v>
        <stp/>
        <stp>HSI-M21:HKEX@IDC54</stp>
        <tr r="F42" s="12"/>
      </tp>
      <tp t="e">
        <v>#N/A</v>
        <stp/>
        <stp>MHI-J21:HKEX@IDC54</stp>
        <tr r="F46" s="12"/>
      </tp>
      <tp t="e">
        <v>#N/A</v>
        <stp/>
        <stp>NK-H21:SGX@IDC54</stp>
        <tr r="F100" s="12"/>
      </tp>
      <tp>
        <v>28030</v>
        <stp/>
        <stp>NK-M21:SGX@IDC54</stp>
        <tr r="F98" s="12"/>
      </tp>
      <tp>
        <v>-7.9228162514264338E+28</v>
        <stp/>
        <stp>NK-Z21:SGX@IDC54</stp>
        <tr r="F99" s="12"/>
      </tp>
      <tp>
        <v>28055</v>
        <stp/>
        <stp>NK-U21:SGX@IDC54</stp>
        <tr r="F101" s="12"/>
      </tp>
      <tp>
        <v>27893</v>
        <stp/>
        <stp>MHI-K21:HKEX@IDC54</stp>
        <tr r="F43" s="12"/>
      </tp>
      <tp t="e">
        <v>#N/A</v>
        <stp/>
        <stp>HSI-N21:HKEX@IDC54</stp>
        <tr r="F39" s="12"/>
      </tp>
    </main>
    <main first="kgi.tw.der.pricertdserver.2014.1">
      <tp>
        <v>27.42</v>
        <stp/>
        <stp>SI-Z21:NYMEX@IDC54</stp>
        <tr r="F111" s="12"/>
      </tp>
    </main>
    <main first="kgi.tw.der.pricertdserver.2014.1">
      <tp>
        <v>62.31</v>
        <stp/>
        <stp>CL-Z21:NYMEX@IDC54</stp>
        <tr r="F22" s="12"/>
      </tp>
    </main>
    <main first="kgi.tw.der.pricertdserver.2014.1">
      <tp>
        <v>1840.6</v>
        <stp/>
        <stp>GC-Z21:NYMEX@IDC54</stp>
        <tr r="F57" s="12"/>
      </tp>
    </main>
    <main first="kgi.tw.der.pricertdserver.2014.1">
      <tp>
        <v>17276</v>
        <stp/>
        <stp>CN-K21:SGX@IDC54</stp>
        <tr r="F47" s="12"/>
      </tp>
      <tp>
        <v>14682</v>
        <stp/>
        <stp>IN-K21:SGX@IDC54</stp>
        <tr r="F141" s="12"/>
      </tp>
      <tp t="e">
        <v>#N/A</v>
        <stp/>
        <stp>CN-J21:SGX@IDC54</stp>
        <tr r="F49" s="12"/>
      </tp>
      <tp>
        <v>4099.75</v>
        <stp/>
        <stp>ES-Z21:CME@IDC54</stp>
        <tr r="F27" s="12"/>
      </tp>
      <tp>
        <v>17177</v>
        <stp/>
        <stp>CN-M21:SGX@IDC54</stp>
        <tr r="F51" s="12"/>
      </tp>
      <tp>
        <v>14730</v>
        <stp/>
        <stp>IN-M21:SGX@IDC54</stp>
        <tr r="F142" s="12"/>
      </tp>
      <tp>
        <v>17000</v>
        <stp/>
        <stp>CN-N21:SGX@IDC54</stp>
        <tr r="F48" s="12"/>
      </tp>
      <tp t="e">
        <v>#N/A</v>
        <stp/>
        <stp>IN-N21:SGX@IDC54</stp>
        <tr r="F140" s="12"/>
      </tp>
      <tp>
        <v>4121</v>
        <stp/>
        <stp>ES-U21:CME@IDC54</stp>
        <tr r="F30" s="12"/>
      </tp>
      <tp t="e">
        <v>#N/A</v>
        <stp/>
        <stp>ES-H21:CME@IDC54</stp>
        <tr r="F28" s="12"/>
      </tp>
      <tp>
        <v>4130</v>
        <stp/>
        <stp>ES-M21:CME@IDC54</stp>
        <tr r="F29" s="12"/>
      </tp>
      <tp t="e">
        <v>#N/A</v>
        <stp/>
        <stp>CN-Q21:SGX@IDC54</stp>
        <tr r="F50" s="12"/>
      </tp>
    </main>
    <main first="kgi.tw.der.pricertdserver.2014.1">
      <tp t="s">
        <v>20210514_151459664</v>
        <stp/>
        <stp>TWN-K21_Time:SGX@IDC54</stp>
        <tr r="G151" s="12"/>
      </tp>
      <tp t="e">
        <v>#N/A</v>
        <stp/>
        <stp>TWN-J21_Time:SGX@IDC54</stp>
        <tr r="G150" s="12"/>
      </tp>
      <tp t="s">
        <v>20210514_151459663</v>
        <stp/>
        <stp>TWN-N21_Time:SGX@IDC54</stp>
        <tr r="G148" s="12"/>
      </tp>
      <tp t="s">
        <v>20210514_151459664</v>
        <stp/>
        <stp>TWN-M21_Time:SGX@IDC54</stp>
        <tr r="G147" s="12"/>
      </tp>
      <tp>
        <v>27.966999999999999</v>
        <stp/>
        <stp>TWD.FX:FX@IDC54</stp>
        <tr r="F2" s="12"/>
      </tp>
      <tp t="e">
        <v>#N/A</v>
        <stp/>
        <stp>NCH-G21_Time:SGX@IDC54</stp>
        <tr r="G90" s="12"/>
      </tp>
      <tp t="e">
        <v>#N/A</v>
        <stp/>
        <stp>NCH-H21_Time:SGX@IDC54</stp>
        <tr r="G91" s="12"/>
      </tp>
      <tp t="e">
        <v>#N/A</v>
        <stp/>
        <stp>TWN-Q21_Time:SGX@IDC54</stp>
        <tr r="G146" s="12"/>
      </tp>
      <tp t="e">
        <v>#N/A</v>
        <stp/>
        <stp>NCH-K21_Time:SGX@IDC54</stp>
        <tr r="G89" s="12"/>
      </tp>
      <tp t="e">
        <v>#N/A</v>
        <stp/>
        <stp>NCH-J21_Time:SGX@IDC54</stp>
        <tr r="G92" s="12"/>
      </tp>
      <tp t="s">
        <v>20210514_151459664</v>
        <stp/>
        <stp>TWN-U21_Time:SGX@IDC54</stp>
        <tr r="G149" s="12"/>
      </tp>
    </main>
    <main first="kgi.tw.der.pricertdserver.2014.1">
      <tp t="e">
        <v>#N/A</v>
        <stp/>
        <stp>CN-Z20:SGX@IDC54</stp>
        <tr r="F52" s="12"/>
      </tp>
    </main>
    <main first="kgi.tw.der.pricertdserver.2014.1">
      <tp>
        <v>0</v>
        <stp/>
        <stp>NQ-Z21:CME@IDC54</stp>
        <tr r="F31" s="12"/>
      </tp>
      <tp>
        <v>13200.5</v>
        <stp/>
        <stp>NQ-U21:CME@IDC54</stp>
        <tr r="F34" s="12"/>
      </tp>
      <tp t="e">
        <v>#N/A</v>
        <stp/>
        <stp>NQ-H21:CME@IDC54</stp>
        <tr r="F32" s="12"/>
      </tp>
      <tp>
        <v>13197.75</v>
        <stp/>
        <stp>NQ-M21:CME@IDC54</stp>
        <tr r="F33" s="12"/>
      </tp>
    </main>
    <main first="kgi.tw.der.pricertdserver.2014.1">
      <tp t="e">
        <v>#N/A</v>
        <stp/>
        <stp>RTY-M21_Time:CME@IDC54</stp>
        <tr r="G127" s="12"/>
      </tp>
    </main>
    <main first="kgi.tw.der.pricertdserver.2014.1">
      <tp t="e">
        <v>#N/A</v>
        <stp/>
        <stp>RTY-H21_Time:CME@IDC54</stp>
        <tr r="G126" s="12"/>
      </tp>
      <tp t="e">
        <v>#N/A</v>
        <stp/>
        <stp>RTY-Z21_Time:CME@IDC54</stp>
        <tr r="G125" s="12"/>
      </tp>
      <tp t="e">
        <v>#N/A</v>
        <stp/>
        <stp>RTY-U21_Time:CME@IDC54</stp>
        <tr r="G128" s="12"/>
      </tp>
    </main>
    <main first="kgi.tw.der.pricertdserver.2014.1">
      <tp t="s">
        <v>20210514_151456274</v>
        <stp/>
        <stp>TWD.FX_Time:FX@IDC54</stp>
        <tr r="G2" s="12"/>
      </tp>
    </main>
    <main first="kgi.tw.der.pricertdserver.2014.1">
      <tp>
        <v>-7.9228162514264338E+28</v>
        <stp/>
        <stp>00830_BidPrice:V_INDEX@Master</stp>
        <tr r="I179" s="11"/>
      </tp>
      <tp>
        <v>-7.9228162514264338E+28</v>
        <stp/>
        <stp>00858_BidPrice:V_INDEX@Master</stp>
        <tr r="I202" s="11"/>
      </tp>
      <tp>
        <v>31.9796427827435</v>
        <stp/>
        <stp>00850_BidPrice:V_INDEX@Master</stp>
        <tr r="I196" s="11"/>
      </tp>
      <tp>
        <v>-7.9228162514264338E+28</v>
        <stp/>
        <stp>00851_BidPrice:V_INDEX@Master</stp>
        <tr r="I197" s="11"/>
      </tp>
      <tp>
        <v>-7.9228162514264338E+28</v>
        <stp/>
        <stp>00861_BidPrice:V_INDEX@Master</stp>
        <tr r="I205" s="11"/>
      </tp>
      <tp>
        <v>17.914769028311415</v>
        <stp/>
        <stp>00878_BidPrice:V_INDEX@Master</stp>
        <tr r="I217" s="11"/>
      </tp>
      <tp>
        <v>-7.9228162514264338E+28</v>
        <stp/>
        <stp>00876_BidPrice:V_INDEX@Master</stp>
        <tr r="I216" s="11"/>
      </tp>
      <tp>
        <v>-7.9228162514264338E+28</v>
        <stp/>
        <stp>00875_BidPrice:V_INDEX@Master</stp>
        <tr r="I215" s="11"/>
      </tp>
      <tp>
        <v>-7.9228162514264338E+28</v>
        <stp/>
        <stp>00888_BidPrice:V_INDEX@Master</stp>
        <tr r="I226" s="11"/>
      </tp>
      <tp>
        <v>-7.9228162514264338E+28</v>
        <stp/>
        <stp>00882_BidPrice:V_INDEX@Master</stp>
        <tr r="I221" s="11"/>
      </tp>
      <tp>
        <v>-7.9228162514264338E+28</v>
        <stp/>
        <stp>00881_BidPrice:V_INDEX@Master</stp>
        <tr r="I220" s="11"/>
      </tp>
      <tp>
        <v>-7.9228162514264338E+28</v>
        <stp/>
        <stp>00886_BidPrice:V_INDEX@Master</stp>
        <tr r="I224" s="11"/>
      </tp>
      <tp>
        <v>-7.9228162514264338E+28</v>
        <stp/>
        <stp>00887_BidPrice:V_INDEX@Master</stp>
        <tr r="I225" s="11"/>
      </tp>
      <tp>
        <v>-7.9228162514264338E+28</v>
        <stp/>
        <stp>00885_BidPrice:V_INDEX@Master</stp>
        <tr r="I227" s="11"/>
      </tp>
    </main>
    <main first="kgi.tw.der.pricertdserver.2014.1">
      <tp t="e">
        <v>#N/A</v>
        <stp/>
        <stp>TW-H21:SGX@IDC54</stp>
        <tr r="F84" s="12"/>
      </tp>
      <tp t="e">
        <v>#N/A</v>
        <stp/>
        <stp>6J-Z21:CME@IDC54</stp>
        <tr r="F144" s="12"/>
      </tp>
      <tp>
        <v>9.1400000000000006E-3</v>
        <stp/>
        <stp>6J-U21:CME@IDC54</stp>
        <tr r="F143" s="12"/>
      </tp>
      <tp t="e">
        <v>#N/A</v>
        <stp/>
        <stp>TW-F21:SGX@IDC54</stp>
        <tr r="F83" s="12"/>
      </tp>
      <tp>
        <v>9.1435000000000006E-3</v>
        <stp/>
        <stp>6J-M21:CME@IDC54</stp>
        <tr r="F145" s="12"/>
      </tp>
    </main>
    <main first="kgi.tw.der.pricertdserver.2014.1">
      <tp t="e">
        <v>#N/A</v>
        <stp/>
        <stp>HG-F21:NYMEX@IDC54</stp>
        <tr r="F129" s="12"/>
      </tp>
    </main>
    <main first="kgi.tw.der.pricertdserver.2014.1">
      <tp>
        <v>-7.9228162514264338E+28</v>
        <stp/>
        <stp>00885_AskPrice:V_INDEX@Master</stp>
        <tr r="J227" s="11"/>
      </tp>
      <tp>
        <v>-7.9228162514264338E+28</v>
        <stp/>
        <stp>00887_AskPrice:V_INDEX@Master</stp>
        <tr r="J225" s="11"/>
      </tp>
      <tp>
        <v>-7.9228162514264338E+28</v>
        <stp/>
        <stp>00886_AskPrice:V_INDEX@Master</stp>
        <tr r="J224" s="11"/>
      </tp>
      <tp>
        <v>-7.9228162514264338E+28</v>
        <stp/>
        <stp>00881_AskPrice:V_INDEX@Master</stp>
        <tr r="J220" s="11"/>
      </tp>
      <tp>
        <v>-7.9228162514264338E+28</v>
        <stp/>
        <stp>00882_AskPrice:V_INDEX@Master</stp>
        <tr r="J221" s="11"/>
      </tp>
      <tp>
        <v>-7.9228162514264338E+28</v>
        <stp/>
        <stp>00888_AskPrice:V_INDEX@Master</stp>
        <tr r="J226" s="11"/>
      </tp>
    </main>
    <main first="kgi.tw.der.pricertdserver.2014.1">
      <tp>
        <v>-7.9228162514264338E+28</v>
        <stp/>
        <stp>00830_AskPrice:V_INDEX@Master</stp>
        <tr r="J179" s="11"/>
      </tp>
    </main>
    <main first="kgi.tw.der.pricertdserver.2014.1">
      <tp>
        <v>-7.9228162514264338E+28</v>
        <stp/>
        <stp>00861_AskPrice:V_INDEX@Master</stp>
        <tr r="J205" s="11"/>
      </tp>
      <tp>
        <v>-7.9228162514264338E+28</v>
        <stp/>
        <stp>00875_AskPrice:V_INDEX@Master</stp>
        <tr r="J215" s="11"/>
      </tp>
      <tp>
        <v>-7.9228162514264338E+28</v>
        <stp/>
        <stp>00876_AskPrice:V_INDEX@Master</stp>
        <tr r="J216" s="11"/>
      </tp>
      <tp>
        <v>17.950923712581069</v>
        <stp/>
        <stp>00878_AskPrice:V_INDEX@Master</stp>
        <tr r="J217" s="11"/>
      </tp>
      <tp>
        <v>-7.9228162514264338E+28</v>
        <stp/>
        <stp>00851_AskPrice:V_INDEX@Master</stp>
        <tr r="J197" s="11"/>
      </tp>
      <tp>
        <v>32.04615957592106</v>
        <stp/>
        <stp>00850_AskPrice:V_INDEX@Master</stp>
        <tr r="J196" s="11"/>
      </tp>
      <tp>
        <v>-7.9228162514264338E+28</v>
        <stp/>
        <stp>00858_AskPrice:V_INDEX@Master</stp>
        <tr r="J202" s="11"/>
      </tp>
    </main>
    <main first="kgi.tw.der.pricertdserver.2014.1">
      <tp t="e">
        <v>#N/A</v>
        <stp/>
        <stp>SI-G21:NYMEX@IDC54</stp>
        <tr r="F112" s="12"/>
      </tp>
      <tp t="e">
        <v>#N/A</v>
        <stp/>
        <stp>HG-G21:NYMEX@IDC54</stp>
        <tr r="F130" s="12"/>
      </tp>
    </main>
    <main first="kgi.tw.der.pricertdserver.2014.1">
      <tp>
        <v>0</v>
        <stp/>
        <stp>GC-G22:NYMEX@IDC54</stp>
        <tr r="F58" s="12"/>
      </tp>
    </main>
    <main first="kgi.tw.der.pricertdserver.2014.1">
      <tp>
        <v>-7.9228162514264338E+28</v>
        <stp/>
        <stp>00783_AskPrice:V_INDEX@Master</stp>
        <tr r="J163" s="11"/>
      </tp>
      <tp>
        <v>26.321424293964082</v>
        <stp/>
        <stp>00728_AskPrice:V_INDEX@Master</stp>
        <tr r="J112" s="11"/>
      </tp>
      <tp>
        <v>-7.9228162514264338E+28</v>
        <stp/>
        <stp>00735_AskPrice:V_INDEX@Master</stp>
        <tr r="J118" s="11"/>
      </tp>
      <tp>
        <v>-7.9228162514264338E+28</v>
        <stp/>
        <stp>00737_AskPrice:V_INDEX@Master</stp>
        <tr r="J120" s="11"/>
      </tp>
      <tp>
        <v>-7.9228162514264338E+28</v>
        <stp/>
        <stp>00736_AskPrice:V_INDEX@Master</stp>
        <tr r="J119" s="11"/>
      </tp>
      <tp>
        <v>55.705966822580642</v>
        <stp/>
        <stp>00731_AskPrice:V_INDEX@Master</stp>
        <tr r="J114" s="11"/>
      </tp>
      <tp>
        <v>20.460048948004463</v>
        <stp/>
        <stp>00730_AskPrice:V_INDEX@Master</stp>
        <tr r="J113" s="11"/>
      </tp>
      <tp>
        <v>37.495294136062611</v>
        <stp/>
        <stp>00733_AskPrice:V_INDEX@Master</stp>
        <tr r="J116" s="11"/>
      </tp>
      <tp>
        <v>-7.9228162514264338E+28</v>
        <stp/>
        <stp>00732_AskPrice:V_INDEX@Master</stp>
        <tr r="J115" s="11"/>
      </tp>
      <tp>
        <v>-7.9228162514264338E+28</v>
        <stp/>
        <stp>00739_AskPrice:V_INDEX@Master</stp>
        <tr r="J122" s="11"/>
      </tp>
      <tp>
        <v>-7.9228162514264338E+28</v>
        <stp/>
        <stp>00701_AskPrice:V_INDEX@Master</stp>
        <tr r="J88" s="11"/>
      </tp>
      <tp>
        <v>-7.9228162514264338E+28</v>
        <stp/>
        <stp>00700_AskPrice:V_INDEX@Master</stp>
        <tr r="J87" s="11"/>
      </tp>
      <tp>
        <v>-7.9228162514264338E+28</v>
        <stp/>
        <stp>00703_AskPrice:V_INDEX@Master</stp>
        <tr r="J90" s="11"/>
      </tp>
      <tp>
        <v>-7.9228162514264338E+28</v>
        <stp/>
        <stp>00702_AskPrice:V_INDEX@Master</stp>
        <tr r="J89" s="11"/>
      </tp>
      <tp>
        <v>-7.9228162514264338E+28</v>
        <stp/>
        <stp>00709_AskPrice:V_INDEX@Master</stp>
        <tr r="J94" s="11"/>
      </tp>
      <tp>
        <v>-7.9228162514264338E+28</v>
        <stp/>
        <stp>00714_AskPrice:V_INDEX@Master</stp>
        <tr r="J99" s="11"/>
      </tp>
      <tp>
        <v>-7.9228162514264338E+28</v>
        <stp/>
        <stp>00717_AskPrice:V_INDEX@Master</stp>
        <tr r="J101" s="11"/>
      </tp>
      <tp>
        <v>-7.9228162514264338E+28</v>
        <stp/>
        <stp>00713_AskPrice:V_INDEX@Master</stp>
        <tr r="J98" s="11"/>
      </tp>
      <tp>
        <v>-7.9228162514264338E+28</v>
        <stp/>
        <stp>00712_AskPrice:V_INDEX@Master</stp>
        <tr r="J97" s="11"/>
      </tp>
      <tp>
        <v>-7.9228162514264338E+28</v>
        <stp/>
        <stp>00762_AskPrice:V_INDEX@Master</stp>
        <tr r="J145" s="11"/>
      </tp>
      <tp>
        <v>-7.9228162514264338E+28</v>
        <stp/>
        <stp>00771_AskPrice:V_INDEX@Master</stp>
        <tr r="J151" s="11"/>
      </tp>
      <tp>
        <v>-7.9228162514264338E+28</v>
        <stp/>
        <stp>00770_AskPrice:V_INDEX@Master</stp>
        <tr r="J150" s="11"/>
      </tp>
      <tp>
        <v>-7.9228162514264338E+28</v>
        <stp/>
        <stp>00743_AskPrice:V_INDEX@Master</stp>
        <tr r="J126" s="11"/>
      </tp>
      <tp>
        <v>-7.9228162514264338E+28</v>
        <stp/>
        <stp>00742_AskPrice:V_INDEX@Master</stp>
        <tr r="J125" s="11"/>
      </tp>
      <tp>
        <v>-7.9228162514264338E+28</v>
        <stp/>
        <stp>00757_AskPrice:V_INDEX@Master</stp>
        <tr r="J140" s="11"/>
      </tp>
      <tp>
        <v>-7.9228162514264338E+28</v>
        <stp/>
        <stp>00752_AskPrice:V_INDEX@Master</stp>
        <tr r="J135" s="11"/>
      </tp>
    </main>
    <main first="kgi.tw.der.pricertdserver.2014.1">
      <tp t="e">
        <v>#N/A</v>
        <stp/>
        <stp>SI-H21:NYMEX@IDC54</stp>
        <tr r="F113" s="12"/>
      </tp>
      <tp>
        <v>32.977377630291656</v>
        <stp/>
        <stp>00692:V_INDEX@Master</stp>
        <tr r="H81" s="11"/>
      </tp>
      <tp>
        <v>30.665749549878345</v>
        <stp/>
        <stp>00690:V_INDEX@Master</stp>
        <tr r="H80" s="11"/>
      </tp>
      <tp>
        <v>27.3</v>
        <stp/>
        <stp>00636:V_INDEX@Master</stp>
        <tr r="H28" s="11"/>
      </tp>
      <tp>
        <v>16.72</v>
        <stp/>
        <stp>00639:V_INDEX@Master</stp>
        <tr r="H32" s="11"/>
      </tp>
      <tp>
        <v>47.18</v>
        <stp/>
        <stp>00662:V_INDEX@Master</stp>
        <tr r="H53" s="11"/>
      </tp>
      <tp>
        <v>28.32</v>
        <stp/>
        <stp>00660:V_INDEX@Master</stp>
        <tr r="H51" s="11"/>
      </tp>
      <tp>
        <v>35.409999999999997</v>
        <stp/>
        <stp>00661:V_INDEX@Master</stp>
        <tr r="H52" s="11"/>
      </tp>
      <tp>
        <v>34.44</v>
        <stp/>
        <stp>00668:V_INDEX@Master</stp>
        <tr r="H58" s="11"/>
      </tp>
      <tp>
        <v>26.34</v>
        <stp/>
        <stp>00678:V_INDEX@Master</stp>
        <tr r="H68" s="11"/>
      </tp>
      <tp>
        <v>35.229999999999997</v>
        <stp/>
        <stp>00646:V_INDEX@Master</stp>
        <tr r="H39" s="11"/>
      </tp>
      <tp>
        <v>24.68</v>
        <stp/>
        <stp>00645:V_INDEX@Master</stp>
        <tr r="H38" s="11"/>
      </tp>
      <tp>
        <v>17.440000000000001</v>
        <stp/>
        <stp>00643:V_INDEX@Master</stp>
        <tr r="H36" s="11"/>
      </tp>
      <tp>
        <v>34.409999999999997</v>
        <stp/>
        <stp>00657:V_INDEX@Master</stp>
        <tr r="H49" s="11"/>
      </tp>
      <tp>
        <v>25.17</v>
        <stp/>
        <stp>00652:V_INDEX@Master</stp>
        <tr r="H44" s="11"/>
      </tp>
      <tp>
        <v>22.28</v>
        <stp/>
        <stp>00783:V_INDEX@Master</stp>
        <tr r="H163" s="11"/>
      </tp>
      <tp>
        <v>26.304895084777048</v>
        <stp/>
        <stp>00728:V_INDEX@Master</stp>
        <tr r="H112" s="11"/>
      </tp>
      <tp>
        <v>22.49</v>
        <stp/>
        <stp>00736:V_INDEX@Master</stp>
        <tr r="H119" s="11"/>
      </tp>
      <tp>
        <v>30.13</v>
        <stp/>
        <stp>00737:V_INDEX@Master</stp>
        <tr r="H120" s="11"/>
      </tp>
      <tp>
        <v>31.75</v>
        <stp/>
        <stp>00735:V_INDEX@Master</stp>
        <tr r="H118" s="11"/>
      </tp>
      <tp>
        <v>39.711799999999997</v>
        <stp/>
        <stp>00732:V_INDEX@Master</stp>
        <tr r="H115" s="11"/>
      </tp>
      <tp>
        <v>37.447606420830823</v>
        <stp/>
        <stp>00733:V_INDEX@Master</stp>
        <tr r="H116" s="11"/>
      </tp>
      <tp>
        <v>20.442619104022064</v>
        <stp/>
        <stp>00730:V_INDEX@Master</stp>
        <tr r="H113" s="11"/>
      </tp>
      <tp>
        <v>55.685262516129029</v>
        <stp/>
        <stp>00731:V_INDEX@Master</stp>
        <tr r="H114" s="11"/>
      </tp>
      <tp>
        <v>27.96</v>
        <stp/>
        <stp>00739:V_INDEX@Master</stp>
        <tr r="H122" s="11"/>
      </tp>
      <tp>
        <v>20.85</v>
        <stp/>
        <stp>00702:V_INDEX@Master</stp>
        <tr r="H89" s="11"/>
      </tp>
      <tp>
        <v>23.48</v>
        <stp/>
        <stp>00703:V_INDEX@Master</stp>
        <tr r="H90" s="11"/>
      </tp>
      <tp>
        <v>18.48</v>
        <stp/>
        <stp>00700:V_INDEX@Master</stp>
        <tr r="H87" s="11"/>
      </tp>
      <tp>
        <v>23.49</v>
        <stp/>
        <stp>00701:V_INDEX@Master</stp>
        <tr r="H88" s="11"/>
      </tp>
      <tp>
        <v>23.21</v>
        <stp/>
        <stp>00709:V_INDEX@Master</stp>
        <tr r="H94" s="11"/>
      </tp>
      <tp>
        <v>16.64</v>
        <stp/>
        <stp>00717:V_INDEX@Master</stp>
        <tr r="H101" s="11"/>
      </tp>
      <tp>
        <v>20.63</v>
        <stp/>
        <stp>00714:V_INDEX@Master</stp>
        <tr r="H99" s="11"/>
      </tp>
      <tp>
        <v>13.93</v>
        <stp/>
        <stp>00712:V_INDEX@Master</stp>
        <tr r="H97" s="11"/>
      </tp>
      <tp>
        <v>40.630000000000003</v>
        <stp/>
        <stp>00713:V_INDEX@Master</stp>
        <tr r="H98" s="11"/>
      </tp>
      <tp>
        <v>34.72</v>
        <stp/>
        <stp>00762:V_INDEX@Master</stp>
        <tr r="H145" s="11"/>
      </tp>
      <tp>
        <v>33.130000000000003</v>
        <stp/>
        <stp>00770:V_INDEX@Master</stp>
        <tr r="H150" s="11"/>
      </tp>
      <tp>
        <v>19.14</v>
        <stp/>
        <stp>00771:V_INDEX@Master</stp>
        <tr r="H151" s="11"/>
      </tp>
      <tp>
        <v>21.73</v>
        <stp/>
        <stp>00742:V_INDEX@Master</stp>
        <tr r="H125" s="11"/>
      </tp>
      <tp>
        <v>29.17</v>
        <stp/>
        <stp>00743:V_INDEX@Master</stp>
        <tr r="H126" s="11"/>
      </tp>
      <tp>
        <v>42.74</v>
        <stp/>
        <stp>00757:V_INDEX@Master</stp>
        <tr r="H140" s="11"/>
      </tp>
      <tp>
        <v>27.39</v>
        <stp/>
        <stp>00752:V_INDEX@Master</stp>
        <tr r="H135" s="11"/>
      </tp>
      <tp t="e">
        <v>#N/A</v>
        <stp/>
        <stp>HG-H21:NYMEX@IDC54</stp>
        <tr r="F131" s="12"/>
      </tp>
      <tp t="e">
        <v>#N/A</v>
        <stp/>
        <stp>CL-H21:NYMEX@IDC54</stp>
        <tr r="F23" s="12"/>
      </tp>
      <tp>
        <v>19.61</v>
        <stp/>
        <stp>00886:V_INDEX@Master</stp>
        <tr r="H224" s="11"/>
      </tp>
      <tp>
        <v>21.03</v>
        <stp/>
        <stp>00887:V_INDEX@Master</stp>
        <tr r="H225" s="11"/>
      </tp>
      <tp>
        <v>15.14</v>
        <stp/>
        <stp>00885:V_INDEX@Master</stp>
        <tr r="H227" s="11"/>
      </tp>
      <tp>
        <v>15.87</v>
        <stp/>
        <stp>00882:V_INDEX@Master</stp>
        <tr r="H221" s="11"/>
      </tp>
      <tp>
        <v>16.329999999999998</v>
        <stp/>
        <stp>00881:V_INDEX@Master</stp>
        <tr r="H220" s="11"/>
      </tp>
      <tp>
        <v>14.23</v>
        <stp/>
        <stp>00888:V_INDEX@Master</stp>
        <tr r="H226" s="11"/>
      </tp>
      <tp>
        <v>25.58</v>
        <stp/>
        <stp>00830:V_INDEX@Master</stp>
        <tr r="H179" s="11"/>
      </tp>
      <tp>
        <v>27.59</v>
        <stp/>
        <stp>00861:V_INDEX@Master</stp>
        <tr r="H205" s="11"/>
      </tp>
      <tp>
        <v>26.92</v>
        <stp/>
        <stp>00876:V_INDEX@Master</stp>
        <tr r="H216" s="11"/>
      </tp>
      <tp>
        <v>29.37</v>
        <stp/>
        <stp>00875:V_INDEX@Master</stp>
        <tr r="H215" s="11"/>
      </tp>
      <tp>
        <v>17.935389439624654</v>
        <stp/>
        <stp>00878:V_INDEX@Master</stp>
        <tr r="H217" s="11"/>
      </tp>
      <tp>
        <v>32.032158391832823</v>
        <stp/>
        <stp>00850:V_INDEX@Master</stp>
        <tr r="H196" s="11"/>
      </tp>
      <tp>
        <v>28.33</v>
        <stp/>
        <stp>00851:V_INDEX@Master</stp>
        <tr r="H197" s="11"/>
      </tp>
      <tp>
        <v>26.33</v>
        <stp/>
        <stp>00858:V_INDEX@Master</stp>
        <tr r="H202" s="11"/>
      </tp>
    </main>
    <main first="kgi.tw.der.pricertdserver.2014.1">
      <tp>
        <v>30.682853519870232</v>
        <stp/>
        <stp>00690_AskPrice:V_INDEX@Master</stp>
        <tr r="J80" s="11"/>
      </tp>
      <tp>
        <v>32.988085123049572</v>
        <stp/>
        <stp>00692_AskPrice:V_INDEX@Master</stp>
        <tr r="J81" s="11"/>
      </tp>
    </main>
    <main first="kgi.tw.der.pricertdserver.2014.1">
      <tp>
        <v>-7.9228162514264338E+28</v>
        <stp/>
        <stp>00636_AskPrice:V_INDEX@Master</stp>
        <tr r="J28" s="11"/>
      </tp>
      <tp>
        <v>-7.9228162514264338E+28</v>
        <stp/>
        <stp>00639_AskPrice:V_INDEX@Master</stp>
        <tr r="J32" s="11"/>
      </tp>
      <tp>
        <v>-7.9228162514264338E+28</v>
        <stp/>
        <stp>00661_AskPrice:V_INDEX@Master</stp>
        <tr r="J52" s="11"/>
      </tp>
      <tp>
        <v>-7.9228162514264338E+28</v>
        <stp/>
        <stp>00660_AskPrice:V_INDEX@Master</stp>
        <tr r="J51" s="11"/>
      </tp>
      <tp>
        <v>-7.9228162514264338E+28</v>
        <stp/>
        <stp>00662_AskPrice:V_INDEX@Master</stp>
        <tr r="J53" s="11"/>
      </tp>
      <tp>
        <v>-7.9228162514264338E+28</v>
        <stp/>
        <stp>00668_AskPrice:V_INDEX@Master</stp>
        <tr r="J58" s="11"/>
      </tp>
      <tp>
        <v>-7.9228162514264338E+28</v>
        <stp/>
        <stp>00678_AskPrice:V_INDEX@Master</stp>
        <tr r="J68" s="11"/>
      </tp>
      <tp>
        <v>-7.9228162514264338E+28</v>
        <stp/>
        <stp>00645_AskPrice:V_INDEX@Master</stp>
        <tr r="J38" s="11"/>
      </tp>
      <tp>
        <v>-7.9228162514264338E+28</v>
        <stp/>
        <stp>00646_AskPrice:V_INDEX@Master</stp>
        <tr r="J39" s="11"/>
      </tp>
      <tp>
        <v>-7.9228162514264338E+28</v>
        <stp/>
        <stp>00643_AskPrice:V_INDEX@Master</stp>
        <tr r="J36" s="11"/>
      </tp>
      <tp>
        <v>-7.9228162514264338E+28</v>
        <stp/>
        <stp>00657_AskPrice:V_INDEX@Master</stp>
        <tr r="J49" s="11"/>
      </tp>
      <tp>
        <v>-7.9228162514264338E+28</v>
        <stp/>
        <stp>00652_AskPrice:V_INDEX@Master</stp>
        <tr r="J44" s="11"/>
      </tp>
    </main>
    <main first="kgi.tw.der.pricertdserver.2014.1">
      <tp>
        <v>-7.9228162514264338E+28</v>
        <stp/>
        <stp>00639_BidPrice:V_INDEX@Master</stp>
        <tr r="I32" s="11"/>
      </tp>
      <tp>
        <v>-7.9228162514264338E+28</v>
        <stp/>
        <stp>00636_BidPrice:V_INDEX@Master</stp>
        <tr r="I28" s="11"/>
      </tp>
      <tp>
        <v>-7.9228162514264338E+28</v>
        <stp/>
        <stp>00643_BidPrice:V_INDEX@Master</stp>
        <tr r="I36" s="11"/>
      </tp>
      <tp>
        <v>-7.9228162514264338E+28</v>
        <stp/>
        <stp>00646_BidPrice:V_INDEX@Master</stp>
        <tr r="I39" s="11"/>
      </tp>
      <tp>
        <v>-7.9228162514264338E+28</v>
        <stp/>
        <stp>00645_BidPrice:V_INDEX@Master</stp>
        <tr r="I38" s="11"/>
      </tp>
      <tp>
        <v>-7.9228162514264338E+28</v>
        <stp/>
        <stp>00652_BidPrice:V_INDEX@Master</stp>
        <tr r="I44" s="11"/>
      </tp>
      <tp>
        <v>-7.9228162514264338E+28</v>
        <stp/>
        <stp>00657_BidPrice:V_INDEX@Master</stp>
        <tr r="I49" s="11"/>
      </tp>
      <tp>
        <v>-7.9228162514264338E+28</v>
        <stp/>
        <stp>00668_BidPrice:V_INDEX@Master</stp>
        <tr r="I58" s="11"/>
      </tp>
      <tp>
        <v>-7.9228162514264338E+28</v>
        <stp/>
        <stp>00662_BidPrice:V_INDEX@Master</stp>
        <tr r="I53" s="11"/>
      </tp>
      <tp>
        <v>-7.9228162514264338E+28</v>
        <stp/>
        <stp>00660_BidPrice:V_INDEX@Master</stp>
        <tr r="I51" s="11"/>
      </tp>
      <tp>
        <v>-7.9228162514264338E+28</v>
        <stp/>
        <stp>00661_BidPrice:V_INDEX@Master</stp>
        <tr r="I52" s="11"/>
      </tp>
      <tp>
        <v>-7.9228162514264338E+28</v>
        <stp/>
        <stp>00678_BidPrice:V_INDEX@Master</stp>
        <tr r="I68" s="11"/>
      </tp>
    </main>
    <main first="kgi.tw.der.pricertdserver.2014.1">
      <tp>
        <v>32.922780451840147</v>
        <stp/>
        <stp>00692_BidPrice:V_INDEX@Master</stp>
        <tr r="I81" s="11"/>
      </tp>
      <tp>
        <v>30.622129967558799</v>
        <stp/>
        <stp>00690_BidPrice:V_INDEX@Master</stp>
        <tr r="I80" s="11"/>
      </tp>
    </main>
    <main first="kgi.tw.der.pricertdserver.2014.1">
      <tp>
        <v>6.4333999999999998</v>
        <stp/>
        <stp>CNY.FX:FX@IDC54</stp>
        <tr r="F7" s="12"/>
      </tp>
      <tp>
        <v>6.4345999999999997</v>
        <stp/>
        <stp>CNH.FX:FX@IDC54</stp>
        <tr r="F6" s="12"/>
      </tp>
    </main>
    <main first="kgi.tw.der.pricertdserver.2014.1">
      <tp t="e">
        <v>#N/A</v>
        <stp/>
        <stp>BRN-Z20_Time:ICE_EU@IDC54</stp>
        <tr r="G67" s="12"/>
      </tp>
    </main>
    <main first="kgi.tw.der.pricertdserver.2014.1">
      <tp t="e">
        <v>#N/A</v>
        <stp/>
        <stp>SI-J21:NYMEX@IDC54</stp>
        <tr r="F114" s="12"/>
      </tp>
      <tp t="e">
        <v>#N/A</v>
        <stp/>
        <stp>HG-J21:NYMEX@IDC54</stp>
        <tr r="F132" s="12"/>
      </tp>
      <tp t="e">
        <v>#N/A</v>
        <stp/>
        <stp>CL-J21:NYMEX@IDC54</stp>
        <tr r="F24" s="12"/>
      </tp>
      <tp t="e">
        <v>#N/A</v>
        <stp/>
        <stp>GC-J21:NYMEX@IDC54</stp>
        <tr r="F59" s="12"/>
      </tp>
      <tp>
        <v>-7.9228162514264338E+28</v>
        <stp/>
        <stp>00709_BidPrice:V_INDEX@Master</stp>
        <tr r="I94" s="11"/>
      </tp>
      <tp>
        <v>-7.9228162514264338E+28</v>
        <stp/>
        <stp>00702_BidPrice:V_INDEX@Master</stp>
        <tr r="I89" s="11"/>
      </tp>
      <tp>
        <v>-7.9228162514264338E+28</v>
        <stp/>
        <stp>00703_BidPrice:V_INDEX@Master</stp>
        <tr r="I90" s="11"/>
      </tp>
      <tp>
        <v>-7.9228162514264338E+28</v>
        <stp/>
        <stp>00700_BidPrice:V_INDEX@Master</stp>
        <tr r="I87" s="11"/>
      </tp>
      <tp>
        <v>-7.9228162514264338E+28</v>
        <stp/>
        <stp>00701_BidPrice:V_INDEX@Master</stp>
        <tr r="I88" s="11"/>
      </tp>
      <tp>
        <v>-7.9228162514264338E+28</v>
        <stp/>
        <stp>00712_BidPrice:V_INDEX@Master</stp>
        <tr r="I97" s="11"/>
      </tp>
      <tp>
        <v>-7.9228162514264338E+28</v>
        <stp/>
        <stp>00713_BidPrice:V_INDEX@Master</stp>
        <tr r="I98" s="11"/>
      </tp>
      <tp>
        <v>-7.9228162514264338E+28</v>
        <stp/>
        <stp>00717_BidPrice:V_INDEX@Master</stp>
        <tr r="I101" s="11"/>
      </tp>
      <tp>
        <v>-7.9228162514264338E+28</v>
        <stp/>
        <stp>00714_BidPrice:V_INDEX@Master</stp>
        <tr r="I99" s="11"/>
      </tp>
      <tp>
        <v>26.273094449278801</v>
        <stp/>
        <stp>00728_BidPrice:V_INDEX@Master</stp>
        <tr r="I112" s="11"/>
      </tp>
      <tp>
        <v>-7.9228162514264338E+28</v>
        <stp/>
        <stp>00739_BidPrice:V_INDEX@Master</stp>
        <tr r="I122" s="11"/>
      </tp>
      <tp>
        <v>-7.9228162514264338E+28</v>
        <stp/>
        <stp>00732_BidPrice:V_INDEX@Master</stp>
        <tr r="I115" s="11"/>
      </tp>
      <tp>
        <v>37.405864233393537</v>
        <stp/>
        <stp>00733_BidPrice:V_INDEX@Master</stp>
        <tr r="I116" s="11"/>
      </tp>
      <tp>
        <v>20.422782628904312</v>
        <stp/>
        <stp>00730_BidPrice:V_INDEX@Master</stp>
        <tr r="I113" s="11"/>
      </tp>
      <tp>
        <v>55.592812193548383</v>
        <stp/>
        <stp>00731_BidPrice:V_INDEX@Master</stp>
        <tr r="I114" s="11"/>
      </tp>
      <tp>
        <v>-7.9228162514264338E+28</v>
        <stp/>
        <stp>00736_BidPrice:V_INDEX@Master</stp>
        <tr r="I119" s="11"/>
      </tp>
      <tp>
        <v>-7.9228162514264338E+28</v>
        <stp/>
        <stp>00737_BidPrice:V_INDEX@Master</stp>
        <tr r="I120" s="11"/>
      </tp>
      <tp>
        <v>-7.9228162514264338E+28</v>
        <stp/>
        <stp>00735_BidPrice:V_INDEX@Master</stp>
        <tr r="I118" s="11"/>
      </tp>
      <tp>
        <v>-7.9228162514264338E+28</v>
        <stp/>
        <stp>00742_BidPrice:V_INDEX@Master</stp>
        <tr r="I125" s="11"/>
      </tp>
      <tp>
        <v>-7.9228162514264338E+28</v>
        <stp/>
        <stp>00743_BidPrice:V_INDEX@Master</stp>
        <tr r="I126" s="11"/>
      </tp>
      <tp>
        <v>-7.9228162514264338E+28</v>
        <stp/>
        <stp>00752_BidPrice:V_INDEX@Master</stp>
        <tr r="I135" s="11"/>
      </tp>
      <tp>
        <v>-7.9228162514264338E+28</v>
        <stp/>
        <stp>00757_BidPrice:V_INDEX@Master</stp>
        <tr r="I140" s="11"/>
      </tp>
      <tp>
        <v>-7.9228162514264338E+28</v>
        <stp/>
        <stp>00762_BidPrice:V_INDEX@Master</stp>
        <tr r="I145" s="11"/>
      </tp>
      <tp>
        <v>-7.9228162514264338E+28</v>
        <stp/>
        <stp>00770_BidPrice:V_INDEX@Master</stp>
        <tr r="I150" s="11"/>
      </tp>
      <tp>
        <v>-7.9228162514264338E+28</v>
        <stp/>
        <stp>00771_BidPrice:V_INDEX@Master</stp>
        <tr r="I151" s="11"/>
      </tp>
      <tp>
        <v>-7.9228162514264338E+28</v>
        <stp/>
        <stp>00783_BidPrice:V_INDEX@Master</stp>
        <tr r="I163" s="11"/>
      </tp>
    </main>
    <main first="kgi.tw.der.pricertdserver.2014.1">
      <tp t="e">
        <v>#N/A</v>
        <stp/>
        <stp>BRN-K21_Time:ICE_EU@IDC54</stp>
        <tr r="G69" s="12"/>
      </tp>
      <tp t="s">
        <v>20210514_151459789</v>
        <stp/>
        <stp>BRN-N21_Time:ICE_EU@IDC54</stp>
        <tr r="G71" s="12"/>
      </tp>
      <tp t="e">
        <v>#N/A</v>
        <stp/>
        <stp>BRN-M21_Time:ICE_EU@IDC54</stp>
        <tr r="G70" s="12"/>
      </tp>
      <tp t="e">
        <v>#N/A</v>
        <stp/>
        <stp>BRN-F21_Time:ICE_EU@IDC54</stp>
        <tr r="G68" s="12"/>
      </tp>
      <tp t="s">
        <v>20210514_151459039</v>
        <stp/>
        <stp>BRN-Z21_Time:ICE_EU@IDC54</stp>
        <tr r="G64" s="12"/>
      </tp>
      <tp t="s">
        <v>20210514_151459039</v>
        <stp/>
        <stp>BRN-X21_Time:ICE_EU@IDC54</stp>
        <tr r="G65" s="12"/>
      </tp>
      <tp t="s">
        <v>20210514_151459539</v>
        <stp/>
        <stp>BRN-Q21_Time:ICE_EU@IDC54</stp>
        <tr r="G66" s="12"/>
      </tp>
      <tp t="s">
        <v>20210514_151459539</v>
        <stp/>
        <stp>BRN-V21_Time:ICE_EU@IDC54</stp>
        <tr r="G63" s="12"/>
      </tp>
      <tp t="s">
        <v>20210514_151458523</v>
        <stp/>
        <stp>BRN-U21_Time:ICE_EU@IDC54</stp>
        <tr r="G62" s="12"/>
      </tp>
    </main>
    <main first="kgi.tw.der.pricertdserver.2014.1">
      <tp>
        <v>27.094999999999999</v>
        <stp/>
        <stp>SI-K21:NYMEX@IDC54</stp>
        <tr r="F115" s="12"/>
      </tp>
      <tp>
        <v>4.6219999999999999</v>
        <stp/>
        <stp>HG-K21:NYMEX@IDC54</stp>
        <tr r="F133" s="12"/>
      </tp>
      <tp t="e">
        <v>#N/A</v>
        <stp/>
        <stp>CL-K21:NYMEX@IDC54</stp>
        <tr r="F25" s="12"/>
      </tp>
    </main>
    <main first="kgi.tw.der.pricertdserver.2014.1">
      <tp>
        <v>27.32</v>
        <stp/>
        <stp>SI-M21:NYMEX@IDC54</stp>
        <tr r="F116" s="12"/>
      </tp>
      <tp>
        <v>4.6790000000000003</v>
        <stp/>
        <stp>HG-M21:NYMEX@IDC54</stp>
        <tr r="F134" s="12"/>
      </tp>
      <tp>
        <v>63.87</v>
        <stp/>
        <stp>CL-M21:NYMEX@IDC54</stp>
        <tr r="F26" s="12"/>
      </tp>
      <tp>
        <v>1833.5</v>
        <stp/>
        <stp>GC-M21:NYMEX@IDC54</stp>
        <tr r="F60" s="12"/>
      </tp>
    </main>
    <main first="kgi.tw.der.pricertdserver.2014.1">
      <tp>
        <v>27.33</v>
        <stp/>
        <stp>SI-N21:NYMEX@IDC54</stp>
        <tr r="F117" s="12"/>
      </tp>
      <tp>
        <v>4.6639999999999997</v>
        <stp/>
        <stp>HG-N21:NYMEX@IDC54</stp>
        <tr r="F135" s="12"/>
      </tp>
      <tp>
        <v>63.88</v>
        <stp/>
        <stp>CL-N21:NYMEX@IDC54</stp>
        <tr r="F17" s="12"/>
      </tp>
    </main>
    <main first="kgi.tw.der.pricertdserver.2014.1">
      <tp t="e">
        <v>#N/A</v>
        <stp/>
        <stp>DX-H22:NYBOT@Master</stp>
        <tr r="F88" s="12"/>
      </tp>
      <tp>
        <v>90.53</v>
        <stp/>
        <stp>DX-M21:NYBOT@Master</stp>
        <tr r="F85" s="12"/>
      </tp>
      <tp>
        <v>90.62</v>
        <stp/>
        <stp>DX-Z21:NYBOT@Master</stp>
        <tr r="F87" s="12"/>
      </tp>
      <tp>
        <v>90.55</v>
        <stp/>
        <stp>DX-U21:NYBOT@Master</stp>
        <tr r="F86" s="12"/>
      </tp>
    </main>
    <main first="kgi.tw.der.pricertdserver.2014.1">
      <tp t="s">
        <v>20210514_151459664</v>
        <stp/>
        <stp>ZS-X21_Time:CBOT@IDC54</stp>
        <tr r="G79" s="12"/>
      </tp>
      <tp t="s">
        <v>20210514_132945000</v>
        <stp/>
        <stp>00697B_Time:V_INDEX@Master</stp>
        <tr r="K86" s="11"/>
      </tp>
      <tp t="s">
        <v>20210514_132930000</v>
        <stp/>
        <stp>00696B_Time:V_INDEX@Master</stp>
        <tr r="K85" s="11"/>
      </tp>
      <tp t="s">
        <v>20210514_132949000</v>
        <stp/>
        <stp>00796B_Time:V_INDEX@Master</stp>
        <tr r="K176" s="11"/>
      </tp>
      <tp t="s">
        <v>20210514_132930000</v>
        <stp/>
        <stp>00695B_Time:V_INDEX@Master</stp>
        <tr r="K84" s="11"/>
      </tp>
      <tp t="s">
        <v>20210514_132949000</v>
        <stp/>
        <stp>00795B_Time:V_INDEX@Master</stp>
        <tr r="K175" s="11"/>
      </tp>
      <tp t="s">
        <v>20210514_132930000</v>
        <stp/>
        <stp>00694B_Time:V_INDEX@Master</stp>
        <tr r="K83" s="11"/>
      </tp>
      <tp t="s">
        <v>20210514_132945000</v>
        <stp/>
        <stp>00794B_Time:V_INDEX@Master</stp>
        <tr r="K174" s="11"/>
      </tp>
      <tp t="s">
        <v>20210514_151451319</v>
        <stp/>
        <stp>00693U_Time:V_INDEX@Master</stp>
        <tr r="K82" s="11"/>
      </tp>
      <tp t="s">
        <v>20210514_132945000</v>
        <stp/>
        <stp>00793B_Time:V_INDEX@Master</stp>
        <tr r="K173" s="11"/>
      </tp>
      <tp t="s">
        <v>20210514_132945000</v>
        <stp/>
        <stp>00792B_Time:V_INDEX@Master</stp>
        <tr r="K172" s="11"/>
      </tp>
      <tp t="s">
        <v>20210514_132939000</v>
        <stp/>
        <stp>00791B_Time:V_INDEX@Master</stp>
        <tr r="K171" s="11"/>
      </tp>
      <tp t="s">
        <v>20210514_132939000</v>
        <stp/>
        <stp>00790B_Time:V_INDEX@Master</stp>
        <tr r="K170" s="11"/>
      </tp>
      <tp t="s">
        <v>20210514_132929000</v>
        <stp/>
        <stp>00799B_Time:V_INDEX@Master</stp>
        <tr r="K177" s="11"/>
      </tp>
    </main>
    <main first="kgi.tw.der.pricertdserver.2014.1">
      <tp t="s">
        <v>20210514_132943000</v>
        <stp/>
        <stp>00687B_Time:V_INDEX@Master</stp>
        <tr r="K77" s="11"/>
      </tp>
      <tp t="s">
        <v>20210514_132945000</v>
        <stp/>
        <stp>00787B_Time:V_INDEX@Master</stp>
        <tr r="K167" s="11"/>
      </tp>
      <tp t="s">
        <v>20210514_151459304</v>
        <stp/>
        <stp>00686R_Time:V_INDEX@Master</stp>
        <tr r="K76" s="11"/>
      </tp>
      <tp t="s">
        <v>20210514_132945000</v>
        <stp/>
        <stp>00786B_Time:V_INDEX@Master</stp>
        <tr r="K166" s="11"/>
      </tp>
    </main>
    <main first="kgi.tw.der.pricertdserver.2014.1">
      <tp t="s">
        <v>20210514_151459304</v>
        <stp/>
        <stp>00685L_Time:V_INDEX@Master</stp>
        <tr r="K75" s="11"/>
      </tp>
      <tp t="s">
        <v>20210514_132930000</v>
        <stp/>
        <stp>00785B_Time:V_INDEX@Master</stp>
        <tr r="K165" s="11"/>
      </tp>
      <tp t="s">
        <v>20210514_151459148</v>
        <stp/>
        <stp>00684R_Time:V_INDEX@Master</stp>
        <tr r="K74" s="11"/>
      </tp>
      <tp t="s">
        <v>20210514_132930000</v>
        <stp/>
        <stp>00784B_Time:V_INDEX@Master</stp>
        <tr r="K164" s="11"/>
      </tp>
      <tp t="s">
        <v>20210514_132949000</v>
        <stp/>
        <stp>00884B_Time:V_INDEX@Master</stp>
        <tr r="K223" s="11"/>
      </tp>
      <tp t="s">
        <v>20210514_151459148</v>
        <stp/>
        <stp>00683L_Time:V_INDEX@Master</stp>
        <tr r="K73" s="11"/>
      </tp>
      <tp t="s">
        <v>20210514_132949000</v>
        <stp/>
        <stp>00883B_Time:V_INDEX@Master</stp>
        <tr r="K222" s="11"/>
      </tp>
      <tp t="s">
        <v>20210514_151459148</v>
        <stp/>
        <stp>00682U_Time:V_INDEX@Master</stp>
        <tr r="K72" s="11"/>
      </tp>
      <tp t="s">
        <v>20210514_132944000</v>
        <stp/>
        <stp>00782B_Time:V_INDEX@Master</stp>
        <tr r="K162" s="11"/>
      </tp>
      <tp t="s">
        <v>20210514_151459648</v>
        <stp/>
        <stp>00681R_Time:V_INDEX@Master</stp>
        <tr r="K71" s="11"/>
      </tp>
      <tp t="s">
        <v>20210514_132929000</v>
        <stp/>
        <stp>00781B_Time:V_INDEX@Master</stp>
        <tr r="K161" s="11"/>
      </tp>
      <tp t="s">
        <v>20210514_151459648</v>
        <stp/>
        <stp>00680L_Time:V_INDEX@Master</stp>
        <tr r="K70" s="11"/>
      </tp>
      <tp t="s">
        <v>20210514_132929000</v>
        <stp/>
        <stp>00780B_Time:V_INDEX@Master</stp>
        <tr r="K160" s="11"/>
      </tp>
      <tp t="s">
        <v>20210514_132953000</v>
        <stp/>
        <stp>00880B_Time:V_INDEX@Master</stp>
        <tr r="K219" s="11"/>
      </tp>
      <tp t="s">
        <v>20210514_151459648</v>
        <stp/>
        <stp>00689R_Time:V_INDEX@Master</stp>
        <tr r="K79" s="11"/>
      </tp>
      <tp t="s">
        <v>20210514_132939000</v>
        <stp/>
        <stp>00789B_Time:V_INDEX@Master</stp>
        <tr r="K169" s="11"/>
      </tp>
      <tp t="s">
        <v>20210514_151459648</v>
        <stp/>
        <stp>00688L_Time:V_INDEX@Master</stp>
        <tr r="K78" s="11"/>
      </tp>
      <tp t="s">
        <v>20210514_132945000</v>
        <stp/>
        <stp>00788B_Time:V_INDEX@Master</stp>
        <tr r="K168" s="11"/>
      </tp>
    </main>
    <main first="kgi.tw.der.pricertdserver.2014.1">
      <tp t="s">
        <v>20210514_151458558</v>
        <stp/>
        <stp>YM-Z21_Time:CBOT@IDC54</stp>
        <tr r="G35" s="12"/>
      </tp>
      <tp t="e">
        <v>#N/A</v>
        <stp/>
        <stp>UB-Z21_Time:CBOT@IDC54</stp>
        <tr r="G55" s="12"/>
      </tp>
      <tp t="e">
        <v>#N/A</v>
        <stp/>
        <stp>TN-Z21_Time:CBOT@IDC54</stp>
        <tr r="G121" s="12"/>
      </tp>
      <tp>
        <v>-7.9228162514264338E+28</v>
        <stp/>
        <stp>TOPIX-Z21:JPX@IDC54</stp>
        <tr r="F108" s="12"/>
      </tp>
      <tp>
        <v>1869.5</v>
        <stp/>
        <stp>TOPIX-U21:JPX@IDC54</stp>
        <tr r="F109" s="12"/>
      </tp>
      <tp t="e">
        <v>#N/A</v>
        <stp/>
        <stp>TOPIX-H21:JPX@IDC54</stp>
        <tr r="F107" s="12"/>
      </tp>
      <tp>
        <v>1881</v>
        <stp/>
        <stp>TOPIX-M21:JPX@IDC54</stp>
        <tr r="F106" s="12"/>
      </tp>
    </main>
    <main first="kgi.tw.der.pricertdserver.2014.1">
      <tp>
        <v>37.515799999999999</v>
        <stp/>
        <stp>00884B:V_INDEX@Master</stp>
        <tr r="H223" s="11"/>
      </tp>
      <tp>
        <v>34.303899999999999</v>
        <stp/>
        <stp>00880B:V_INDEX@Master</stp>
        <tr r="H219" s="11"/>
      </tp>
      <tp>
        <v>37.437199999999997</v>
        <stp/>
        <stp>00883B:V_INDEX@Master</stp>
        <tr r="H222" s="11"/>
      </tp>
      <tp>
        <v>125.55</v>
        <stp/>
        <stp>008201:V_INDEX@Master</stp>
        <tr r="H178" s="11"/>
      </tp>
      <tp>
        <v>39.82</v>
        <stp/>
        <stp>00839B:V_INDEX@Master</stp>
        <tr r="H185" s="11"/>
      </tp>
      <tp>
        <v>39.090000000000003</v>
        <stp/>
        <stp>00838B:V_INDEX@Master</stp>
        <tr r="H184" s="11"/>
      </tp>
      <tp>
        <v>40.402500000000003</v>
        <stp/>
        <stp>00834B:V_INDEX@Master</stp>
        <tr r="H182" s="11"/>
      </tp>
      <tp>
        <v>37.9</v>
        <stp/>
        <stp>00836B:V_INDEX@Master</stp>
        <tr r="H183" s="11"/>
      </tp>
      <tp>
        <v>36.645499999999998</v>
        <stp/>
        <stp>00831B:V_INDEX@Master</stp>
        <tr r="H180" s="11"/>
      </tp>
      <tp>
        <v>39.822899999999997</v>
        <stp/>
        <stp>00832B:V_INDEX@Master</stp>
        <tr r="H181" s="11"/>
      </tp>
      <tp>
        <v>36.7468</v>
        <stp/>
        <stp>00849B:V_INDEX@Master</stp>
        <tr r="H195" s="11"/>
      </tp>
      <tp>
        <v>36.886800000000001</v>
        <stp/>
        <stp>00848B:V_INDEX@Master</stp>
        <tr r="H194" s="11"/>
      </tp>
      <tp>
        <v>36.730400000000003</v>
        <stp/>
        <stp>00845B:V_INDEX@Master</stp>
        <tr r="H191" s="11"/>
      </tp>
      <tp>
        <v>38.322600000000001</v>
        <stp/>
        <stp>00844B:V_INDEX@Master</stp>
        <tr r="H190" s="11"/>
      </tp>
      <tp>
        <v>33.926499999999997</v>
        <stp/>
        <stp>00847B:V_INDEX@Master</stp>
        <tr r="H193" s="11"/>
      </tp>
      <tp>
        <v>37.377699999999997</v>
        <stp/>
        <stp>00846B:V_INDEX@Master</stp>
        <tr r="H192" s="11"/>
      </tp>
      <tp>
        <v>38.06</v>
        <stp/>
        <stp>00841B:V_INDEX@Master</stp>
        <tr r="H187" s="11"/>
      </tp>
      <tp>
        <v>37.93</v>
        <stp/>
        <stp>00840B:V_INDEX@Master</stp>
        <tr r="H186" s="11"/>
      </tp>
      <tp>
        <v>39.270000000000003</v>
        <stp/>
        <stp>00843B:V_INDEX@Master</stp>
        <tr r="H189" s="11"/>
      </tp>
      <tp>
        <v>39.090000000000003</v>
        <stp/>
        <stp>00842B:V_INDEX@Master</stp>
        <tr r="H188" s="11"/>
      </tp>
      <tp>
        <v>36.227800000000002</v>
        <stp/>
        <stp>00859B:V_INDEX@Master</stp>
        <tr r="H203" s="11"/>
      </tp>
      <tp>
        <v>34.630000000000003</v>
        <stp/>
        <stp>00857B:V_INDEX@Master</stp>
        <tr r="H201" s="11"/>
      </tp>
      <tp>
        <v>36.54</v>
        <stp/>
        <stp>00856B:V_INDEX@Master</stp>
        <tr r="H200" s="11"/>
      </tp>
      <tp>
        <v>34.39</v>
        <stp/>
        <stp>00853B:V_INDEX@Master</stp>
        <tr r="H199" s="11"/>
      </tp>
      <tp>
        <v>20.424777460553393</v>
        <stp/>
        <stp>00852L:V_INDEX@Master</stp>
        <tr r="H198" s="11"/>
      </tp>
      <tp t="e">
        <v>#N/A</v>
        <stp/>
        <stp>00868B:V_INDEX@Master</stp>
        <tr r="H211" s="11"/>
      </tp>
      <tp>
        <v>36.902000000000001</v>
        <stp/>
        <stp>00865B:V_INDEX@Master</stp>
        <tr r="H209" s="11"/>
      </tp>
      <tp>
        <v>36.840600000000002</v>
        <stp/>
        <stp>00864B:V_INDEX@Master</stp>
        <tr r="H208" s="11"/>
      </tp>
      <tp>
        <v>37.832500000000003</v>
        <stp/>
        <stp>00867B:V_INDEX@Master</stp>
        <tr r="H210" s="11"/>
      </tp>
      <tp>
        <v>37.523299999999999</v>
        <stp/>
        <stp>00860B:V_INDEX@Master</stp>
        <tr r="H204" s="11"/>
      </tp>
      <tp>
        <v>37.7545</v>
        <stp/>
        <stp>00863B:V_INDEX@Master</stp>
        <tr r="H207" s="11"/>
      </tp>
      <tp>
        <v>37.734699999999997</v>
        <stp/>
        <stp>00862B:V_INDEX@Master</stp>
        <tr r="H206" s="11"/>
      </tp>
      <tp>
        <v>37.196399999999997</v>
        <stp/>
        <stp>00879B:V_INDEX@Master</stp>
        <tr r="H218" s="11"/>
      </tp>
      <tp>
        <v>37.54</v>
        <stp/>
        <stp>00872B:V_INDEX@Master</stp>
        <tr r="H214" s="11"/>
      </tp>
    </main>
    <main first="kgi.tw.der.pricertdserver.2014.1">
      <tp t="s">
        <v>20210514_151459632</v>
        <stp/>
        <stp>MME-M21_Time:NYBOT@IDC54</stp>
        <tr r="G104" s="12"/>
      </tp>
      <tp t="e">
        <v>#N/A</v>
        <stp/>
        <stp>MME-H21_Time:NYBOT@IDC54</stp>
        <tr r="G103" s="12"/>
      </tp>
      <tp t="e">
        <v>#N/A</v>
        <stp/>
        <stp>MME-Z21_Time:NYBOT@IDC54</stp>
        <tr r="G102" s="12"/>
      </tp>
      <tp t="s">
        <v>20210514_151400831</v>
        <stp/>
        <stp>MME-U21_Time:NYBOT@IDC54</stp>
        <tr r="G105" s="12"/>
      </tp>
    </main>
    <main first="kgi.tw.der.pricertdserver.2014.1">
      <tp>
        <v>-7.9228162514264338E+28</v>
        <stp/>
        <stp>0061_BidPrice:V_INDEX@Master</stp>
        <tr r="I14" s="11"/>
      </tp>
      <tp t="s">
        <v>20210514_151453772</v>
        <stp/>
        <stp>00715L_Time:V_INDEX@Master</stp>
        <tr r="K100" s="11"/>
      </tp>
      <tp>
        <v>20.398855279999999</v>
        <stp/>
        <stp>0055_BidPrice:V_INDEX@Master</stp>
        <tr r="I11" s="11"/>
      </tp>
      <tp>
        <v>29.238204499999998</v>
        <stp/>
        <stp>0054_BidPrice:V_INDEX@Master</stp>
        <tr r="I10" s="11"/>
      </tp>
      <tp>
        <v>87.575042220010843</v>
        <stp/>
        <stp>0057_BidPrice:V_INDEX@Master</stp>
        <tr r="I13" s="11"/>
      </tp>
      <tp>
        <v>33.516654299999999</v>
        <stp/>
        <stp>0056_BidPrice:V_INDEX@Master</stp>
        <tr r="I12" s="11"/>
      </tp>
      <tp>
        <v>48.841083900000001</v>
        <stp/>
        <stp>0051_BidPrice:V_INDEX@Master</stp>
        <tr r="I7" s="11"/>
      </tp>
      <tp>
        <v>128.58574970000001</v>
        <stp/>
        <stp>0050_BidPrice:V_INDEX@Master</stp>
        <tr r="I6" s="11"/>
      </tp>
      <tp>
        <v>61.289448399999998</v>
        <stp/>
        <stp>0053_BidPrice:V_INDEX@Master</stp>
        <tr r="I9" s="11"/>
      </tp>
      <tp>
        <v>115.75655213168316</v>
        <stp/>
        <stp>0052_BidPrice:V_INDEX@Master</stp>
        <tr r="I8" s="11"/>
      </tp>
      <tp t="s">
        <v>20210514_132939000</v>
        <stp/>
        <stp>00711B_Time:V_INDEX@Master</stp>
        <tr r="K96" s="11"/>
      </tp>
      <tp t="s">
        <v>20210514_132939000</v>
        <stp/>
        <stp>00710B_Time:V_INDEX@Master</stp>
        <tr r="K95" s="11"/>
      </tp>
      <tp t="s">
        <v>20210514_132945000</v>
        <stp/>
        <stp>00719B_Time:V_INDEX@Master</stp>
        <tr r="K103" s="11"/>
      </tp>
      <tp t="s">
        <v>20210514_132930000</v>
        <stp/>
        <stp>00718B_Time:V_INDEX@Master</stp>
        <tr r="K102" s="11"/>
      </tp>
    </main>
    <main first="kgi.tw.der.pricertdserver.2014.1">
      <tp>
        <v>126.7997721</v>
        <stp/>
        <stp>0050_Reference:V_INDEX@Master</stp>
        <tr r="G6" s="11"/>
      </tp>
    </main>
    <main first="kgi.tw.der.pricertdserver.2014.1">
      <tp>
        <v>48.806279539999998</v>
        <stp/>
        <stp>0051_Reference:V_INDEX@Master</stp>
        <tr r="G7" s="11"/>
      </tp>
    </main>
    <main first="kgi.tw.der.pricertdserver.2014.1">
      <tp>
        <v>114.10984332673267</v>
        <stp/>
        <stp>0052_Reference:V_INDEX@Master</stp>
        <tr r="G8" s="11"/>
      </tp>
    </main>
    <main first="kgi.tw.der.pricertdserver.2014.1">
      <tp>
        <v>60.4384637</v>
        <stp/>
        <stp>0053_Reference:V_INDEX@Master</stp>
        <tr r="G9" s="11"/>
      </tp>
    </main>
    <main first="kgi.tw.der.pricertdserver.2014.1">
      <tp>
        <v>28.802395499999999</v>
        <stp/>
        <stp>0054_Reference:V_INDEX@Master</stp>
        <tr r="G10" s="11"/>
      </tp>
    </main>
    <main first="kgi.tw.der.pricertdserver.2014.1">
      <tp>
        <v>20.180979399999998</v>
        <stp/>
        <stp>0055_Reference:V_INDEX@Master</stp>
        <tr r="G11" s="11"/>
      </tp>
    </main>
    <main first="kgi.tw.der.pricertdserver.2014.1">
      <tp>
        <v>33.297978000000001</v>
        <stp/>
        <stp>0056_Reference:V_INDEX@Master</stp>
        <tr r="G12" s="11"/>
      </tp>
    </main>
    <main first="kgi.tw.der.pricertdserver.2014.1">
      <tp>
        <v>86.512002352089738</v>
        <stp/>
        <stp>0057_Reference:V_INDEX@Master</stp>
        <tr r="G13" s="11"/>
      </tp>
    </main>
    <main first="kgi.tw.der.pricertdserver.2014.1">
      <tp t="e">
        <v>#N/A</v>
        <stp/>
        <stp>ZS-Q20_Time:CBOT@IDC54</stp>
        <tr r="G77" s="12"/>
      </tp>
      <tp t="s">
        <v>20210514_151451319</v>
        <stp/>
        <stp>00707R_Time:V_INDEX@Master</stp>
        <tr r="K92" s="11"/>
      </tp>
      <tp t="s">
        <v>20210514_151451319</v>
        <stp/>
        <stp>00706L_Time:V_INDEX@Master</stp>
        <tr r="K91" s="11"/>
      </tp>
      <tp t="s">
        <v>20210514_151459679</v>
        <stp/>
        <stp>00708L_Time:V_INDEX@Master</stp>
        <tr r="K93" s="11"/>
      </tp>
      <tp>
        <v>15.297998663031411</v>
        <stp/>
        <stp>00689R:V_INDEX@Master</stp>
        <tr r="H79" s="11"/>
      </tp>
      <tp>
        <v>21.49464427140142</v>
        <stp/>
        <stp>00688L:V_INDEX@Master</stp>
        <tr r="H78" s="11"/>
      </tp>
      <tp>
        <v>35.282924979389939</v>
        <stp/>
        <stp>00685L:V_INDEX@Master</stp>
        <tr r="H75" s="11"/>
      </tp>
      <tp>
        <v>19.304951780819074</v>
        <stp/>
        <stp>00684R:V_INDEX@Master</stp>
        <tr r="H74" s="11"/>
      </tp>
      <tp>
        <v>40.441699999999997</v>
        <stp/>
        <stp>00687B:V_INDEX@Master</stp>
        <tr r="H77" s="11"/>
      </tp>
      <tp>
        <v>4.2639191176470588</v>
        <stp/>
        <stp>00686R:V_INDEX@Master</stp>
        <tr r="H76" s="11"/>
      </tp>
      <tp>
        <v>14.535784688093722</v>
        <stp/>
        <stp>00681R:V_INDEX@Master</stp>
        <tr r="H71" s="11"/>
      </tp>
      <tp>
        <v>21.514483585774784</v>
        <stp/>
        <stp>00680L:V_INDEX@Master</stp>
        <tr r="H70" s="11"/>
      </tp>
      <tp>
        <v>16.580491650200759</v>
        <stp/>
        <stp>00683L:V_INDEX@Master</stp>
        <tr r="H73" s="11"/>
      </tp>
      <tp>
        <v>17.944676458351104</v>
        <stp/>
        <stp>00682U:V_INDEX@Master</stp>
        <tr r="H72" s="11"/>
      </tp>
      <tp>
        <v>36.6708</v>
        <stp/>
        <stp>00695B:V_INDEX@Master</stp>
        <tr r="H84" s="11"/>
      </tp>
      <tp>
        <v>37.409500000000001</v>
        <stp/>
        <stp>00694B:V_INDEX@Master</stp>
        <tr r="H83" s="11"/>
      </tp>
      <tp>
        <v>39.055199999999999</v>
        <stp/>
        <stp>00697B:V_INDEX@Master</stp>
        <tr r="H86" s="11"/>
      </tp>
      <tp>
        <v>40.3125</v>
        <stp/>
        <stp>00696B:V_INDEX@Master</stp>
        <tr r="H85" s="11"/>
      </tp>
      <tp>
        <v>24.319134515733737</v>
        <stp/>
        <stp>00693U:V_INDEX@Master</stp>
        <tr r="H82" s="11"/>
      </tp>
    </main>
    <main first="kgi.tw.der.pricertdserver.2014.1">
      <tp>
        <v>23.04</v>
        <stp/>
        <stp>0061_Reference:V_INDEX@Master</stp>
        <tr r="G14" s="11"/>
      </tp>
      <tp>
        <v>8.75</v>
        <stp/>
        <stp>00625K:V_INDEX@Master</stp>
        <tr r="H22" s="11"/>
      </tp>
      <tp>
        <v>73.918876656048951</v>
        <stp/>
        <stp>006208:V_INDEX@Master</stp>
        <tr r="H21" s="11"/>
      </tp>
      <tp>
        <v>60.867365880000001</v>
        <stp/>
        <stp>006203:V_INDEX@Master</stp>
        <tr r="H16" s="11"/>
      </tp>
      <tp>
        <v>17.513891904488741</v>
        <stp/>
        <stp>006201:V_INDEX@Master</stp>
        <tr r="H15" s="11"/>
      </tp>
      <tp>
        <v>38.47</v>
        <stp/>
        <stp>006206:V_INDEX@Master</stp>
        <tr r="H19" s="11"/>
      </tp>
      <tp>
        <v>30.94</v>
        <stp/>
        <stp>006207:V_INDEX@Master</stp>
        <tr r="H20" s="11"/>
      </tp>
      <tp>
        <v>80.374686946666671</v>
        <stp/>
        <stp>006204:V_INDEX@Master</stp>
        <tr r="H17" s="11"/>
      </tp>
      <tp>
        <v>38.200000000000003</v>
        <stp/>
        <stp>006205:V_INDEX@Master</stp>
        <tr r="H18" s="11"/>
      </tp>
    </main>
    <main first="kgi.tw.der.pricertdserver.2014.1">
      <tp>
        <v>7.843024382842156</v>
        <stp/>
        <stp>00638R:V_INDEX@Master</stp>
        <tr r="H31" s="11"/>
      </tp>
      <tp>
        <v>24.627037927906816</v>
        <stp/>
        <stp>00635U:V_INDEX@Master</stp>
        <tr r="H27" s="11"/>
      </tp>
      <tp>
        <v>3.8924388345433751</v>
        <stp/>
        <stp>00634R:V_INDEX@Master</stp>
        <tr r="H26" s="11"/>
      </tp>
      <tp>
        <v>26.454259594079158</v>
        <stp/>
        <stp>00637L:V_INDEX@Master</stp>
        <tr r="H30" s="11"/>
      </tp>
      <tp>
        <v>9.69</v>
        <stp/>
        <stp>00636K:V_INDEX@Master</stp>
        <tr r="H29" s="11"/>
      </tp>
      <tp>
        <v>104.31464441758854</v>
        <stp/>
        <stp>00631L:V_INDEX@Master</stp>
        <tr r="H23" s="11"/>
      </tp>
      <tp>
        <v>66.951831531163378</v>
        <stp/>
        <stp>00633L:V_INDEX@Master</stp>
        <tr r="H25" s="11"/>
      </tp>
      <tp>
        <v>6.3079534366041594</v>
        <stp/>
        <stp>00632R:V_INDEX@Master</stp>
        <tr r="H24" s="11"/>
      </tp>
    </main>
    <main first="kgi.tw.der.pricertdserver.2014.1">
      <tp>
        <v>7.4842955843688852</v>
        <stp/>
        <stp>00648R:V_INDEX@Master</stp>
        <tr r="H41" s="11"/>
      </tp>
      <tp>
        <v>60.416474351059613</v>
        <stp/>
        <stp>00647L:V_INDEX@Master</stp>
        <tr r="H40" s="11"/>
      </tp>
      <tp>
        <v>11.049647815340487</v>
        <stp/>
        <stp>00641R:V_INDEX@Master</stp>
        <tr r="H34" s="11"/>
      </tp>
      <tp>
        <v>26.847061626761306</v>
        <stp/>
        <stp>00640L:V_INDEX@Master</stp>
        <tr r="H33" s="11"/>
      </tp>
      <tp>
        <v>4</v>
        <stp/>
        <stp>00643K:V_INDEX@Master</stp>
        <tr r="H37" s="11"/>
      </tp>
      <tp>
        <v>10.91518321777497</v>
        <stp/>
        <stp>00642U:V_INDEX@Master</stp>
        <tr r="H35" s="11"/>
      </tp>
    </main>
    <main first="kgi.tw.der.pricertdserver.2014.1">
      <tp>
        <v>50.269175012005675</v>
        <stp/>
        <stp>00655L:V_INDEX@Master</stp>
        <tr r="H47" s="11"/>
      </tp>
      <tp>
        <v>9.8559448010894819</v>
        <stp/>
        <stp>00654R:V_INDEX@Master</stp>
        <tr r="H46" s="11"/>
      </tp>
      <tp>
        <v>12.3</v>
        <stp/>
        <stp>00657K:V_INDEX@Master</stp>
        <tr r="H50" s="11"/>
      </tp>
      <tp>
        <v>7.1793778987386059</v>
        <stp/>
        <stp>00656R:V_INDEX@Master</stp>
        <tr r="H48" s="11"/>
      </tp>
      <tp>
        <v>7.0939668309771831</v>
        <stp/>
        <stp>00651R:V_INDEX@Master</stp>
        <tr r="H43" s="11"/>
      </tp>
      <tp>
        <v>28.679023876320251</v>
        <stp/>
        <stp>00650L:V_INDEX@Master</stp>
        <tr r="H42" s="11"/>
      </tp>
      <tp>
        <v>33.815686637206333</v>
        <stp/>
        <stp>00653L:V_INDEX@Master</stp>
        <tr r="H45" s="11"/>
      </tp>
    </main>
    <main first="kgi.tw.der.pricertdserver.2014.1">
      <tp>
        <v>8.1643330170814679</v>
        <stp/>
        <stp>00669R:V_INDEX@Master</stp>
        <tr r="H60" s="11"/>
      </tp>
      <tp>
        <v>12.31</v>
        <stp/>
        <stp>00668K:V_INDEX@Master</stp>
        <tr r="H59" s="11"/>
      </tp>
      <tp>
        <v>22.77425796760588</v>
        <stp/>
        <stp>00665L:V_INDEX@Master</stp>
        <tr r="H56" s="11"/>
      </tp>
      <tp>
        <v>7.1621059691800246</v>
        <stp/>
        <stp>00664R:V_INDEX@Master</stp>
        <tr r="H55" s="11"/>
      </tp>
      <tp>
        <v>11.588010649003877</v>
        <stp/>
        <stp>00666R:V_INDEX@Master</stp>
        <tr r="H57" s="11"/>
      </tp>
      <tp>
        <v>93.267500395223138</v>
        <stp/>
        <stp>00663L:V_INDEX@Master</stp>
        <tr r="H54" s="11"/>
      </tp>
    </main>
    <main first="kgi.tw.der.pricertdserver.2014.1">
      <tp>
        <v>38.845999999999997</v>
        <stp/>
        <stp>00679B:V_INDEX@Master</stp>
        <tr r="H69" s="11"/>
      </tp>
      <tp>
        <v>40.088124501508666</v>
        <stp/>
        <stp>00675L:V_INDEX@Master</stp>
        <tr r="H65" s="11"/>
      </tp>
      <tp>
        <v>13.060195481591904</v>
        <stp/>
        <stp>00674R:V_INDEX@Master</stp>
        <tr r="H64" s="11"/>
      </tp>
      <tp>
        <v>1.8268649347808852</v>
        <stp/>
        <stp>00677U:V_INDEX@Master</stp>
        <tr r="H67" s="11"/>
      </tp>
      <tp>
        <v>3.9061943735035327</v>
        <stp/>
        <stp>00676R:V_INDEX@Master</stp>
        <tr r="H66" s="11"/>
      </tp>
      <tp>
        <v>6.16222799730975</v>
        <stp/>
        <stp>00671R:V_INDEX@Master</stp>
        <tr r="H62" s="11"/>
      </tp>
      <tp>
        <v>84.142946529031718</v>
        <stp/>
        <stp>00670L:V_INDEX@Master</stp>
        <tr r="H61" s="11"/>
      </tp>
      <tp>
        <v>17.751176906536106</v>
        <stp/>
        <stp>00673R:V_INDEX@Master</stp>
        <tr r="H63" s="11"/>
      </tp>
    </main>
    <main first="kgi.tw.der.pricertdserver.2014.1">
      <tp t="s">
        <v>20210514_151457742</v>
        <stp/>
        <stp>00637L_Time:V_INDEX@Master</stp>
        <tr r="K30" s="11"/>
      </tp>
      <tp t="s">
        <v>20210514_132928000</v>
        <stp/>
        <stp>00636K_Time:V_INDEX@Master</stp>
        <tr r="K29" s="11"/>
      </tp>
      <tp t="s">
        <v>20210514_132931000</v>
        <stp/>
        <stp>00836B_Time:V_INDEX@Master</stp>
        <tr r="K183" s="11"/>
      </tp>
      <tp t="s">
        <v>20210514_151459679</v>
        <stp/>
        <stp>00635U_Time:V_INDEX@Master</stp>
        <tr r="K27" s="11"/>
      </tp>
      <tp t="s">
        <v>20210514_151457742</v>
        <stp/>
        <stp>00634R_Time:V_INDEX@Master</stp>
        <tr r="K26" s="11"/>
      </tp>
      <tp t="s">
        <v>20210514_133000000</v>
        <stp/>
        <stp>00734B_Time:V_INDEX@Master</stp>
        <tr r="K117" s="11"/>
      </tp>
      <tp t="s">
        <v>20210514_132953000</v>
        <stp/>
        <stp>00834B_Time:V_INDEX@Master</stp>
        <tr r="K182" s="11"/>
      </tp>
      <tp t="s">
        <v>20210514_151457742</v>
        <stp/>
        <stp>00633L_Time:V_INDEX@Master</stp>
        <tr r="K25" s="11"/>
      </tp>
      <tp t="s">
        <v>20210514_151459304</v>
        <stp/>
        <stp>00632R_Time:V_INDEX@Master</stp>
        <tr r="K24" s="11"/>
      </tp>
      <tp t="s">
        <v>20210514_132945000</v>
        <stp/>
        <stp>00832B_Time:V_INDEX@Master</stp>
        <tr r="K181" s="11"/>
      </tp>
      <tp t="s">
        <v>20210514_151459304</v>
        <stp/>
        <stp>00631L_Time:V_INDEX@Master</stp>
        <tr r="K23" s="11"/>
      </tp>
      <tp t="s">
        <v>20210514_132945000</v>
        <stp/>
        <stp>00831B_Time:V_INDEX@Master</stp>
        <tr r="K180" s="11"/>
      </tp>
      <tp t="s">
        <v>20210514_132942000</v>
        <stp/>
        <stp>00839B_Time:V_INDEX@Master</stp>
        <tr r="K185" s="11"/>
      </tp>
      <tp t="s">
        <v>20210514_151459414</v>
        <stp/>
        <stp>00738U_Time:V_INDEX@Master</stp>
        <tr r="K121" s="11"/>
      </tp>
      <tp t="s">
        <v>20210514_151457742</v>
        <stp/>
        <stp>00638R_Time:V_INDEX@Master</stp>
        <tr r="K31" s="11"/>
      </tp>
      <tp t="s">
        <v>20210514_132947000</v>
        <stp/>
        <stp>00838B_Time:V_INDEX@Master</stp>
        <tr r="K184" s="11"/>
      </tp>
    </main>
    <main first="kgi.tw.der.pricertdserver.2014.1">
      <tp>
        <v>61.839799999999997</v>
        <stp/>
        <stp>00789B:V_INDEX@Master</stp>
        <tr r="H169" s="11"/>
      </tp>
      <tp>
        <v>38.899000000000001</v>
        <stp/>
        <stp>00788B:V_INDEX@Master</stp>
        <tr r="H168" s="11"/>
      </tp>
      <tp>
        <v>41.070099999999996</v>
        <stp/>
        <stp>00785B:V_INDEX@Master</stp>
        <tr r="H165" s="11"/>
      </tp>
      <tp>
        <v>37.318399999999997</v>
        <stp/>
        <stp>00784B:V_INDEX@Master</stp>
        <tr r="H164" s="11"/>
      </tp>
      <tp>
        <v>41.224699999999999</v>
        <stp/>
        <stp>00787B:V_INDEX@Master</stp>
        <tr r="H167" s="11"/>
      </tp>
      <tp>
        <v>40.223199999999999</v>
        <stp/>
        <stp>00786B:V_INDEX@Master</stp>
        <tr r="H166" s="11"/>
      </tp>
      <tp>
        <v>40.344499999999996</v>
        <stp/>
        <stp>00781B:V_INDEX@Master</stp>
        <tr r="H161" s="11"/>
      </tp>
      <tp>
        <v>40.406700000000001</v>
        <stp/>
        <stp>00780B:V_INDEX@Master</stp>
        <tr r="H160" s="11"/>
      </tp>
      <tp>
        <v>40.639200000000002</v>
        <stp/>
        <stp>00782B:V_INDEX@Master</stp>
        <tr r="H162" s="11"/>
      </tp>
      <tp>
        <v>40.573799999999999</v>
        <stp/>
        <stp>00799B:V_INDEX@Master</stp>
        <tr r="H177" s="11"/>
      </tp>
      <tp>
        <v>39.110199999999999</v>
        <stp/>
        <stp>00795B:V_INDEX@Master</stp>
        <tr r="H175" s="11"/>
      </tp>
      <tp>
        <v>39.777700000000003</v>
        <stp/>
        <stp>00794B:V_INDEX@Master</stp>
        <tr r="H174" s="11"/>
      </tp>
      <tp>
        <v>39.441800000000001</v>
        <stp/>
        <stp>00796B:V_INDEX@Master</stp>
        <tr r="H176" s="11"/>
      </tp>
      <tp>
        <v>55.985100000000003</v>
        <stp/>
        <stp>00791B:V_INDEX@Master</stp>
        <tr r="H171" s="11"/>
      </tp>
      <tp>
        <v>61.616199999999999</v>
        <stp/>
        <stp>00790B:V_INDEX@Master</stp>
        <tr r="H170" s="11"/>
      </tp>
      <tp>
        <v>40.262</v>
        <stp/>
        <stp>00793B:V_INDEX@Master</stp>
        <tr r="H173" s="11"/>
      </tp>
      <tp>
        <v>40.413400000000003</v>
        <stp/>
        <stp>00792B:V_INDEX@Master</stp>
        <tr r="H172" s="11"/>
      </tp>
    </main>
    <main first="kgi.tw.der.pricertdserver.2014.1">
      <tp>
        <v>27.67947757238333</v>
        <stp/>
        <stp>00708L:V_INDEX@Master</stp>
        <tr r="H93" s="11"/>
      </tp>
      <tp>
        <v>19.801912823522596</v>
        <stp/>
        <stp>00707R:V_INDEX@Master</stp>
        <tr r="H92" s="11"/>
      </tp>
      <tp>
        <v>16.209201415179521</v>
        <stp/>
        <stp>00706L:V_INDEX@Master</stp>
        <tr r="H91" s="11"/>
      </tp>
    </main>
    <main first="kgi.tw.der.pricertdserver.2014.1">
      <tp>
        <v>30.142299999999999</v>
        <stp/>
        <stp>00719B:V_INDEX@Master</stp>
        <tr r="H103" s="11"/>
      </tp>
      <tp>
        <v>19.7119</v>
        <stp/>
        <stp>00718B:V_INDEX@Master</stp>
        <tr r="H102" s="11"/>
      </tp>
      <tp>
        <v>7.2366940909535984</v>
        <stp/>
        <stp>00715L:V_INDEX@Master</stp>
        <tr r="H100" s="11"/>
      </tp>
      <tp>
        <v>19.84</v>
        <stp/>
        <stp>00711B:V_INDEX@Master</stp>
        <tr r="H96" s="11"/>
      </tp>
      <tp>
        <v>18.309999999999999</v>
        <stp/>
        <stp>00710B:V_INDEX@Master</stp>
        <tr r="H95" s="11"/>
      </tp>
    </main>
    <main first="kgi.tw.der.pricertdserver.2014.1">
      <tp>
        <v>42.2883</v>
        <stp/>
        <stp>00725B:V_INDEX@Master</stp>
        <tr r="H109" s="11"/>
      </tp>
      <tp>
        <v>40.094000000000001</v>
        <stp/>
        <stp>00724B:V_INDEX@Master</stp>
        <tr r="H108" s="11"/>
      </tp>
      <tp>
        <v>38.2224</v>
        <stp/>
        <stp>00727B:V_INDEX@Master</stp>
        <tr r="H111" s="11"/>
      </tp>
      <tp>
        <v>41.314700000000002</v>
        <stp/>
        <stp>00726B:V_INDEX@Master</stp>
        <tr r="H110" s="11"/>
      </tp>
      <tp>
        <v>45.1449</v>
        <stp/>
        <stp>00721B:V_INDEX@Master</stp>
        <tr r="H105" s="11"/>
      </tp>
      <tp>
        <v>41.750300000000003</v>
        <stp/>
        <stp>00720B:V_INDEX@Master</stp>
        <tr r="H104" s="11"/>
      </tp>
      <tp>
        <v>40.011000000000003</v>
        <stp/>
        <stp>00723B:V_INDEX@Master</stp>
        <tr r="H107" s="11"/>
      </tp>
      <tp>
        <v>44.129399999999997</v>
        <stp/>
        <stp>00722B:V_INDEX@Master</stp>
        <tr r="H106" s="11"/>
      </tp>
    </main>
    <main first="kgi.tw.der.pricertdserver.2014.1">
      <tp>
        <v>28.241490924961614</v>
        <stp/>
        <stp>00738U:V_INDEX@Master</stp>
        <tr r="H121" s="11"/>
      </tp>
      <tp>
        <v>19.29</v>
        <stp/>
        <stp>00734B:V_INDEX@Master</stp>
        <tr r="H117" s="11"/>
      </tp>
    </main>
    <main first="kgi.tw.der.pricertdserver.2014.1">
      <tp>
        <v>41.52</v>
        <stp/>
        <stp>00749B:V_INDEX@Master</stp>
        <tr r="H132" s="11"/>
      </tp>
      <tp>
        <v>41.54</v>
        <stp/>
        <stp>00748B:V_INDEX@Master</stp>
        <tr r="H131" s="11"/>
      </tp>
      <tp>
        <v>40.709699999999998</v>
        <stp/>
        <stp>00745B:V_INDEX@Master</stp>
        <tr r="H128" s="11"/>
      </tp>
      <tp>
        <v>41.689900000000002</v>
        <stp/>
        <stp>00744B:V_INDEX@Master</stp>
        <tr r="H127" s="11"/>
      </tp>
      <tp>
        <v>50.752400000000002</v>
        <stp/>
        <stp>00747B:V_INDEX@Master</stp>
        <tr r="H130" s="11"/>
      </tp>
      <tp>
        <v>42.290300000000002</v>
        <stp/>
        <stp>00746B:V_INDEX@Master</stp>
        <tr r="H129" s="11"/>
      </tp>
      <tp>
        <v>37.336599999999997</v>
        <stp/>
        <stp>00741B:V_INDEX@Master</stp>
        <tr r="H124" s="11"/>
      </tp>
      <tp>
        <v>45.239800000000002</v>
        <stp/>
        <stp>00740B:V_INDEX@Master</stp>
        <tr r="H123" s="11"/>
      </tp>
    </main>
    <main first="kgi.tw.der.pricertdserver.2014.1">
      <tp>
        <v>66.92</v>
        <stp/>
        <stp>00759B:V_INDEX@Master</stp>
        <tr r="H142" s="11"/>
      </tp>
      <tp>
        <v>60</v>
        <stp/>
        <stp>00758B:V_INDEX@Master</stp>
        <tr r="H141" s="11"/>
      </tp>
      <tp>
        <v>41.901499999999999</v>
        <stp/>
        <stp>00755B:V_INDEX@Master</stp>
        <tr r="H138" s="11"/>
      </tp>
      <tp>
        <v>43.697299999999998</v>
        <stp/>
        <stp>00754B:V_INDEX@Master</stp>
        <tr r="H137" s="11"/>
      </tp>
      <tp>
        <v>43.275199999999998</v>
        <stp/>
        <stp>00756B:V_INDEX@Master</stp>
        <tr r="H139" s="11"/>
      </tp>
      <tp>
        <v>42.395099999999999</v>
        <stp/>
        <stp>00751B:V_INDEX@Master</stp>
        <tr r="H134" s="11"/>
      </tp>
      <tp>
        <v>41.2</v>
        <stp/>
        <stp>00750B:V_INDEX@Master</stp>
        <tr r="H133" s="11"/>
      </tp>
      <tp>
        <v>33.394501279121002</v>
        <stp/>
        <stp>00753L:V_INDEX@Master</stp>
        <tr r="H136" s="11"/>
      </tp>
    </main>
    <main first="kgi.tw.der.pricertdserver.2014.1">
      <tp>
        <v>64.384399999999999</v>
        <stp/>
        <stp>00768B:V_INDEX@Master</stp>
        <tr r="H149" s="11"/>
      </tp>
      <tp>
        <v>39.857900000000001</v>
        <stp/>
        <stp>00765B:V_INDEX@Master</stp>
        <tr r="H148" s="11"/>
      </tp>
      <tp>
        <v>40.338099999999997</v>
        <stp/>
        <stp>00764B:V_INDEX@Master</stp>
        <tr r="H147" s="11"/>
      </tp>
      <tp>
        <v>43.531399999999998</v>
        <stp/>
        <stp>00761B:V_INDEX@Master</stp>
        <tr r="H144" s="11"/>
      </tp>
      <tp>
        <v>63.83</v>
        <stp/>
        <stp>00760B:V_INDEX@Master</stp>
        <tr r="H143" s="11"/>
      </tp>
      <tp>
        <v>30.280971958180018</v>
        <stp/>
        <stp>00763U:V_INDEX@Master</stp>
        <tr r="H146" s="11"/>
      </tp>
    </main>
    <main first="kgi.tw.der.pricertdserver.2014.1">
      <tp>
        <v>40.479999999999997</v>
        <stp/>
        <stp>00779B:V_INDEX@Master</stp>
        <tr r="H159" s="11"/>
      </tp>
      <tp>
        <v>42.76</v>
        <stp/>
        <stp>00778B:V_INDEX@Master</stp>
        <tr r="H158" s="11"/>
      </tp>
      <tp>
        <v>40.4529</v>
        <stp/>
        <stp>00775B:V_INDEX@Master</stp>
        <tr r="H156" s="11"/>
      </tp>
      <tp>
        <v>39.039400000000001</v>
        <stp/>
        <stp>00774B:V_INDEX@Master</stp>
        <tr r="H154" s="11"/>
      </tp>
      <tp>
        <v>8.9962999999999997</v>
        <stp/>
        <stp>00774C:V_INDEX@Master</stp>
        <tr r="H155" s="11"/>
      </tp>
      <tp>
        <v>41.3</v>
        <stp/>
        <stp>00777B:V_INDEX@Master</stp>
        <tr r="H157" s="11"/>
      </tp>
      <tp>
        <v>43.008200000000002</v>
        <stp/>
        <stp>00773B:V_INDEX@Master</stp>
        <tr r="H153" s="11"/>
      </tp>
      <tp>
        <v>42.301400000000001</v>
        <stp/>
        <stp>00772B:V_INDEX@Master</stp>
        <tr r="H152" s="11"/>
      </tp>
    </main>
    <main first="kgi.tw.der.pricertdserver.2014.1">
      <tp t="s">
        <v>20210514_150301243</v>
        <stp/>
        <stp>TOPIX-U21_Time:JPX@IDC54</stp>
        <tr r="G109" s="12"/>
      </tp>
      <tp>
        <v>115.99447607326731</v>
        <stp/>
        <stp>0052_AskPrice:V_INDEX@Master</stp>
        <tr r="J8" s="11"/>
      </tp>
      <tp>
        <v>61.424946499999997</v>
        <stp/>
        <stp>0053_AskPrice:V_INDEX@Master</stp>
        <tr r="J9" s="11"/>
      </tp>
      <tp>
        <v>128.8508124</v>
        <stp/>
        <stp>0050_AskPrice:V_INDEX@Master</stp>
        <tr r="J6" s="11"/>
      </tp>
      <tp>
        <v>48.951443900000001</v>
        <stp/>
        <stp>0051_AskPrice:V_INDEX@Master</stp>
        <tr r="J7" s="11"/>
      </tp>
      <tp>
        <v>33.585991300000003</v>
        <stp/>
        <stp>0056_AskPrice:V_INDEX@Master</stp>
        <tr r="J12" s="11"/>
      </tp>
      <tp>
        <v>87.752576690790661</v>
        <stp/>
        <stp>0057_AskPrice:V_INDEX@Master</stp>
        <tr r="J13" s="11"/>
      </tp>
      <tp>
        <v>29.3218356</v>
        <stp/>
        <stp>0054_AskPrice:V_INDEX@Master</stp>
        <tr r="J10" s="11"/>
      </tp>
      <tp>
        <v>20.44337402</v>
        <stp/>
        <stp>0055_AskPrice:V_INDEX@Master</stp>
        <tr r="J11" s="11"/>
      </tp>
      <tp>
        <v>-7.9228162514264338E+28</v>
        <stp/>
        <stp>0061_AskPrice:V_INDEX@Master</stp>
        <tr r="J14" s="11"/>
      </tp>
      <tp t="s">
        <v>20210514_150305049</v>
        <stp/>
        <stp>TOPIX-Z21_Time:JPX@IDC54</stp>
        <tr r="G108" s="12"/>
      </tp>
      <tp t="s">
        <v>20210514_132943000</v>
        <stp/>
        <stp>00727B_Time:V_INDEX@Master</stp>
        <tr r="K111" s="11"/>
      </tp>
      <tp t="s">
        <v>20210514_132943000</v>
        <stp/>
        <stp>00726B_Time:V_INDEX@Master</stp>
        <tr r="K110" s="11"/>
      </tp>
      <tp t="s">
        <v>20210514_132930000</v>
        <stp/>
        <stp>00625K_Time:V_INDEX@Master</stp>
        <tr r="K22" s="11"/>
      </tp>
      <tp t="s">
        <v>20210514_132943000</v>
        <stp/>
        <stp>00725B_Time:V_INDEX@Master</stp>
        <tr r="K109" s="11"/>
      </tp>
      <tp t="s">
        <v>20210514_132945000</v>
        <stp/>
        <stp>00724B_Time:V_INDEX@Master</stp>
        <tr r="K108" s="11"/>
      </tp>
      <tp t="s">
        <v>20210514_132945000</v>
        <stp/>
        <stp>00723B_Time:V_INDEX@Master</stp>
        <tr r="K107" s="11"/>
      </tp>
      <tp t="s">
        <v>20210514_132945000</v>
        <stp/>
        <stp>00722B_Time:V_INDEX@Master</stp>
        <tr r="K106" s="11"/>
      </tp>
      <tp t="s">
        <v>20210514_132945000</v>
        <stp/>
        <stp>00721B_Time:V_INDEX@Master</stp>
        <tr r="K105" s="11"/>
      </tp>
      <tp t="s">
        <v>20210514_151458742</v>
        <stp/>
        <stp>006208_Time:V_INDEX@Master</stp>
        <tr r="K21" s="11"/>
      </tp>
      <tp t="s">
        <v>20210514_151444741</v>
        <stp/>
        <stp>006204_Time:V_INDEX@Master</stp>
        <tr r="K17" s="11"/>
      </tp>
      <tp t="s">
        <v>20210514_151416000</v>
        <stp/>
        <stp>006205_Time:V_INDEX@Master</stp>
        <tr r="K18" s="11"/>
      </tp>
      <tp t="s">
        <v>20210514_151445000</v>
        <stp/>
        <stp>006206_Time:V_INDEX@Master</stp>
        <tr r="K19" s="11"/>
      </tp>
      <tp t="s">
        <v>20210514_151355000</v>
        <stp/>
        <stp>006207_Time:V_INDEX@Master</stp>
        <tr r="K20" s="11"/>
      </tp>
      <tp t="s">
        <v>20210514_133100998</v>
        <stp/>
        <stp>006201_Time:V_INDEX@Master</stp>
        <tr r="K15" s="11"/>
      </tp>
      <tp t="s">
        <v>20210514_132957000</v>
        <stp/>
        <stp>008201_Time:V_INDEX@Master</stp>
        <tr r="K178" s="11"/>
      </tp>
      <tp t="s">
        <v>20210514_133105998</v>
        <stp/>
        <stp>006203_Time:V_INDEX@Master</stp>
        <tr r="K16" s="11"/>
      </tp>
      <tp t="s">
        <v>20210514_132945000</v>
        <stp/>
        <stp>00720B_Time:V_INDEX@Master</stp>
        <tr r="K104" s="11"/>
      </tp>
      <tp t="s">
        <v>20210514_150301245</v>
        <stp/>
        <stp>TOPIX-M21_Time:JPX@IDC54</stp>
        <tr r="G106" s="12"/>
      </tp>
    </main>
    <main first="kgi.tw.der.pricertdserver.2014.1">
      <tp t="e">
        <v>#N/A</v>
        <stp/>
        <stp>TOPIX-H21_Time:JPX@IDC54</stp>
        <tr r="G107" s="12"/>
      </tp>
    </main>
    <main first="kgi.tw.der.pricertdserver.2014.1">
      <tp t="s">
        <v>20210514_132943000</v>
        <stp/>
        <stp>00657K_Time:V_INDEX@Master</stp>
        <tr r="K50" s="11"/>
      </tp>
      <tp t="s">
        <v>20210514_132932000</v>
        <stp/>
        <stp>00857B_Time:V_INDEX@Master</stp>
        <tr r="K201" s="11"/>
      </tp>
      <tp t="s">
        <v>20210514_151457742</v>
        <stp/>
        <stp>00656R_Time:V_INDEX@Master</stp>
        <tr r="K48" s="11"/>
      </tp>
      <tp t="s">
        <v>20210514_132945000</v>
        <stp/>
        <stp>00756B_Time:V_INDEX@Master</stp>
        <tr r="K139" s="11"/>
      </tp>
      <tp t="s">
        <v>20210514_132948000</v>
        <stp/>
        <stp>00856B_Time:V_INDEX@Master</stp>
        <tr r="K200" s="11"/>
      </tp>
      <tp t="s">
        <v>20210514_151457742</v>
        <stp/>
        <stp>00655L_Time:V_INDEX@Master</stp>
        <tr r="K47" s="11"/>
      </tp>
      <tp t="s">
        <v>20210514_132945000</v>
        <stp/>
        <stp>00755B_Time:V_INDEX@Master</stp>
        <tr r="K138" s="11"/>
      </tp>
      <tp t="s">
        <v>20210514_151459867</v>
        <stp/>
        <stp>00654R_Time:V_INDEX@Master</stp>
        <tr r="K46" s="11"/>
      </tp>
      <tp t="s">
        <v>20210514_132945000</v>
        <stp/>
        <stp>00754B_Time:V_INDEX@Master</stp>
        <tr r="K137" s="11"/>
      </tp>
      <tp t="s">
        <v>20210514_151459867</v>
        <stp/>
        <stp>00653L_Time:V_INDEX@Master</stp>
        <tr r="K45" s="11"/>
      </tp>
      <tp t="s">
        <v>20210514_151455616</v>
        <stp/>
        <stp>00753L_Time:V_INDEX@Master</stp>
        <tr r="K136" s="11"/>
      </tp>
      <tp t="s">
        <v>20210514_132947000</v>
        <stp/>
        <stp>00853B_Time:V_INDEX@Master</stp>
        <tr r="K199" s="11"/>
      </tp>
      <tp t="s">
        <v>20210514_151459664</v>
        <stp/>
        <stp>00852L_Time:V_INDEX@Master</stp>
        <tr r="K198" s="11"/>
      </tp>
      <tp t="s">
        <v>20210514_151459773</v>
        <stp/>
        <stp>00651R_Time:V_INDEX@Master</stp>
        <tr r="K43" s="11"/>
      </tp>
      <tp t="s">
        <v>20210514_132945000</v>
        <stp/>
        <stp>00751B_Time:V_INDEX@Master</stp>
        <tr r="K134" s="11"/>
      </tp>
      <tp t="s">
        <v>20210514_151459773</v>
        <stp/>
        <stp>00650L_Time:V_INDEX@Master</stp>
        <tr r="K42" s="11"/>
      </tp>
      <tp t="s">
        <v>20210514_132957000</v>
        <stp/>
        <stp>00750B_Time:V_INDEX@Master</stp>
        <tr r="K133" s="11"/>
      </tp>
      <tp t="s">
        <v>20210514_132949000</v>
        <stp/>
        <stp>00759B_Time:V_INDEX@Master</stp>
        <tr r="K142" s="11"/>
      </tp>
      <tp t="s">
        <v>20210514_132945000</v>
        <stp/>
        <stp>00859B_Time:V_INDEX@Master</stp>
        <tr r="K203" s="11"/>
      </tp>
      <tp t="s">
        <v>20210514_132939000</v>
        <stp/>
        <stp>00758B_Time:V_INDEX@Master</stp>
        <tr r="K141" s="11"/>
      </tp>
    </main>
    <main first="kgi.tw.der.pricertdserver.2014.1">
      <tp t="s">
        <v>20210514_151459689</v>
        <stp/>
        <stp>YM-U21_Time:CBOT@IDC54</stp>
        <tr r="G38" s="12"/>
      </tp>
      <tp t="s">
        <v>20210514_151459648</v>
        <stp/>
        <stp>ZB-U21_Time:CBOT@IDC54</stp>
        <tr r="G82" s="12"/>
      </tp>
      <tp t="s">
        <v>20210514_151445147</v>
        <stp/>
        <stp>ZS-U21_Time:CBOT@IDC54</stp>
        <tr r="G78" s="12"/>
      </tp>
      <tp t="s">
        <v>20210514_151459398</v>
        <stp/>
        <stp>UB-U21_Time:CBOT@IDC54</stp>
        <tr r="G54" s="12"/>
      </tp>
      <tp t="e">
        <v>#N/A</v>
        <stp/>
        <stp>TN-U20_Time:CBOT@IDC54</stp>
        <tr r="G124" s="12"/>
      </tp>
      <tp t="s">
        <v>20210514_151459523</v>
        <stp/>
        <stp>00647L_Time:V_INDEX@Master</stp>
        <tr r="K40" s="11"/>
      </tp>
      <tp t="s">
        <v>20210514_132939000</v>
        <stp/>
        <stp>00747B_Time:V_INDEX@Master</stp>
        <tr r="K130" s="11"/>
      </tp>
      <tp t="s">
        <v>20210514_132949000</v>
        <stp/>
        <stp>00847B_Time:V_INDEX@Master</stp>
        <tr r="K193" s="11"/>
      </tp>
      <tp t="s">
        <v>20210514_132930000</v>
        <stp/>
        <stp>00746B_Time:V_INDEX@Master</stp>
        <tr r="K129" s="11"/>
      </tp>
      <tp t="s">
        <v>20210514_132930000</v>
        <stp/>
        <stp>00846B_Time:V_INDEX@Master</stp>
        <tr r="K192" s="11"/>
      </tp>
      <tp t="s">
        <v>20210514_132930000</v>
        <stp/>
        <stp>00745B_Time:V_INDEX@Master</stp>
        <tr r="K128" s="11"/>
      </tp>
      <tp t="s">
        <v>20210514_132930000</v>
        <stp/>
        <stp>00845B_Time:V_INDEX@Master</stp>
        <tr r="K191" s="11"/>
      </tp>
      <tp t="s">
        <v>20210514_132943000</v>
        <stp/>
        <stp>00744B_Time:V_INDEX@Master</stp>
        <tr r="K127" s="11"/>
      </tp>
      <tp t="s">
        <v>20210514_132945000</v>
        <stp/>
        <stp>00844B_Time:V_INDEX@Master</stp>
        <tr r="K190" s="11"/>
      </tp>
      <tp t="s">
        <v>20210514_132945000</v>
        <stp/>
        <stp>00643K_Time:V_INDEX@Master</stp>
        <tr r="K37" s="11"/>
      </tp>
      <tp t="s">
        <v>20210514_132945000</v>
        <stp/>
        <stp>00843B_Time:V_INDEX@Master</stp>
        <tr r="K189" s="11"/>
      </tp>
      <tp t="s">
        <v>20210514_151457398</v>
        <stp/>
        <stp>00642U_Time:V_INDEX@Master</stp>
        <tr r="K35" s="11"/>
      </tp>
      <tp t="s">
        <v>20210514_132945000</v>
        <stp/>
        <stp>00842B_Time:V_INDEX@Master</stp>
        <tr r="K188" s="11"/>
      </tp>
      <tp t="s">
        <v>20210514_151419535</v>
        <stp/>
        <stp>00641R_Time:V_INDEX@Master</stp>
        <tr r="K34" s="11"/>
      </tp>
      <tp t="s">
        <v>20210514_132930000</v>
        <stp/>
        <stp>00741B_Time:V_INDEX@Master</stp>
        <tr r="K124" s="11"/>
      </tp>
      <tp t="s">
        <v>20210514_132942000</v>
        <stp/>
        <stp>00841B_Time:V_INDEX@Master</stp>
        <tr r="K187" s="11"/>
      </tp>
      <tp t="s">
        <v>20210514_151419535</v>
        <stp/>
        <stp>00640L_Time:V_INDEX@Master</stp>
        <tr r="K33" s="11"/>
      </tp>
      <tp t="s">
        <v>20210514_132930000</v>
        <stp/>
        <stp>00740B_Time:V_INDEX@Master</stp>
        <tr r="K123" s="11"/>
      </tp>
      <tp t="s">
        <v>20210514_132942000</v>
        <stp/>
        <stp>00840B_Time:V_INDEX@Master</stp>
        <tr r="K186" s="11"/>
      </tp>
      <tp t="s">
        <v>20210514_132942000</v>
        <stp/>
        <stp>00749B_Time:V_INDEX@Master</stp>
        <tr r="K132" s="11"/>
      </tp>
      <tp t="s">
        <v>20210514_132949000</v>
        <stp/>
        <stp>00849B_Time:V_INDEX@Master</stp>
        <tr r="K195" s="11"/>
      </tp>
      <tp t="s">
        <v>20210514_151459523</v>
        <stp/>
        <stp>00648R_Time:V_INDEX@Master</stp>
        <tr r="K41" s="11"/>
      </tp>
      <tp t="s">
        <v>20210514_132942000</v>
        <stp/>
        <stp>00748B_Time:V_INDEX@Master</stp>
        <tr r="K131" s="11"/>
      </tp>
      <tp t="s">
        <v>20210514_132949000</v>
        <stp/>
        <stp>00848B_Time:V_INDEX@Master</stp>
        <tr r="K194" s="11"/>
      </tp>
    </main>
    <main first="kgi.tw.der.pricertdserver.2014.1">
      <tp t="s">
        <v>20210514_151451319</v>
        <stp/>
        <stp>00677U_Time:V_INDEX@Master</stp>
        <tr r="K67" s="11"/>
      </tp>
      <tp t="s">
        <v>20210514_132942000</v>
        <stp/>
        <stp>00777B_Time:V_INDEX@Master</stp>
        <tr r="K157" s="11"/>
      </tp>
      <tp t="s">
        <v>20210514_151459304</v>
        <stp/>
        <stp>00676R_Time:V_INDEX@Master</stp>
        <tr r="K66" s="11"/>
      </tp>
      <tp t="s">
        <v>20210514_151459304</v>
        <stp/>
        <stp>00675L_Time:V_INDEX@Master</stp>
        <tr r="K65" s="11"/>
      </tp>
      <tp t="s">
        <v>20210514_132945000</v>
        <stp/>
        <stp>00775B_Time:V_INDEX@Master</stp>
        <tr r="K156" s="11"/>
      </tp>
      <tp t="s">
        <v>20210514_151459679</v>
        <stp/>
        <stp>00674R_Time:V_INDEX@Master</stp>
        <tr r="K64" s="11"/>
      </tp>
      <tp t="s">
        <v>20210514_132945000</v>
        <stp/>
        <stp>00774B_Time:V_INDEX@Master</stp>
        <tr r="K154" s="11"/>
      </tp>
      <tp t="s">
        <v>20210514_132946000</v>
        <stp/>
        <stp>00774C_Time:V_INDEX@Master</stp>
        <tr r="K155" s="11"/>
      </tp>
      <tp t="s">
        <v>20210514_151457398</v>
        <stp/>
        <stp>00673R_Time:V_INDEX@Master</stp>
        <tr r="K63" s="11"/>
      </tp>
      <tp t="s">
        <v>20210514_132949000</v>
        <stp/>
        <stp>00773B_Time:V_INDEX@Master</stp>
        <tr r="K153" s="11"/>
      </tp>
      <tp t="s">
        <v>20210514_132949000</v>
        <stp/>
        <stp>00772B_Time:V_INDEX@Master</stp>
        <tr r="K152" s="11"/>
      </tp>
      <tp t="s">
        <v>20210514_132942000</v>
        <stp/>
        <stp>00872B_Time:V_INDEX@Master</stp>
        <tr r="K214" s="11"/>
      </tp>
      <tp t="s">
        <v>20210514_151458851</v>
        <stp/>
        <stp>00671R_Time:V_INDEX@Master</stp>
        <tr r="K62" s="11"/>
      </tp>
      <tp t="s">
        <v>20210514_151458851</v>
        <stp/>
        <stp>00670L_Time:V_INDEX@Master</stp>
        <tr r="K61" s="11"/>
      </tp>
      <tp t="s">
        <v>20210514_132945000</v>
        <stp/>
        <stp>00870B_Time:V_INDEX@Master</stp>
        <tr r="K213" s="11"/>
      </tp>
      <tp t="s">
        <v>20210514_132945000</v>
        <stp/>
        <stp>00679B_Time:V_INDEX@Master</stp>
        <tr r="K69" s="11"/>
      </tp>
      <tp t="s">
        <v>20210514_132957000</v>
        <stp/>
        <stp>00779B_Time:V_INDEX@Master</stp>
        <tr r="K159" s="11"/>
      </tp>
      <tp t="s">
        <v>20210514_132953000</v>
        <stp/>
        <stp>00879B_Time:V_INDEX@Master</stp>
        <tr r="K218" s="11"/>
      </tp>
      <tp t="s">
        <v>20210514_132942000</v>
        <stp/>
        <stp>00778B_Time:V_INDEX@Master</stp>
        <tr r="K158" s="11"/>
      </tp>
    </main>
    <main first="kgi.tw.der.pricertdserver.2014.1">
      <tp t="s">
        <v>20210514_132945000</v>
        <stp/>
        <stp>00867B_Time:V_INDEX@Master</stp>
        <tr r="K210" s="11"/>
      </tp>
      <tp t="s">
        <v>20210514_151459273</v>
        <stp/>
        <stp>00666R_Time:V_INDEX@Master</stp>
        <tr r="K57" s="11"/>
      </tp>
      <tp t="s">
        <v>20210514_151459273</v>
        <stp/>
        <stp>00665L_Time:V_INDEX@Master</stp>
        <tr r="K56" s="11"/>
      </tp>
      <tp t="s">
        <v>20210514_132945000</v>
        <stp/>
        <stp>00765B_Time:V_INDEX@Master</stp>
        <tr r="K148" s="11"/>
      </tp>
      <tp t="s">
        <v>20210514_132929000</v>
        <stp/>
        <stp>00865B_Time:V_INDEX@Master</stp>
        <tr r="K209" s="11"/>
      </tp>
      <tp t="s">
        <v>20210514_151459304</v>
        <stp/>
        <stp>00664R_Time:V_INDEX@Master</stp>
        <tr r="K55" s="11"/>
      </tp>
      <tp t="s">
        <v>20210514_132945000</v>
        <stp/>
        <stp>00764B_Time:V_INDEX@Master</stp>
        <tr r="K147" s="11"/>
      </tp>
      <tp t="s">
        <v>20210514_132949000</v>
        <stp/>
        <stp>00864B_Time:V_INDEX@Master</stp>
        <tr r="K208" s="11"/>
      </tp>
      <tp t="s">
        <v>20210514_151457913</v>
        <stp/>
        <stp>00763U_Time:V_INDEX@Master</stp>
        <tr r="K146" s="11"/>
      </tp>
      <tp t="s">
        <v>20210514_151459304</v>
        <stp/>
        <stp>00663L_Time:V_INDEX@Master</stp>
        <tr r="K54" s="11"/>
      </tp>
      <tp t="s">
        <v>20210514_132949000</v>
        <stp/>
        <stp>00863B_Time:V_INDEX@Master</stp>
        <tr r="K207" s="11"/>
      </tp>
      <tp t="s">
        <v>20210514_132949000</v>
        <stp/>
        <stp>00862B_Time:V_INDEX@Master</stp>
        <tr r="K206" s="11"/>
      </tp>
      <tp t="s">
        <v>20210514_132928000</v>
        <stp/>
        <stp>00761B_Time:V_INDEX@Master</stp>
        <tr r="K144" s="11"/>
      </tp>
      <tp t="s">
        <v>20210514_132939000</v>
        <stp/>
        <stp>00760B_Time:V_INDEX@Master</stp>
        <tr r="K143" s="11"/>
      </tp>
      <tp t="s">
        <v>20210514_132945000</v>
        <stp/>
        <stp>00860B_Time:V_INDEX@Master</stp>
        <tr r="K204" s="11"/>
      </tp>
      <tp t="s">
        <v>20210514_151459664</v>
        <stp/>
        <stp>00669R_Time:V_INDEX@Master</stp>
        <tr r="K60" s="11"/>
      </tp>
      <tp t="s">
        <v>20210514_132946000</v>
        <stp/>
        <stp>00869B_Time:V_INDEX@Master</stp>
        <tr r="K212" s="11"/>
      </tp>
      <tp t="s">
        <v>20210514_132928000</v>
        <stp/>
        <stp>00668K_Time:V_INDEX@Master</stp>
        <tr r="K59" s="11"/>
      </tp>
      <tp t="s">
        <v>20210514_132939000</v>
        <stp/>
        <stp>00768B_Time:V_INDEX@Master</stp>
        <tr r="K149" s="11"/>
      </tp>
      <tp t="e">
        <v>#N/A</v>
        <stp/>
        <stp>00868B_Time:V_INDEX@Master</stp>
        <tr r="K211" s="11"/>
      </tp>
    </main>
    <main first="kgi.tw.der.pricertdserver.2014.1">
      <tp t="e">
        <v>#N/A</v>
        <stp/>
        <stp>YM-H21_Time:CBOT@IDC54</stp>
        <tr r="G36" s="12"/>
      </tp>
      <tp t="e">
        <v>#N/A</v>
        <stp/>
        <stp>ZB-H21_Time:CBOT@IDC54</stp>
        <tr r="G80" s="12"/>
      </tp>
      <tp t="e">
        <v>#N/A</v>
        <stp/>
        <stp>ZS-H21_Time:CBOT@IDC54</stp>
        <tr r="G72" s="12"/>
      </tp>
      <tp t="e">
        <v>#N/A</v>
        <stp/>
        <stp>TN-H21_Time:CBOT@IDC54</stp>
        <tr r="G122" s="12"/>
      </tp>
    </main>
    <main first="kgi.tw.der.pricertdserver.2014.1">
      <tp>
        <v>1449.6273935256588</v>
        <stp/>
        <stp>TSE13:V_INDEX@IDC54</stp>
        <tr r="R3" s="12"/>
      </tp>
    </main>
    <main first="kgi.tw.der.pricertdserver.2014.1">
      <tp>
        <v>637.51</v>
        <stp/>
        <stp>TAMSCI:V_INDEX@IDC54</stp>
        <tr r="F154" s="12"/>
      </tp>
    </main>
    <main first="kgi.tw.der.pricertdserver.2014.1">
      <tp>
        <v>15827.089026480331</v>
        <stp/>
        <stp>TSE00:V_INDEX@IDC54</stp>
        <tr r="R2" s="12"/>
      </tp>
      <tp t="e">
        <v>#N/A</v>
        <stp/>
        <stp>RTY-H21:CME@IDC54</stp>
        <tr r="F126" s="12"/>
      </tp>
      <tp t="e">
        <v>#N/A</v>
        <stp/>
        <stp>RTY-M21:CME@IDC54</stp>
        <tr r="F127" s="12"/>
      </tp>
      <tp t="e">
        <v>#N/A</v>
        <stp/>
        <stp>RTY-Z21:CME@IDC54</stp>
        <tr r="F125" s="12"/>
      </tp>
      <tp t="e">
        <v>#N/A</v>
        <stp/>
        <stp>RTY-U21:CME@IDC54</stp>
        <tr r="F128" s="12"/>
      </tp>
    </main>
    <main first="kgi.tw.der.pricertdserver.2014.1">
      <tp t="s">
        <v>20210514_151444131</v>
        <stp/>
        <stp>ZS-K21_Time:CBOT@IDC54</stp>
        <tr r="G74" s="12"/>
      </tp>
      <tp t="e">
        <v>#N/A</v>
        <stp/>
        <stp>ZS-K20_Time:CBOT@IDC54</stp>
        <tr r="G75" s="12"/>
      </tp>
    </main>
    <main first="kgi.tw.der.pricertdserver.2014.1">
      <tp>
        <v>761.17523309473415</v>
        <stp/>
        <stp>TSE26:V_INDEX@IDC54</stp>
        <tr r="R4" s="12"/>
      </tp>
    </main>
    <main first="kgi.tw.der.pricertdserver.2014.1">
      <tp t="s">
        <v>20210514_151459409</v>
        <stp/>
        <stp>YM-M21_Time:CBOT@IDC54</stp>
        <tr r="G37" s="12"/>
      </tp>
      <tp t="s">
        <v>20210514_151459664</v>
        <stp/>
        <stp>ZB-M21_Time:CBOT@IDC54</stp>
        <tr r="G81" s="12"/>
      </tp>
      <tp t="s">
        <v>20210514_151459664</v>
        <stp/>
        <stp>UB-M21_Time:CBOT@IDC54</stp>
        <tr r="G53" s="12"/>
      </tp>
      <tp t="s">
        <v>20210514_151459648</v>
        <stp/>
        <stp>TN-M21_Time:CBOT@IDC54</stp>
        <tr r="G123" s="12"/>
      </tp>
    </main>
    <main first="kgi.tw.der.pricertdserver.2014.1">
      <tp t="s">
        <v>20210514_151459648</v>
        <stp/>
        <stp>ZS-N21_Time:CBOT@IDC54</stp>
        <tr r="G76" s="12"/>
      </tp>
    </main>
    <main first="kgi.tw.der.pricertdserver.2014.1">
      <tp>
        <v>-7.9228162514264338E+28</v>
        <stp/>
        <stp>TWN-U21:SGX@IDC54</stp>
        <tr r="F149" s="12"/>
      </tp>
      <tp t="e">
        <v>#N/A</v>
        <stp/>
        <stp>TWN-Q21:SGX@IDC54</stp>
        <tr r="F146" s="12"/>
      </tp>
      <tp>
        <v>-7.9228162514264338E+28</v>
        <stp/>
        <stp>TWN-N21:SGX@IDC54</stp>
        <tr r="F148" s="12"/>
      </tp>
      <tp>
        <v>1381.75</v>
        <stp/>
        <stp>TWN-M21:SGX@IDC54</stp>
        <tr r="F147" s="12"/>
      </tp>
      <tp t="e">
        <v>#N/A</v>
        <stp/>
        <stp>TWN-J21:SGX@IDC54</stp>
        <tr r="F150" s="12"/>
      </tp>
      <tp>
        <v>1392.25</v>
        <stp/>
        <stp>TWN-K21:SGX@IDC54</stp>
        <tr r="F151" s="12"/>
      </tp>
    </main>
    <main first="kgi.tw.der.pricertdserver.2014.1">
      <tp>
        <v>637.50961963869918</v>
        <stp/>
        <stp>MSCITW:V_INDEX@IDC54</stp>
        <tr r="R5" s="12"/>
        <tr r="F153" s="12"/>
      </tp>
    </main>
    <main first="kgi.tw.der.pricertdserver.2014.1">
      <tp t="e">
        <v>#N/A</v>
        <stp/>
        <stp>ZS-F21_Time:CBOT@IDC54</stp>
        <tr r="G73" s="12"/>
      </tp>
      <tp t="e">
        <v>#N/A</v>
        <stp/>
        <stp>NCH-G21:SGX@IDC54</stp>
        <tr r="F90" s="12"/>
      </tp>
      <tp t="e">
        <v>#N/A</v>
        <stp/>
        <stp>NCH-H21:SGX@IDC54</stp>
        <tr r="F91" s="12"/>
      </tp>
      <tp t="e">
        <v>#N/A</v>
        <stp/>
        <stp>NCH-J21:SGX@IDC54</stp>
        <tr r="F92" s="12"/>
      </tp>
      <tp t="e">
        <v>#N/A</v>
        <stp/>
        <stp>NCH-K21:SGX@IDC54</stp>
        <tr r="F89" s="12"/>
      </tp>
    </main>
    <main first="kgi.tw.der.pricertdserver.2014.1">
      <tp>
        <v>37.534399999999998</v>
        <stp/>
        <stp>00884B_Reference:V_INDEX@Master</stp>
        <tr r="G223" s="11"/>
      </tp>
      <tp>
        <v>36.8598</v>
        <stp/>
        <stp>00864B_Reference:V_INDEX@Master</stp>
        <tr r="G208" s="11"/>
      </tp>
      <tp>
        <v>38.341299999999997</v>
        <stp/>
        <stp>00844B_Reference:V_INDEX@Master</stp>
        <tr r="G190" s="11"/>
      </tp>
      <tp>
        <v>40.44</v>
        <stp/>
        <stp>00834B_Reference:V_INDEX@Master</stp>
        <tr r="G182" s="11"/>
      </tp>
      <tp>
        <v>37.390700000000002</v>
        <stp/>
        <stp>00694B_Reference:V_INDEX@Master</stp>
        <tr r="G83" s="11"/>
      </tp>
      <tp>
        <v>39.768700000000003</v>
        <stp/>
        <stp>00794B_Reference:V_INDEX@Master</stp>
        <tr r="G174" s="11"/>
      </tp>
      <tp>
        <v>37.2986</v>
        <stp/>
        <stp>00784B_Reference:V_INDEX@Master</stp>
        <tr r="G164" s="11"/>
      </tp>
      <tp>
        <v>39.008400000000002</v>
        <stp/>
        <stp>00774B_Reference:V_INDEX@Master</stp>
        <tr r="G154" s="11"/>
      </tp>
      <tp>
        <v>40.373399999999997</v>
        <stp/>
        <stp>00764B_Reference:V_INDEX@Master</stp>
        <tr r="G147" s="11"/>
      </tp>
      <tp>
        <v>43.734299999999998</v>
        <stp/>
        <stp>00754B_Reference:V_INDEX@Master</stp>
        <tr r="G137" s="11"/>
      </tp>
      <tp>
        <v>41.673099999999998</v>
        <stp/>
        <stp>00744B_Reference:V_INDEX@Master</stp>
        <tr r="G127" s="11"/>
      </tp>
      <tp>
        <v>19.309999999999999</v>
        <stp/>
        <stp>00734B_Reference:V_INDEX@Master</stp>
        <tr r="G117" s="11"/>
      </tp>
      <tp>
        <v>40.127099999999999</v>
        <stp/>
        <stp>00724B_Reference:V_INDEX@Master</stp>
        <tr r="G108" s="11"/>
      </tp>
      <tp>
        <v>8.9510000000000005</v>
        <stp/>
        <stp>00774C_Reference:V_INDEX@Master</stp>
        <tr r="G155" s="11"/>
      </tp>
      <tp>
        <v>-7.9228162514264338E+28</v>
        <stp/>
        <stp>00799B_BidPrice:V_INDEX@Master</stp>
        <tr r="I177" s="11"/>
      </tp>
      <tp>
        <v>-7.9228162514264338E+28</v>
        <stp/>
        <stp>00696B_BidPrice:V_INDEX@Master</stp>
        <tr r="I85" s="11"/>
      </tp>
      <tp>
        <v>-7.9228162514264338E+28</v>
        <stp/>
        <stp>00796B_BidPrice:V_INDEX@Master</stp>
        <tr r="I176" s="11"/>
      </tp>
      <tp>
        <v>19.261710954446855</v>
        <stp/>
        <stp>00684R_Reference:V_INDEX@Master</stp>
        <tr r="G74" s="11"/>
      </tp>
      <tp>
        <v>13.127715016061169</v>
        <stp/>
        <stp>00674R_Reference:V_INDEX@Master</stp>
        <tr r="G64" s="11"/>
      </tp>
      <tp>
        <v>7.232485188888317</v>
        <stp/>
        <stp>00664R_Reference:V_INDEX@Master</stp>
        <tr r="G55" s="11"/>
      </tp>
      <tp>
        <v>9.8373683409436836</v>
        <stp/>
        <stp>00654R_Reference:V_INDEX@Master</stp>
        <tr r="G46" s="11"/>
      </tp>
      <tp>
        <v>4.0016763350286082</v>
        <stp/>
        <stp>00634R_Reference:V_INDEX@Master</stp>
        <tr r="G26" s="11"/>
      </tp>
      <tp>
        <v>-7.9228162514264338E+28</v>
        <stp/>
        <stp>00697B_BidPrice:V_INDEX@Master</stp>
        <tr r="I86" s="11"/>
      </tp>
      <tp>
        <v>-7.9228162514264338E+28</v>
        <stp/>
        <stp>00694B_BidPrice:V_INDEX@Master</stp>
        <tr r="I83" s="11"/>
      </tp>
      <tp>
        <v>-7.9228162514264338E+28</v>
        <stp/>
        <stp>00794B_BidPrice:V_INDEX@Master</stp>
        <tr r="I174" s="11"/>
      </tp>
      <tp>
        <v>-7.9228162514264338E+28</v>
        <stp/>
        <stp>00695B_BidPrice:V_INDEX@Master</stp>
        <tr r="I84" s="11"/>
      </tp>
      <tp>
        <v>-7.9228162514264338E+28</v>
        <stp/>
        <stp>00795B_BidPrice:V_INDEX@Master</stp>
        <tr r="I175" s="11"/>
      </tp>
      <tp>
        <v>-7.9228162514264338E+28</v>
        <stp/>
        <stp>00792B_BidPrice:V_INDEX@Master</stp>
        <tr r="I172" s="11"/>
      </tp>
      <tp>
        <v>24.315322771439504</v>
        <stp/>
        <stp>00693U_BidPrice:V_INDEX@Master</stp>
        <tr r="I82" s="11"/>
      </tp>
      <tp>
        <v>-7.9228162514264338E+28</v>
        <stp/>
        <stp>00793B_BidPrice:V_INDEX@Master</stp>
        <tr r="I173" s="11"/>
      </tp>
      <tp>
        <v>-7.9228162514264338E+28</v>
        <stp/>
        <stp>00790B_BidPrice:V_INDEX@Master</stp>
        <tr r="I170" s="11"/>
      </tp>
      <tp>
        <v>-7.9228162514264338E+28</v>
        <stp/>
        <stp>00791B_BidPrice:V_INDEX@Master</stp>
        <tr r="I171" s="11"/>
      </tp>
    </main>
    <main first="kgi.tw.der.pricertdserver.2014.1">
      <tp>
        <v>8.59</v>
        <stp/>
        <stp>00625K_Reference:V_INDEX@Master</stp>
        <tr r="G22" s="11"/>
      </tp>
      <tp>
        <v>34.606255564715582</v>
        <stp/>
        <stp>00685L_Reference:V_INDEX@Master</stp>
        <tr r="G75" s="11"/>
      </tp>
      <tp>
        <v>39.317107684679172</v>
        <stp/>
        <stp>00675L_Reference:V_INDEX@Master</stp>
        <tr r="G65" s="11"/>
      </tp>
      <tp>
        <v>22.4213188490139</v>
        <stp/>
        <stp>00665L_Reference:V_INDEX@Master</stp>
        <tr r="G56" s="11"/>
      </tp>
      <tp>
        <v>47.691108803043029</v>
        <stp/>
        <stp>00655L_Reference:V_INDEX@Master</stp>
        <tr r="G47" s="11"/>
      </tp>
      <tp>
        <v>7.2517295720757868</v>
        <stp/>
        <stp>00715L_Reference:V_INDEX@Master</stp>
        <tr r="G100" s="11"/>
      </tp>
      <tp>
        <v>36.936999999999998</v>
        <stp/>
        <stp>00865B_Reference:V_INDEX@Master</stp>
        <tr r="G209" s="11"/>
      </tp>
      <tp>
        <v>36.711199999999998</v>
        <stp/>
        <stp>00845B_Reference:V_INDEX@Master</stp>
        <tr r="G191" s="11"/>
      </tp>
      <tp>
        <v>36.610500000000002</v>
        <stp/>
        <stp>00695B_Reference:V_INDEX@Master</stp>
        <tr r="G84" s="11"/>
      </tp>
      <tp>
        <v>39.084800000000001</v>
        <stp/>
        <stp>00795B_Reference:V_INDEX@Master</stp>
        <tr r="G175" s="11"/>
      </tp>
      <tp>
        <v>41.048099999999998</v>
        <stp/>
        <stp>00785B_Reference:V_INDEX@Master</stp>
        <tr r="G165" s="11"/>
      </tp>
      <tp>
        <v>40.472700000000003</v>
        <stp/>
        <stp>00775B_Reference:V_INDEX@Master</stp>
        <tr r="G156" s="11"/>
      </tp>
      <tp>
        <v>39.848999999999997</v>
        <stp/>
        <stp>00765B_Reference:V_INDEX@Master</stp>
        <tr r="G148" s="11"/>
      </tp>
      <tp>
        <v>41.936599999999999</v>
        <stp/>
        <stp>00755B_Reference:V_INDEX@Master</stp>
        <tr r="G138" s="11"/>
      </tp>
      <tp>
        <v>40.6462</v>
        <stp/>
        <stp>00745B_Reference:V_INDEX@Master</stp>
        <tr r="G128" s="11"/>
      </tp>
      <tp>
        <v>42.292499999999997</v>
        <stp/>
        <stp>00725B_Reference:V_INDEX@Master</stp>
        <tr r="G109" s="11"/>
      </tp>
      <tp>
        <v>-7.9228162514264338E+28</v>
        <stp/>
        <stp>00788B_BidPrice:V_INDEX@Master</stp>
        <tr r="I168" s="11"/>
      </tp>
      <tp>
        <v>21.487146441180119</v>
        <stp/>
        <stp>00688L_BidPrice:V_INDEX@Master</stp>
        <tr r="I78" s="11"/>
      </tp>
      <tp>
        <v>15.297998663031411</v>
        <stp/>
        <stp>00689R_BidPrice:V_INDEX@Master</stp>
        <tr r="I79" s="11"/>
      </tp>
      <tp>
        <v>-7.9228162514264338E+28</v>
        <stp/>
        <stp>00789B_BidPrice:V_INDEX@Master</stp>
        <tr r="I169" s="11"/>
      </tp>
      <tp>
        <v>4.2636506285086648</v>
        <stp/>
        <stp>00686R_BidPrice:V_INDEX@Master</stp>
        <tr r="I76" s="11"/>
      </tp>
      <tp>
        <v>-7.9228162514264338E+28</v>
        <stp/>
        <stp>00786B_BidPrice:V_INDEX@Master</stp>
        <tr r="I166" s="11"/>
      </tp>
      <tp>
        <v>-7.9228162514264338E+28</v>
        <stp/>
        <stp>00687B_BidPrice:V_INDEX@Master</stp>
        <tr r="I77" s="11"/>
      </tp>
      <tp>
        <v>-7.9228162514264338E+28</v>
        <stp/>
        <stp>00787B_BidPrice:V_INDEX@Master</stp>
        <tr r="I167" s="11"/>
      </tp>
      <tp>
        <v>19.304951780819074</v>
        <stp/>
        <stp>00684R_BidPrice:V_INDEX@Master</stp>
        <tr r="I74" s="11"/>
      </tp>
      <tp>
        <v>-7.9228162514264338E+28</v>
        <stp/>
        <stp>00784B_BidPrice:V_INDEX@Master</stp>
        <tr r="I164" s="11"/>
      </tp>
      <tp>
        <v>-7.9228162514264338E+28</v>
        <stp/>
        <stp>00884B_BidPrice:V_INDEX@Master</stp>
        <tr r="I223" s="11"/>
      </tp>
      <tp>
        <v>-7.9228162514264338E+28</v>
        <stp/>
        <stp>00785B_BidPrice:V_INDEX@Master</stp>
        <tr r="I165" s="11"/>
      </tp>
      <tp>
        <v>35.278473206924978</v>
        <stp/>
        <stp>00685L_BidPrice:V_INDEX@Master</stp>
        <tr r="I75" s="11"/>
      </tp>
      <tp>
        <v>17.942686339528638</v>
        <stp/>
        <stp>00682U_BidPrice:V_INDEX@Master</stp>
        <tr r="I72" s="11"/>
      </tp>
      <tp>
        <v>-7.9228162514264338E+28</v>
        <stp/>
        <stp>00782B_BidPrice:V_INDEX@Master</stp>
        <tr r="I162" s="11"/>
      </tp>
      <tp>
        <v>-7.9228162514264338E+28</v>
        <stp/>
        <stp>00883B_BidPrice:V_INDEX@Master</stp>
        <tr r="I222" s="11"/>
      </tp>
      <tp>
        <v>16.576820850978233</v>
        <stp/>
        <stp>00683L_BidPrice:V_INDEX@Master</stp>
        <tr r="I73" s="11"/>
      </tp>
      <tp>
        <v>-7.9228162514264338E+28</v>
        <stp/>
        <stp>00780B_BidPrice:V_INDEX@Master</stp>
        <tr r="I160" s="11"/>
      </tp>
      <tp>
        <v>-7.9228162514264338E+28</v>
        <stp/>
        <stp>00880B_BidPrice:V_INDEX@Master</stp>
        <tr r="I219" s="11"/>
      </tp>
      <tp>
        <v>21.507123405260188</v>
        <stp/>
        <stp>00680L_BidPrice:V_INDEX@Master</stp>
        <tr r="I70" s="11"/>
      </tp>
      <tp>
        <v>14.535784688093722</v>
        <stp/>
        <stp>00681R_BidPrice:V_INDEX@Master</stp>
        <tr r="I71" s="11"/>
      </tp>
      <tp>
        <v>-7.9228162514264338E+28</v>
        <stp/>
        <stp>00781B_BidPrice:V_INDEX@Master</stp>
        <tr r="I161" s="11"/>
      </tp>
      <tp>
        <v>24.502935004851267</v>
        <stp/>
        <stp>00635U_Reference:V_INDEX@Master</stp>
        <tr r="G27" s="11"/>
      </tp>
      <tp>
        <v>19.307075999908012</v>
        <stp/>
        <stp>00684R_AskPrice:V_INDEX@Master</stp>
        <tr r="J74" s="11"/>
      </tp>
      <tp>
        <v>-7.9228162514264338E+28</v>
        <stp/>
        <stp>00784B_AskPrice:V_INDEX@Master</stp>
        <tr r="J164" s="11"/>
      </tp>
      <tp>
        <v>-7.9228162514264338E+28</v>
        <stp/>
        <stp>00884B_AskPrice:V_INDEX@Master</stp>
        <tr r="J223" s="11"/>
      </tp>
      <tp>
        <v>35.287376751854907</v>
        <stp/>
        <stp>00685L_AskPrice:V_INDEX@Master</stp>
        <tr r="J75" s="11"/>
      </tp>
      <tp>
        <v>-7.9228162514264338E+28</v>
        <stp/>
        <stp>00785B_AskPrice:V_INDEX@Master</stp>
        <tr r="J165" s="11"/>
      </tp>
      <tp>
        <v>9.52</v>
        <stp/>
        <stp>00636K_Reference:V_INDEX@Master</stp>
        <tr r="G29" s="11"/>
      </tp>
      <tp>
        <v>4.2641876067854527</v>
        <stp/>
        <stp>00686R_AskPrice:V_INDEX@Master</stp>
        <tr r="J76" s="11"/>
      </tp>
      <tp>
        <v>-7.9228162514264338E+28</v>
        <stp/>
        <stp>00786B_AskPrice:V_INDEX@Master</stp>
        <tr r="J166" s="11"/>
      </tp>
      <tp>
        <v>-7.9228162514264338E+28</v>
        <stp/>
        <stp>00687B_AskPrice:V_INDEX@Master</stp>
        <tr r="J77" s="11"/>
      </tp>
      <tp>
        <v>-7.9228162514264338E+28</v>
        <stp/>
        <stp>00787B_AskPrice:V_INDEX@Master</stp>
        <tr r="J167" s="11"/>
      </tp>
      <tp>
        <v>21.514483585774787</v>
        <stp/>
        <stp>00680L_AskPrice:V_INDEX@Master</stp>
        <tr r="J70" s="11"/>
      </tp>
      <tp>
        <v>-7.9228162514264338E+28</v>
        <stp/>
        <stp>00780B_AskPrice:V_INDEX@Master</stp>
        <tr r="J160" s="11"/>
      </tp>
      <tp>
        <v>-7.9228162514264338E+28</v>
        <stp/>
        <stp>00880B_AskPrice:V_INDEX@Master</stp>
        <tr r="J219" s="11"/>
      </tp>
      <tp>
        <v>14.538280534498039</v>
        <stp/>
        <stp>00681R_AskPrice:V_INDEX@Master</stp>
        <tr r="J71" s="11"/>
      </tp>
      <tp>
        <v>-7.9228162514264338E+28</v>
        <stp/>
        <stp>00781B_AskPrice:V_INDEX@Master</stp>
        <tr r="J161" s="11"/>
      </tp>
      <tp>
        <v>17.944676458351104</v>
        <stp/>
        <stp>00682U_AskPrice:V_INDEX@Master</stp>
        <tr r="J72" s="11"/>
      </tp>
      <tp>
        <v>-7.9228162514264338E+28</v>
        <stp/>
        <stp>00782B_AskPrice:V_INDEX@Master</stp>
        <tr r="J162" s="11"/>
      </tp>
      <tp>
        <v>16.191818955042525</v>
        <stp/>
        <stp>00706L_Reference:V_INDEX@Master</stp>
        <tr r="G91" s="11"/>
      </tp>
      <tp>
        <v>16.580491650200759</v>
        <stp/>
        <stp>00683L_AskPrice:V_INDEX@Master</stp>
        <tr r="J73" s="11"/>
      </tp>
      <tp>
        <v>-7.9228162514264338E+28</v>
        <stp/>
        <stp>00883B_AskPrice:V_INDEX@Master</stp>
        <tr r="J222" s="11"/>
      </tp>
      <tp>
        <v>36.51</v>
        <stp/>
        <stp>00856B_Reference:V_INDEX@Master</stp>
        <tr r="G200" s="11"/>
      </tp>
      <tp>
        <v>37.357799999999997</v>
        <stp/>
        <stp>00846B_Reference:V_INDEX@Master</stp>
        <tr r="G192" s="11"/>
      </tp>
      <tp>
        <v>37.86</v>
        <stp/>
        <stp>00836B_Reference:V_INDEX@Master</stp>
        <tr r="G183" s="11"/>
      </tp>
      <tp>
        <v>40.268799999999999</v>
        <stp/>
        <stp>00696B_Reference:V_INDEX@Master</stp>
        <tr r="G85" s="11"/>
      </tp>
      <tp>
        <v>39.427599999999998</v>
        <stp/>
        <stp>00796B_Reference:V_INDEX@Master</stp>
        <tr r="G176" s="11"/>
      </tp>
      <tp>
        <v>40.221200000000003</v>
        <stp/>
        <stp>00786B_Reference:V_INDEX@Master</stp>
        <tr r="G166" s="11"/>
      </tp>
      <tp>
        <v>43.3108</v>
        <stp/>
        <stp>00756B_Reference:V_INDEX@Master</stp>
        <tr r="G139" s="11"/>
      </tp>
      <tp>
        <v>42.267800000000001</v>
        <stp/>
        <stp>00746B_Reference:V_INDEX@Master</stp>
        <tr r="G129" s="11"/>
      </tp>
      <tp>
        <v>41.346299999999999</v>
        <stp/>
        <stp>00726B_Reference:V_INDEX@Master</stp>
        <tr r="G110" s="11"/>
      </tp>
      <tp>
        <v>21.49464427140142</v>
        <stp/>
        <stp>00688L_AskPrice:V_INDEX@Master</stp>
        <tr r="J78" s="11"/>
      </tp>
      <tp>
        <v>-7.9228162514264338E+28</v>
        <stp/>
        <stp>00788B_AskPrice:V_INDEX@Master</stp>
        <tr r="J168" s="11"/>
      </tp>
      <tp>
        <v>15.300673335040699</v>
        <stp/>
        <stp>00689R_AskPrice:V_INDEX@Master</stp>
        <tr r="J79" s="11"/>
      </tp>
      <tp>
        <v>-7.9228162514264338E+28</v>
        <stp/>
        <stp>00789B_AskPrice:V_INDEX@Master</stp>
        <tr r="J169" s="11"/>
      </tp>
      <tp>
        <v>4.3047294666829394</v>
        <stp/>
        <stp>00686R_Reference:V_INDEX@Master</stp>
        <tr r="G76" s="11"/>
      </tp>
      <tp>
        <v>3.9444519498206088</v>
        <stp/>
        <stp>00676R_Reference:V_INDEX@Master</stp>
        <tr r="G66" s="11"/>
      </tp>
      <tp>
        <v>11.674702202826266</v>
        <stp/>
        <stp>00666R_Reference:V_INDEX@Master</stp>
        <tr r="G57" s="11"/>
      </tp>
      <tp>
        <v>7.3841587577831929</v>
        <stp/>
        <stp>00656R_Reference:V_INDEX@Master</stp>
        <tr r="G48" s="11"/>
      </tp>
      <tp t="s">
        <v>20210514_151459914</v>
        <stp/>
        <stp>HG-N21_Time:NYMEX@IDC54</stp>
        <tr r="G135" s="12"/>
      </tp>
      <tp t="s">
        <v>20210514_151459679</v>
        <stp/>
        <stp>HG-M21_Time:NYMEX@IDC54</stp>
        <tr r="G134" s="12"/>
      </tp>
      <tp t="s">
        <v>20210514_151459429</v>
        <stp/>
        <stp>HG-K21_Time:NYMEX@IDC54</stp>
        <tr r="G133" s="12"/>
      </tp>
      <tp t="e">
        <v>#N/A</v>
        <stp/>
        <stp>HG-J21_Time:NYMEX@IDC54</stp>
        <tr r="G132" s="12"/>
      </tp>
      <tp t="e">
        <v>#N/A</v>
        <stp/>
        <stp>HG-H21_Time:NYMEX@IDC54</stp>
        <tr r="G131" s="12"/>
      </tp>
      <tp t="e">
        <v>#N/A</v>
        <stp/>
        <stp>HG-G21_Time:NYMEX@IDC54</stp>
        <tr r="G130" s="12"/>
      </tp>
      <tp t="e">
        <v>#N/A</v>
        <stp/>
        <stp>HG-F21_Time:NYMEX@IDC54</stp>
        <tr r="G129" s="12"/>
      </tp>
      <tp t="s">
        <v>20210514_151454898</v>
        <stp/>
        <stp>HG-X21_Time:NYMEX@IDC54</stp>
        <tr r="G139" s="12"/>
      </tp>
      <tp t="s">
        <v>20210514_151459179</v>
        <stp/>
        <stp>HG-V21_Time:NYMEX@IDC54</stp>
        <tr r="G138" s="12"/>
      </tp>
      <tp t="s">
        <v>20210514_151457913</v>
        <stp/>
        <stp>HG-U21_Time:NYMEX@IDC54</stp>
        <tr r="G137" s="12"/>
      </tp>
      <tp t="s">
        <v>20210514_151457913</v>
        <stp/>
        <stp>HG-Q21_Time:NYMEX@IDC54</stp>
        <tr r="G136" s="12"/>
      </tp>
      <tp>
        <v>-7.9228162514264338E+28</v>
        <stp/>
        <stp>00694B_AskPrice:V_INDEX@Master</stp>
        <tr r="J83" s="11"/>
      </tp>
      <tp>
        <v>-7.9228162514264338E+28</v>
        <stp/>
        <stp>00794B_AskPrice:V_INDEX@Master</stp>
        <tr r="J174" s="11"/>
      </tp>
      <tp>
        <v>-7.9228162514264338E+28</v>
        <stp/>
        <stp>00695B_AskPrice:V_INDEX@Master</stp>
        <tr r="J84" s="11"/>
      </tp>
      <tp>
        <v>-7.9228162514264338E+28</v>
        <stp/>
        <stp>00795B_AskPrice:V_INDEX@Master</stp>
        <tr r="J175" s="11"/>
      </tp>
      <tp>
        <v>12.01</v>
        <stp/>
        <stp>00657K_Reference:V_INDEX@Master</stp>
        <tr r="G50" s="11"/>
      </tp>
      <tp>
        <v>-7.9228162514264338E+28</v>
        <stp/>
        <stp>00696B_AskPrice:V_INDEX@Master</stp>
        <tr r="J85" s="11"/>
      </tp>
      <tp>
        <v>-7.9228162514264338E+28</v>
        <stp/>
        <stp>00796B_AskPrice:V_INDEX@Master</stp>
        <tr r="J176" s="11"/>
      </tp>
      <tp>
        <v>-7.9228162514264338E+28</v>
        <stp/>
        <stp>00697B_AskPrice:V_INDEX@Master</stp>
        <tr r="J86" s="11"/>
      </tp>
      <tp>
        <v>-7.9228162514264338E+28</v>
        <stp/>
        <stp>00790B_AskPrice:V_INDEX@Master</stp>
        <tr r="J170" s="11"/>
      </tp>
      <tp>
        <v>-7.9228162514264338E+28</v>
        <stp/>
        <stp>00791B_AskPrice:V_INDEX@Master</stp>
        <tr r="J171" s="11"/>
      </tp>
      <tp>
        <v>-7.9228162514264338E+28</v>
        <stp/>
        <stp>00792B_AskPrice:V_INDEX@Master</stp>
        <tr r="J172" s="11"/>
      </tp>
      <tp>
        <v>59.760813049357672</v>
        <stp/>
        <stp>00647L_Reference:V_INDEX@Master</stp>
        <tr r="G40" s="11"/>
      </tp>
      <tp>
        <v>25.080012516681798</v>
        <stp/>
        <stp>00637L_Reference:V_INDEX@Master</stp>
        <tr r="G30" s="11"/>
      </tp>
      <tp>
        <v>24.322946260027965</v>
        <stp/>
        <stp>00693U_AskPrice:V_INDEX@Master</stp>
        <tr r="J82" s="11"/>
      </tp>
      <tp>
        <v>-7.9228162514264338E+28</v>
        <stp/>
        <stp>00793B_AskPrice:V_INDEX@Master</stp>
        <tr r="J173" s="11"/>
      </tp>
      <tp>
        <v>37.850999999999999</v>
        <stp/>
        <stp>00867B_Reference:V_INDEX@Master</stp>
        <tr r="G210" s="11"/>
      </tp>
      <tp>
        <v>34.6</v>
        <stp/>
        <stp>00857B_Reference:V_INDEX@Master</stp>
        <tr r="G201" s="11"/>
      </tp>
      <tp>
        <v>33.945399999999999</v>
        <stp/>
        <stp>00847B_Reference:V_INDEX@Master</stp>
        <tr r="G193" s="11"/>
      </tp>
      <tp>
        <v>39.0077</v>
        <stp/>
        <stp>00697B_Reference:V_INDEX@Master</stp>
        <tr r="G86" s="11"/>
      </tp>
      <tp>
        <v>40.427300000000002</v>
        <stp/>
        <stp>00687B_Reference:V_INDEX@Master</stp>
        <tr r="G77" s="11"/>
      </tp>
      <tp>
        <v>41.222700000000003</v>
        <stp/>
        <stp>00787B_Reference:V_INDEX@Master</stp>
        <tr r="G167" s="11"/>
      </tp>
      <tp>
        <v>41.33</v>
        <stp/>
        <stp>00777B_Reference:V_INDEX@Master</stp>
        <tr r="G157" s="11"/>
      </tp>
      <tp>
        <v>50.692</v>
        <stp/>
        <stp>00747B_Reference:V_INDEX@Master</stp>
        <tr r="G130" s="11"/>
      </tp>
      <tp>
        <v>38.2378</v>
        <stp/>
        <stp>00727B_Reference:V_INDEX@Master</stp>
        <tr r="G111" s="11"/>
      </tp>
      <tp>
        <v>-7.9228162514264338E+28</v>
        <stp/>
        <stp>00799B_AskPrice:V_INDEX@Master</stp>
        <tr r="J177" s="11"/>
      </tp>
      <tp>
        <v>19.813244876783401</v>
        <stp/>
        <stp>00707R_Reference:V_INDEX@Master</stp>
        <tr r="G92" s="11"/>
      </tp>
      <tp>
        <v>1.8755703334670415</v>
        <stp/>
        <stp>00677U_Reference:V_INDEX@Master</stp>
        <tr r="G67" s="11"/>
      </tp>
      <tp>
        <v>21.522581006420783</v>
        <stp/>
        <stp>00680L_Reference:V_INDEX@Master</stp>
        <tr r="G70" s="11"/>
      </tp>
      <tp>
        <v>82.910000066028388</v>
        <stp/>
        <stp>00670L_Reference:V_INDEX@Master</stp>
        <tr r="G61" s="11"/>
      </tp>
      <tp>
        <v>27.925361129221539</v>
        <stp/>
        <stp>00650L_Reference:V_INDEX@Master</stp>
        <tr r="G42" s="11"/>
      </tp>
      <tp>
        <v>26.107314809482677</v>
        <stp/>
        <stp>00640L_Reference:V_INDEX@Master</stp>
        <tr r="G33" s="11"/>
      </tp>
      <tp>
        <v>34.43</v>
        <stp/>
        <stp>00880B_Reference:V_INDEX@Master</stp>
        <tr r="G219" s="11"/>
      </tp>
      <tp>
        <v>36.991500000000002</v>
        <stp/>
        <stp>00870B_Reference:V_INDEX@Master</stp>
        <tr r="G213" s="11"/>
      </tp>
      <tp>
        <v>37.555700000000002</v>
        <stp/>
        <stp>00860B_Reference:V_INDEX@Master</stp>
        <tr r="G204" s="11"/>
      </tp>
      <tp>
        <v>37.950000000000003</v>
        <stp/>
        <stp>00840B_Reference:V_INDEX@Master</stp>
        <tr r="G186" s="11"/>
      </tp>
      <tp>
        <v>61.627000000000002</v>
        <stp/>
        <stp>00790B_Reference:V_INDEX@Master</stp>
        <tr r="G170" s="11"/>
      </tp>
      <tp>
        <v>40.473100000000002</v>
        <stp/>
        <stp>00780B_Reference:V_INDEX@Master</stp>
        <tr r="G160" s="11"/>
      </tp>
      <tp>
        <v>63.84</v>
        <stp/>
        <stp>00760B_Reference:V_INDEX@Master</stp>
        <tr r="G143" s="11"/>
      </tp>
      <tp>
        <v>41.23</v>
        <stp/>
        <stp>00750B_Reference:V_INDEX@Master</stp>
        <tr r="G133" s="11"/>
      </tp>
      <tp>
        <v>45.215699999999998</v>
        <stp/>
        <stp>00740B_Reference:V_INDEX@Master</stp>
        <tr r="G123" s="11"/>
      </tp>
      <tp>
        <v>41.7485</v>
        <stp/>
        <stp>00720B_Reference:V_INDEX@Master</stp>
        <tr r="G104" s="11"/>
      </tp>
      <tp>
        <v>18.309999999999999</v>
        <stp/>
        <stp>00710B_Reference:V_INDEX@Master</stp>
        <tr r="G95" s="11"/>
      </tp>
      <tp>
        <v>72.770129166141032</v>
        <stp/>
        <stp>006208_Reference:V_INDEX@Master</stp>
        <tr r="G21" s="11"/>
      </tp>
      <tp>
        <v>60.03220014</v>
        <stp/>
        <stp>006203_Reference:V_INDEX@Master</stp>
        <tr r="G16" s="11"/>
      </tp>
      <tp>
        <v>123.26</v>
        <stp/>
        <stp>008201_Reference:V_INDEX@Master</stp>
        <tr r="G178" s="11"/>
      </tp>
      <tp>
        <v>17.574951455614514</v>
        <stp/>
        <stp>006201_Reference:V_INDEX@Master</stp>
        <tr r="G15" s="11"/>
      </tp>
      <tp>
        <v>37.32</v>
        <stp/>
        <stp>006206_Reference:V_INDEX@Master</stp>
        <tr r="G19" s="11"/>
      </tp>
      <tp>
        <v>30.09</v>
        <stp/>
        <stp>006207_Reference:V_INDEX@Master</stp>
        <tr r="G20" s="11"/>
      </tp>
      <tp>
        <v>79.674036000000001</v>
        <stp/>
        <stp>006204_Reference:V_INDEX@Master</stp>
        <tr r="G17" s="11"/>
      </tp>
      <tp>
        <v>37.21</v>
        <stp/>
        <stp>006205_Reference:V_INDEX@Master</stp>
        <tr r="G18" s="11"/>
      </tp>
    </main>
    <main first="kgi.tw.der.pricertdserver.2014.1">
      <tp>
        <v>102.10284434941589</v>
        <stp/>
        <stp>00631L_Reference:V_INDEX@Master</stp>
        <tr r="G23" s="11"/>
      </tp>
      <tp>
        <v>38.090000000000003</v>
        <stp/>
        <stp>00841B_Reference:V_INDEX@Master</stp>
        <tr r="G187" s="11"/>
      </tp>
      <tp>
        <v>36.663400000000003</v>
        <stp/>
        <stp>00831B_Reference:V_INDEX@Master</stp>
        <tr r="G180" s="11"/>
      </tp>
      <tp>
        <v>55.994900000000001</v>
        <stp/>
        <stp>00791B_Reference:V_INDEX@Master</stp>
        <tr r="G171" s="11"/>
      </tp>
      <tp>
        <v>40.306699999999999</v>
        <stp/>
        <stp>00781B_Reference:V_INDEX@Master</stp>
        <tr r="G161" s="11"/>
      </tp>
      <tp>
        <v>43.52</v>
        <stp/>
        <stp>00761B_Reference:V_INDEX@Master</stp>
        <tr r="G144" s="11"/>
      </tp>
      <tp>
        <v>42.393700000000003</v>
        <stp/>
        <stp>00751B_Reference:V_INDEX@Master</stp>
        <tr r="G134" s="11"/>
      </tp>
      <tp>
        <v>37.316600000000001</v>
        <stp/>
        <stp>00741B_Reference:V_INDEX@Master</stp>
        <tr r="G124" s="11"/>
      </tp>
      <tp>
        <v>45.066699999999997</v>
        <stp/>
        <stp>00721B_Reference:V_INDEX@Master</stp>
        <tr r="G105" s="11"/>
      </tp>
      <tp>
        <v>19.84</v>
        <stp/>
        <stp>00711B_Reference:V_INDEX@Master</stp>
        <tr r="G96" s="11"/>
      </tp>
      <tp>
        <v>14.53369899961964</v>
        <stp/>
        <stp>00681R_Reference:V_INDEX@Master</stp>
        <tr r="G71" s="11"/>
      </tp>
      <tp>
        <v>6.2083369295744717</v>
        <stp/>
        <stp>00671R_Reference:V_INDEX@Master</stp>
        <tr r="G62" s="11"/>
      </tp>
      <tp>
        <v>7.1906377728174604</v>
        <stp/>
        <stp>00651R_Reference:V_INDEX@Master</stp>
        <tr r="G43" s="11"/>
      </tp>
      <tp>
        <v>11.197046880950566</v>
        <stp/>
        <stp>00641R_Reference:V_INDEX@Master</stp>
        <tr r="G34" s="11"/>
      </tp>
      <tp>
        <v>0</v>
        <stp/>
        <stp>MME-U21:NYBOT@IDC54</stp>
        <tr r="F105" s="12"/>
      </tp>
      <tp>
        <v>3.601</v>
        <stp/>
        <stp>HKDTW.FX:FX@IDC54</stp>
        <tr r="F5" s="12"/>
      </tp>
    </main>
    <main first="kgi.tw.der.pricertdserver.2014.1">
      <tp>
        <v>20.224740086896865</v>
        <stp/>
        <stp>00852L_Reference:V_INDEX@Master</stp>
        <tr r="G198" s="11"/>
      </tp>
      <tp>
        <v>37.57</v>
        <stp/>
        <stp>00872B_Reference:V_INDEX@Master</stp>
        <tr r="G214" s="11"/>
      </tp>
      <tp>
        <v>37.774900000000002</v>
        <stp/>
        <stp>00862B_Reference:V_INDEX@Master</stp>
        <tr r="G206" s="11"/>
      </tp>
      <tp>
        <v>39.119999999999997</v>
        <stp/>
        <stp>00842B_Reference:V_INDEX@Master</stp>
        <tr r="G188" s="11"/>
      </tp>
      <tp>
        <v>39.842399999999998</v>
        <stp/>
        <stp>00832B_Reference:V_INDEX@Master</stp>
        <tr r="G181" s="11"/>
      </tp>
      <tp>
        <v>40.447299999999998</v>
        <stp/>
        <stp>00792B_Reference:V_INDEX@Master</stp>
        <tr r="G172" s="11"/>
      </tp>
      <tp>
        <v>40.640599999999999</v>
        <stp/>
        <stp>00782B_Reference:V_INDEX@Master</stp>
        <tr r="G162" s="11"/>
      </tp>
      <tp>
        <v>42.348399999999998</v>
        <stp/>
        <stp>00772B_Reference:V_INDEX@Master</stp>
        <tr r="G152" s="11"/>
      </tp>
      <tp>
        <v>44.165900000000001</v>
        <stp/>
        <stp>00722B_Reference:V_INDEX@Master</stp>
        <tr r="G106" s="11"/>
      </tp>
      <tp>
        <v>6.3731573382621409</v>
        <stp/>
        <stp>00632R_Reference:V_INDEX@Master</stp>
        <tr r="G24" s="11"/>
      </tp>
      <tp>
        <v>17.985729997533099</v>
        <stp/>
        <stp>00682U_Reference:V_INDEX@Master</stp>
        <tr r="G72" s="11"/>
      </tp>
      <tp>
        <v>10.909035000187169</v>
        <stp/>
        <stp>00642U_Reference:V_INDEX@Master</stp>
        <tr r="G35" s="11"/>
      </tp>
    </main>
    <main first="kgi.tw.der.pricertdserver.2014.1">
      <tp>
        <v>3.93</v>
        <stp/>
        <stp>00643K_Reference:V_INDEX@Master</stp>
        <tr r="G37" s="11"/>
      </tp>
      <tp>
        <v>16.656235000115696</v>
        <stp/>
        <stp>00683L_Reference:V_INDEX@Master</stp>
        <tr r="G73" s="11"/>
      </tp>
      <tp>
        <v>91.476323484799934</v>
        <stp/>
        <stp>00663L_Reference:V_INDEX@Master</stp>
        <tr r="G54" s="11"/>
      </tp>
      <tp>
        <v>33.945402121387104</v>
        <stp/>
        <stp>00653L_Reference:V_INDEX@Master</stp>
        <tr r="G45" s="11"/>
      </tp>
      <tp>
        <v>63.455654738573706</v>
        <stp/>
        <stp>00633L_Reference:V_INDEX@Master</stp>
        <tr r="G25" s="11"/>
      </tp>
      <tp>
        <v>33.180656165666136</v>
        <stp/>
        <stp>00753L_Reference:V_INDEX@Master</stp>
        <tr r="G136" s="11"/>
      </tp>
      <tp>
        <v>37.4861</v>
        <stp/>
        <stp>00883B_Reference:V_INDEX@Master</stp>
        <tr r="G222" s="11"/>
      </tp>
      <tp>
        <v>37.795099999999998</v>
        <stp/>
        <stp>00863B_Reference:V_INDEX@Master</stp>
        <tr r="G207" s="11"/>
      </tp>
      <tp>
        <v>34.35</v>
        <stp/>
        <stp>00853B_Reference:V_INDEX@Master</stp>
        <tr r="G199" s="11"/>
      </tp>
      <tp>
        <v>39.26</v>
        <stp/>
        <stp>00843B_Reference:V_INDEX@Master</stp>
        <tr r="G189" s="11"/>
      </tp>
      <tp>
        <v>40.295900000000003</v>
        <stp/>
        <stp>00793B_Reference:V_INDEX@Master</stp>
        <tr r="G173" s="11"/>
      </tp>
      <tp>
        <v>43.106099999999998</v>
        <stp/>
        <stp>00773B_Reference:V_INDEX@Master</stp>
        <tr r="G153" s="11"/>
      </tp>
      <tp>
        <v>40.044499999999999</v>
        <stp/>
        <stp>00723B_Reference:V_INDEX@Master</stp>
        <tr r="G107" s="11"/>
      </tp>
      <tp>
        <v>17.762537026145537</v>
        <stp/>
        <stp>00673R_Reference:V_INDEX@Master</stp>
        <tr r="G63" s="11"/>
      </tp>
      <tp>
        <v>24.116372593323966</v>
        <stp/>
        <stp>00693U_Reference:V_INDEX@Master</stp>
        <tr r="G82" s="11"/>
      </tp>
      <tp>
        <v>30.462405195252021</v>
        <stp/>
        <stp>00763U_Reference:V_INDEX@Master</stp>
        <tr r="G146" s="11"/>
      </tp>
      <tp>
        <v>-7.9228162514264338E+28</v>
        <stp/>
        <stp>00724B_AskPrice:V_INDEX@Master</stp>
        <tr r="J108" s="11"/>
      </tp>
      <tp>
        <v>-7.9228162514264338E+28</v>
        <stp/>
        <stp>00625K_AskPrice:V_INDEX@Master</stp>
        <tr r="J22" s="11"/>
      </tp>
      <tp>
        <v>-7.9228162514264338E+28</v>
        <stp/>
        <stp>00725B_AskPrice:V_INDEX@Master</stp>
        <tr r="J109" s="11"/>
      </tp>
      <tp>
        <v>-7.9228162514264338E+28</v>
        <stp/>
        <stp>00726B_AskPrice:V_INDEX@Master</stp>
        <tr r="J110" s="11"/>
      </tp>
      <tp>
        <v>-7.9228162514264338E+28</v>
        <stp/>
        <stp>00727B_AskPrice:V_INDEX@Master</stp>
        <tr r="J111" s="11"/>
      </tp>
      <tp>
        <v>-7.9228162514264338E+28</v>
        <stp/>
        <stp>00720B_AskPrice:V_INDEX@Master</stp>
        <tr r="J104" s="11"/>
      </tp>
      <tp>
        <v>73.945486183928338</v>
        <stp/>
        <stp>006208_AskPrice:V_INDEX@Master</stp>
        <tr r="J21" s="11"/>
      </tp>
      <tp>
        <v>17.553451165208664</v>
        <stp/>
        <stp>006201_AskPrice:V_INDEX@Master</stp>
        <tr r="J15" s="11"/>
      </tp>
      <tp>
        <v>-7.9228162514264338E+28</v>
        <stp/>
        <stp>008201_AskPrice:V_INDEX@Master</stp>
        <tr r="J178" s="11"/>
      </tp>
      <tp>
        <v>60.894834580000001</v>
        <stp/>
        <stp>006203_AskPrice:V_INDEX@Master</stp>
        <tr r="J16" s="11"/>
      </tp>
      <tp>
        <v>-7.9228162514264338E+28</v>
        <stp/>
        <stp>006205_AskPrice:V_INDEX@Master</stp>
        <tr r="J18" s="11"/>
      </tp>
      <tp>
        <v>80.415581320000001</v>
        <stp/>
        <stp>006204_AskPrice:V_INDEX@Master</stp>
        <tr r="J17" s="11"/>
      </tp>
      <tp>
        <v>-7.9228162514264338E+28</v>
        <stp/>
        <stp>006207_AskPrice:V_INDEX@Master</stp>
        <tr r="J20" s="11"/>
      </tp>
      <tp>
        <v>-7.9228162514264338E+28</v>
        <stp/>
        <stp>006206_AskPrice:V_INDEX@Master</stp>
        <tr r="J19" s="11"/>
      </tp>
      <tp>
        <v>-7.9228162514264338E+28</v>
        <stp/>
        <stp>00721B_AskPrice:V_INDEX@Master</stp>
        <tr r="J105" s="11"/>
      </tp>
      <tp>
        <v>-7.9228162514264338E+28</v>
        <stp/>
        <stp>00722B_AskPrice:V_INDEX@Master</stp>
        <tr r="J106" s="11"/>
      </tp>
      <tp>
        <v>-7.9228162514264338E+28</v>
        <stp/>
        <stp>00723B_AskPrice:V_INDEX@Master</stp>
        <tr r="J107" s="11"/>
      </tp>
      <tp>
        <v>-7.9228162514264338E+28</v>
        <stp/>
        <stp>00718B_BidPrice:V_INDEX@Master</stp>
        <tr r="I102" s="11"/>
      </tp>
      <tp>
        <v>-7.9228162514264338E+28</v>
        <stp/>
        <stp>00719B_BidPrice:V_INDEX@Master</stp>
        <tr r="I103" s="11"/>
      </tp>
      <tp>
        <v>7.2366940909535984</v>
        <stp/>
        <stp>00715L_BidPrice:V_INDEX@Master</stp>
        <tr r="I100" s="11"/>
      </tp>
      <tp>
        <v>-7.9228162514264338E+28</v>
        <stp/>
        <stp>00710B_BidPrice:V_INDEX@Master</stp>
        <tr r="I95" s="11"/>
      </tp>
      <tp>
        <v>-7.9228162514264338E+28</v>
        <stp/>
        <stp>00711B_BidPrice:V_INDEX@Master</stp>
        <tr r="I96" s="11"/>
      </tp>
    </main>
    <main first="kgi.tw.der.pricertdserver.2014.1">
      <tp>
        <v>3.8949111097429232</v>
        <stp/>
        <stp>00634R_AskPrice:V_INDEX@Master</stp>
        <tr r="J26" s="11"/>
      </tp>
      <tp>
        <v>-7.9228162514264338E+28</v>
        <stp/>
        <stp>00734B_AskPrice:V_INDEX@Master</stp>
        <tr r="J117" s="11"/>
      </tp>
      <tp>
        <v>-7.9228162514264338E+28</v>
        <stp/>
        <stp>00834B_AskPrice:V_INDEX@Master</stp>
        <tr r="J182" s="11"/>
      </tp>
      <tp>
        <v>24.628378711090665</v>
        <stp/>
        <stp>00635U_AskPrice:V_INDEX@Master</stp>
        <tr r="J27" s="11"/>
      </tp>
      <tp>
        <v>-7.9228162514264338E+28</v>
        <stp/>
        <stp>00636K_AskPrice:V_INDEX@Master</stp>
        <tr r="J29" s="11"/>
      </tp>
      <tp>
        <v>-7.9228162514264338E+28</v>
        <stp/>
        <stp>00836B_AskPrice:V_INDEX@Master</stp>
        <tr r="J183" s="11"/>
      </tp>
      <tp>
        <v>26.457166596169333</v>
        <stp/>
        <stp>00637L_AskPrice:V_INDEX@Master</stp>
        <tr r="J30" s="11"/>
      </tp>
      <tp>
        <v>104.32590840073129</v>
        <stp/>
        <stp>00631L_AskPrice:V_INDEX@Master</stp>
        <tr r="J23" s="11"/>
      </tp>
      <tp>
        <v>-7.9228162514264338E+28</v>
        <stp/>
        <stp>00831B_AskPrice:V_INDEX@Master</stp>
        <tr r="J180" s="11"/>
      </tp>
      <tp>
        <v>6.3085074237669607</v>
        <stp/>
        <stp>00632R_AskPrice:V_INDEX@Master</stp>
        <tr r="J24" s="11"/>
      </tp>
      <tp>
        <v>-7.9228162514264338E+28</v>
        <stp/>
        <stp>00832B_AskPrice:V_INDEX@Master</stp>
        <tr r="J181" s="11"/>
      </tp>
      <tp>
        <v>66.960328429999677</v>
        <stp/>
        <stp>00633L_AskPrice:V_INDEX@Master</stp>
        <tr r="J25" s="11"/>
      </tp>
      <tp>
        <v>7.843024382842156</v>
        <stp/>
        <stp>00638R_AskPrice:V_INDEX@Master</stp>
        <tr r="J31" s="11"/>
      </tp>
      <tp>
        <v>28.241490924961614</v>
        <stp/>
        <stp>00738U_AskPrice:V_INDEX@Master</stp>
        <tr r="J121" s="11"/>
      </tp>
      <tp>
        <v>-7.9228162514264338E+28</v>
        <stp/>
        <stp>00838B_AskPrice:V_INDEX@Master</stp>
        <tr r="J184" s="11"/>
      </tp>
      <tp>
        <v>-7.9228162514264338E+28</v>
        <stp/>
        <stp>00839B_AskPrice:V_INDEX@Master</stp>
        <tr r="J185" s="11"/>
      </tp>
      <tp>
        <v>27.67647713570166</v>
        <stp/>
        <stp>00708L_BidPrice:V_INDEX@Master</stp>
        <tr r="I93" s="11"/>
      </tp>
      <tp>
        <v>16.207421918482982</v>
        <stp/>
        <stp>00706L_BidPrice:V_INDEX@Master</stp>
        <tr r="I91" s="11"/>
      </tp>
      <tp>
        <v>19.801912823522596</v>
        <stp/>
        <stp>00707R_BidPrice:V_INDEX@Master</stp>
        <tr r="I92" s="11"/>
      </tp>
      <tp t="s">
        <v>20210514_151459825</v>
        <stp/>
        <stp>CL-N21_Time:NYMEX@IDC54</stp>
        <tr r="G17" s="12"/>
      </tp>
      <tp t="s">
        <v>20210514_151459801</v>
        <stp/>
        <stp>CL-M21_Time:NYMEX@IDC54</stp>
        <tr r="G26" s="12"/>
      </tp>
      <tp t="e">
        <v>#N/A</v>
        <stp/>
        <stp>CL-K21_Time:NYMEX@IDC54</stp>
        <tr r="G25" s="12"/>
      </tp>
      <tp t="e">
        <v>#N/A</v>
        <stp/>
        <stp>CL-J21_Time:NYMEX@IDC54</stp>
        <tr r="G24" s="12"/>
      </tp>
      <tp t="e">
        <v>#N/A</v>
        <stp/>
        <stp>CL-H21_Time:NYMEX@IDC54</stp>
        <tr r="G23" s="12"/>
      </tp>
      <tp t="s">
        <v>20210514_151459805</v>
        <stp/>
        <stp>CL-Z21_Time:NYMEX@IDC54</stp>
        <tr r="G22" s="12"/>
      </tp>
      <tp t="s">
        <v>20210514_151459815</v>
        <stp/>
        <stp>CL-X21_Time:NYMEX@IDC54</stp>
        <tr r="G21" s="12"/>
      </tp>
      <tp t="s">
        <v>20210514_151459805</v>
        <stp/>
        <stp>CL-V21_Time:NYMEX@IDC54</stp>
        <tr r="G20" s="12"/>
      </tp>
      <tp t="s">
        <v>20210514_151459811</v>
        <stp/>
        <stp>CL-U21_Time:NYMEX@IDC54</stp>
        <tr r="G19" s="12"/>
      </tp>
      <tp t="s">
        <v>20210514_151459805</v>
        <stp/>
        <stp>CL-Q21_Time:NYMEX@IDC54</stp>
        <tr r="G18" s="12"/>
      </tp>
      <tp>
        <v>16.209201415179521</v>
        <stp/>
        <stp>00706L_AskPrice:V_INDEX@Master</stp>
        <tr r="J91" s="11"/>
      </tp>
      <tp>
        <v>19.803001500565397</v>
        <stp/>
        <stp>00707R_AskPrice:V_INDEX@Master</stp>
        <tr r="J92" s="11"/>
      </tp>
      <tp>
        <v>27.682478009065008</v>
        <stp/>
        <stp>00708L_AskPrice:V_INDEX@Master</stp>
        <tr r="J93" s="11"/>
      </tp>
      <tp>
        <v>28.231156733073682</v>
        <stp/>
        <stp>00738U_BidPrice:V_INDEX@Master</stp>
        <tr r="I121" s="11"/>
      </tp>
      <tp>
        <v>7.8425528643128652</v>
        <stp/>
        <stp>00638R_BidPrice:V_INDEX@Master</stp>
        <tr r="I31" s="11"/>
      </tp>
      <tp>
        <v>-7.9228162514264338E+28</v>
        <stp/>
        <stp>00838B_BidPrice:V_INDEX@Master</stp>
        <tr r="I184" s="11"/>
      </tp>
      <tp>
        <v>-7.9228162514264338E+28</v>
        <stp/>
        <stp>00839B_BidPrice:V_INDEX@Master</stp>
        <tr r="I185" s="11"/>
      </tp>
      <tp>
        <v>-7.9228162514264338E+28</v>
        <stp/>
        <stp>00836B_BidPrice:V_INDEX@Master</stp>
        <tr r="I183" s="11"/>
      </tp>
      <tp>
        <v>-7.9228162514264338E+28</v>
        <stp/>
        <stp>00636K_BidPrice:V_INDEX@Master</stp>
        <tr r="I29" s="11"/>
      </tp>
      <tp>
        <v>26.453603014696135</v>
        <stp/>
        <stp>00637L_BidPrice:V_INDEX@Master</stp>
        <tr r="I30" s="11"/>
      </tp>
      <tp>
        <v>3.8919250750074568</v>
        <stp/>
        <stp>00634R_BidPrice:V_INDEX@Master</stp>
        <tr r="I26" s="11"/>
      </tp>
      <tp>
        <v>-7.9228162514264338E+28</v>
        <stp/>
        <stp>00734B_BidPrice:V_INDEX@Master</stp>
        <tr r="I117" s="11"/>
      </tp>
      <tp>
        <v>-7.9228162514264338E+28</v>
        <stp/>
        <stp>00834B_BidPrice:V_INDEX@Master</stp>
        <tr r="I182" s="11"/>
      </tp>
      <tp>
        <v>24.625697144722967</v>
        <stp/>
        <stp>00635U_BidPrice:V_INDEX@Master</stp>
        <tr r="I27" s="11"/>
      </tp>
      <tp t="e">
        <v>#N/A</v>
        <stp/>
        <stp>MME-Z21:NYBOT@IDC54</stp>
        <tr r="F102" s="12"/>
      </tp>
      <tp>
        <v>6.307573781066016</v>
        <stp/>
        <stp>00632R_BidPrice:V_INDEX@Master</stp>
        <tr r="I24" s="11"/>
      </tp>
      <tp>
        <v>-7.9228162514264338E+28</v>
        <stp/>
        <stp>00832B_BidPrice:V_INDEX@Master</stp>
        <tr r="I181" s="11"/>
      </tp>
      <tp>
        <v>66.947388959650667</v>
        <stp/>
        <stp>00633L_BidPrice:V_INDEX@Master</stp>
        <tr r="I25" s="11"/>
      </tp>
      <tp>
        <v>-7.9228162514264338E+28</v>
        <stp/>
        <stp>00831B_BidPrice:V_INDEX@Master</stp>
        <tr r="I180" s="11"/>
      </tp>
      <tp>
        <v>104.2917600942022</v>
        <stp/>
        <stp>00631L_BidPrice:V_INDEX@Master</stp>
        <tr r="I23" s="11"/>
      </tp>
    </main>
    <main first="kgi.tw.der.pricertdserver.2014.1">
      <tp>
        <v>7.2389117321940128</v>
        <stp/>
        <stp>00715L_AskPrice:V_INDEX@Master</stp>
        <tr r="J100" s="11"/>
      </tp>
      <tp>
        <v>-7.9228162514264338E+28</v>
        <stp/>
        <stp>00710B_AskPrice:V_INDEX@Master</stp>
        <tr r="J95" s="11"/>
      </tp>
      <tp>
        <v>-7.9228162514264338E+28</v>
        <stp/>
        <stp>00711B_AskPrice:V_INDEX@Master</stp>
        <tr r="J96" s="11"/>
      </tp>
      <tp>
        <v>-7.9228162514264338E+28</v>
        <stp/>
        <stp>00718B_AskPrice:V_INDEX@Master</stp>
        <tr r="J102" s="11"/>
      </tp>
      <tp>
        <v>-7.9228162514264338E+28</v>
        <stp/>
        <stp>00719B_AskPrice:V_INDEX@Master</stp>
        <tr r="J103" s="11"/>
      </tp>
      <tp>
        <v>-7.9228162514264338E+28</v>
        <stp/>
        <stp>00726B_BidPrice:V_INDEX@Master</stp>
        <tr r="I110" s="11"/>
      </tp>
      <tp>
        <v>-7.9228162514264338E+28</v>
        <stp/>
        <stp>00727B_BidPrice:V_INDEX@Master</stp>
        <tr r="I111" s="11"/>
      </tp>
      <tp>
        <v>-7.9228162514264338E+28</v>
        <stp/>
        <stp>00724B_BidPrice:V_INDEX@Master</stp>
        <tr r="I108" s="11"/>
      </tp>
      <tp>
        <v>-7.9228162514264338E+28</v>
        <stp/>
        <stp>00725B_BidPrice:V_INDEX@Master</stp>
        <tr r="I109" s="11"/>
      </tp>
      <tp>
        <v>-7.9228162514264338E+28</v>
        <stp/>
        <stp>00625K_BidPrice:V_INDEX@Master</stp>
        <tr r="I22" s="11"/>
      </tp>
      <tp>
        <v>-7.9228162514264338E+28</v>
        <stp/>
        <stp>00722B_BidPrice:V_INDEX@Master</stp>
        <tr r="I106" s="11"/>
      </tp>
      <tp>
        <v>-7.9228162514264338E+28</v>
        <stp/>
        <stp>00723B_BidPrice:V_INDEX@Master</stp>
        <tr r="I107" s="11"/>
      </tp>
      <tp>
        <v>-7.9228162514264338E+28</v>
        <stp/>
        <stp>00720B_BidPrice:V_INDEX@Master</stp>
        <tr r="I104" s="11"/>
      </tp>
      <tp>
        <v>-7.9228162514264338E+28</v>
        <stp/>
        <stp>006206_BidPrice:V_INDEX@Master</stp>
        <tr r="I19" s="11"/>
      </tp>
      <tp>
        <v>-7.9228162514264338E+28</v>
        <stp/>
        <stp>006207_BidPrice:V_INDEX@Master</stp>
        <tr r="I20" s="11"/>
      </tp>
      <tp>
        <v>80.260767226666658</v>
        <stp/>
        <stp>006204_BidPrice:V_INDEX@Master</stp>
        <tr r="I17" s="11"/>
      </tp>
      <tp>
        <v>-7.9228162514264338E+28</v>
        <stp/>
        <stp>006205_BidPrice:V_INDEX@Master</stp>
        <tr r="I18" s="11"/>
      </tp>
      <tp>
        <v>60.769651719999999</v>
        <stp/>
        <stp>006203_BidPrice:V_INDEX@Master</stp>
        <tr r="I16" s="11"/>
      </tp>
      <tp>
        <v>17.484469657966443</v>
        <stp/>
        <stp>006201_BidPrice:V_INDEX@Master</stp>
        <tr r="I15" s="11"/>
      </tp>
      <tp>
        <v>-7.9228162514264338E+28</v>
        <stp/>
        <stp>008201_BidPrice:V_INDEX@Master</stp>
        <tr r="I178" s="11"/>
      </tp>
      <tp>
        <v>73.79395621105084</v>
        <stp/>
        <stp>006208_BidPrice:V_INDEX@Master</stp>
        <tr r="I21" s="11"/>
      </tp>
      <tp>
        <v>-7.9228162514264338E+28</v>
        <stp/>
        <stp>00721B_BidPrice:V_INDEX@Master</stp>
        <tr r="I105" s="11"/>
      </tp>
      <tp>
        <v>7.1625689903623151</v>
        <stp/>
        <stp>00664R_AskPrice:V_INDEX@Master</stp>
        <tr r="J55" s="11"/>
      </tp>
      <tp>
        <v>-7.9228162514264338E+28</v>
        <stp/>
        <stp>00764B_AskPrice:V_INDEX@Master</stp>
        <tr r="J147" s="11"/>
      </tp>
      <tp>
        <v>-7.9228162514264338E+28</v>
        <stp/>
        <stp>00864B_AskPrice:V_INDEX@Master</stp>
        <tr r="J208" s="11"/>
      </tp>
      <tp>
        <v>22.774257967605884</v>
        <stp/>
        <stp>00665L_AskPrice:V_INDEX@Master</stp>
        <tr r="J56" s="11"/>
      </tp>
      <tp>
        <v>-7.9228162514264338E+28</v>
        <stp/>
        <stp>00765B_AskPrice:V_INDEX@Master</stp>
        <tr r="J148" s="11"/>
      </tp>
      <tp>
        <v>-7.9228162514264338E+28</v>
        <stp/>
        <stp>00865B_AskPrice:V_INDEX@Master</stp>
        <tr r="J209" s="11"/>
      </tp>
      <tp>
        <v>12.31</v>
        <stp/>
        <stp>00668K_Reference:V_INDEX@Master</stp>
        <tr r="G59" s="11"/>
      </tp>
      <tp>
        <v>11.589133498131059</v>
        <stp/>
        <stp>00666R_AskPrice:V_INDEX@Master</stp>
        <tr r="J57" s="11"/>
      </tp>
      <tp>
        <v>-7.9228162514264338E+28</v>
        <stp/>
        <stp>00867B_AskPrice:V_INDEX@Master</stp>
        <tr r="J210" s="11"/>
      </tp>
      <tp>
        <v>-7.9228162514264338E+28</v>
        <stp/>
        <stp>00760B_AskPrice:V_INDEX@Master</stp>
        <tr r="J143" s="11"/>
      </tp>
      <tp>
        <v>-7.9228162514264338E+28</v>
        <stp/>
        <stp>00860B_AskPrice:V_INDEX@Master</stp>
        <tr r="J204" s="11"/>
      </tp>
      <tp>
        <v>-7.9228162514264338E+28</v>
        <stp/>
        <stp>00761B_AskPrice:V_INDEX@Master</stp>
        <tr r="J144" s="11"/>
      </tp>
      <tp>
        <v>-7.9228162514264338E+28</v>
        <stp/>
        <stp>00862B_AskPrice:V_INDEX@Master</stp>
        <tr r="J206" s="11"/>
      </tp>
      <tp>
        <v>21.506845643153529</v>
        <stp/>
        <stp>00688L_Reference:V_INDEX@Master</stp>
        <tr r="G78" s="11"/>
      </tp>
      <tp>
        <v>27.401707004007292</v>
        <stp/>
        <stp>00708L_Reference:V_INDEX@Master</stp>
        <tr r="G93" s="11"/>
      </tp>
      <tp>
        <v>30.284196787011947</v>
        <stp/>
        <stp>00763U_AskPrice:V_INDEX@Master</stp>
        <tr r="J146" s="11"/>
      </tp>
      <tp>
        <v>93.27928445384434</v>
        <stp/>
        <stp>00663L_AskPrice:V_INDEX@Master</stp>
        <tr r="J54" s="11"/>
      </tp>
      <tp>
        <v>-7.9228162514264338E+28</v>
        <stp/>
        <stp>00863B_AskPrice:V_INDEX@Master</stp>
        <tr r="J207" s="11"/>
      </tp>
      <tp t="e">
        <v>#N/A</v>
        <stp/>
        <stp>00868B_Reference:V_INDEX@Master</stp>
        <tr r="G211" s="11"/>
      </tp>
      <tp>
        <v>36.8825</v>
        <stp/>
        <stp>00848B_Reference:V_INDEX@Master</stp>
        <tr r="G194" s="11"/>
      </tp>
      <tp>
        <v>39.01</v>
        <stp/>
        <stp>00838B_Reference:V_INDEX@Master</stp>
        <tr r="G184" s="11"/>
      </tp>
      <tp>
        <v>38.897399999999998</v>
        <stp/>
        <stp>00788B_Reference:V_INDEX@Master</stp>
        <tr r="G168" s="11"/>
      </tp>
      <tp>
        <v>42.8</v>
        <stp/>
        <stp>00778B_Reference:V_INDEX@Master</stp>
        <tr r="G158" s="11"/>
      </tp>
      <tp>
        <v>64.395600000000002</v>
        <stp/>
        <stp>00768B_Reference:V_INDEX@Master</stp>
        <tr r="G149" s="11"/>
      </tp>
      <tp>
        <v>60.01</v>
        <stp/>
        <stp>00758B_Reference:V_INDEX@Master</stp>
        <tr r="G141" s="11"/>
      </tp>
      <tp>
        <v>41.55</v>
        <stp/>
        <stp>00748B_Reference:V_INDEX@Master</stp>
        <tr r="G131" s="11"/>
      </tp>
      <tp>
        <v>19.681000000000001</v>
        <stp/>
        <stp>00718B_Reference:V_INDEX@Master</stp>
        <tr r="G102" s="11"/>
      </tp>
      <tp>
        <v>-7.9228162514264338E+28</v>
        <stp/>
        <stp>00668K_AskPrice:V_INDEX@Master</stp>
        <tr r="J59" s="11"/>
      </tp>
      <tp>
        <v>-7.9228162514264338E+28</v>
        <stp/>
        <stp>00768B_AskPrice:V_INDEX@Master</stp>
        <tr r="J149" s="11"/>
      </tp>
      <tp t="e">
        <v>#N/A</v>
        <stp/>
        <stp>00868B_AskPrice:V_INDEX@Master</stp>
        <tr r="J211" s="11"/>
      </tp>
      <tp>
        <v>8.1645794908676805</v>
        <stp/>
        <stp>00669R_AskPrice:V_INDEX@Master</stp>
        <tr r="J60" s="11"/>
      </tp>
      <tp>
        <v>-7.9228162514264338E+28</v>
        <stp/>
        <stp>00869B_AskPrice:V_INDEX@Master</stp>
        <tr r="J212" s="11"/>
      </tp>
      <tp>
        <v>-7.9228162514264338E+28</v>
        <stp/>
        <stp>00758B_BidPrice:V_INDEX@Master</stp>
        <tr r="I141" s="11"/>
      </tp>
      <tp>
        <v>-7.9228162514264338E+28</v>
        <stp/>
        <stp>00759B_BidPrice:V_INDEX@Master</stp>
        <tr r="I142" s="11"/>
      </tp>
      <tp>
        <v>-7.9228162514264338E+28</v>
        <stp/>
        <stp>00859B_BidPrice:V_INDEX@Master</stp>
        <tr r="I203" s="11"/>
      </tp>
      <tp>
        <v>7.1789385796373955</v>
        <stp/>
        <stp>00656R_BidPrice:V_INDEX@Master</stp>
        <tr r="I48" s="11"/>
      </tp>
      <tp>
        <v>-7.9228162514264338E+28</v>
        <stp/>
        <stp>00756B_BidPrice:V_INDEX@Master</stp>
        <tr r="I139" s="11"/>
      </tp>
      <tp>
        <v>-7.9228162514264338E+28</v>
        <stp/>
        <stp>00856B_BidPrice:V_INDEX@Master</stp>
        <tr r="I200" s="11"/>
      </tp>
      <tp>
        <v>7.5277690022864716</v>
        <stp/>
        <stp>00648R_Reference:V_INDEX@Master</stp>
        <tr r="G41" s="11"/>
      </tp>
      <tp>
        <v>8.0603656583629881</v>
        <stp/>
        <stp>00638R_Reference:V_INDEX@Master</stp>
        <tr r="G31" s="11"/>
      </tp>
      <tp>
        <v>-7.9228162514264338E+28</v>
        <stp/>
        <stp>00857B_BidPrice:V_INDEX@Master</stp>
        <tr r="I201" s="11"/>
      </tp>
      <tp>
        <v>-7.9228162514264338E+28</v>
        <stp/>
        <stp>00657K_BidPrice:V_INDEX@Master</stp>
        <tr r="I50" s="11"/>
      </tp>
      <tp t="s">
        <v>20210514_111445000</v>
        <stp/>
        <stp>0061_Time:V_INDEX@Master</stp>
        <tr r="K14" s="11"/>
      </tp>
      <tp>
        <v>9.8552813560842747</v>
        <stp/>
        <stp>00654R_BidPrice:V_INDEX@Master</stp>
        <tr r="I46" s="11"/>
      </tp>
      <tp>
        <v>-7.9228162514264338E+28</v>
        <stp/>
        <stp>00754B_BidPrice:V_INDEX@Master</stp>
        <tr r="I137" s="11"/>
      </tp>
      <tp t="s">
        <v>20210514_133051028</v>
        <stp/>
        <stp>0053_Time:V_INDEX@Master</stp>
        <tr r="K9" s="11"/>
      </tp>
      <tp t="s">
        <v>20210514_151455304</v>
        <stp/>
        <stp>0052_Time:V_INDEX@Master</stp>
        <tr r="K8" s="11"/>
      </tp>
      <tp t="s">
        <v>20210514_133105998</v>
        <stp/>
        <stp>0051_Time:V_INDEX@Master</stp>
        <tr r="K7" s="11"/>
      </tp>
      <tp t="s">
        <v>20210514_133036933</v>
        <stp/>
        <stp>0050_Time:V_INDEX@Master</stp>
        <tr r="K6" s="11"/>
      </tp>
      <tp t="s">
        <v>20210514_151458742</v>
        <stp/>
        <stp>0057_Time:V_INDEX@Master</stp>
        <tr r="K13" s="11"/>
      </tp>
      <tp t="s">
        <v>20210514_133023682</v>
        <stp/>
        <stp>0056_Time:V_INDEX@Master</stp>
        <tr r="K12" s="11"/>
      </tp>
      <tp t="s">
        <v>20210514_133027026</v>
        <stp/>
        <stp>0055_Time:V_INDEX@Master</stp>
        <tr r="K11" s="11"/>
      </tp>
      <tp t="s">
        <v>20210514_133050997</v>
        <stp/>
        <stp>0054_Time:V_INDEX@Master</stp>
        <tr r="K10" s="11"/>
      </tp>
      <tp>
        <v>-7.9228162514264338E+28</v>
        <stp/>
        <stp>00755B_BidPrice:V_INDEX@Master</stp>
        <tr r="I138" s="11"/>
      </tp>
      <tp>
        <v>50.269175012005675</v>
        <stp/>
        <stp>00655L_BidPrice:V_INDEX@Master</stp>
        <tr r="I47" s="11"/>
      </tp>
      <tp>
        <v>20.423593807454836</v>
        <stp/>
        <stp>00852L_BidPrice:V_INDEX@Master</stp>
        <tr r="I198" s="11"/>
      </tp>
      <tp>
        <v>-7.9228162514264338E+28</v>
        <stp/>
        <stp>00853B_BidPrice:V_INDEX@Master</stp>
        <tr r="I199" s="11"/>
      </tp>
      <tp>
        <v>33.815686637206333</v>
        <stp/>
        <stp>00653L_BidPrice:V_INDEX@Master</stp>
        <tr r="I45" s="11"/>
      </tp>
      <tp>
        <v>33.3700618375833</v>
        <stp/>
        <stp>00753L_BidPrice:V_INDEX@Master</stp>
        <tr r="I136" s="11"/>
      </tp>
      <tp>
        <v>-7.9228162514264338E+28</v>
        <stp/>
        <stp>00750B_BidPrice:V_INDEX@Master</stp>
        <tr r="I133" s="11"/>
      </tp>
      <tp>
        <v>28.676992440344243</v>
        <stp/>
        <stp>00650L_BidPrice:V_INDEX@Master</stp>
        <tr r="I42" s="11"/>
      </tp>
      <tp>
        <v>7.0939668309771831</v>
        <stp/>
        <stp>00651R_BidPrice:V_INDEX@Master</stp>
        <tr r="I43" s="11"/>
      </tp>
      <tp>
        <v>-7.9228162514264338E+28</v>
        <stp/>
        <stp>00751B_BidPrice:V_INDEX@Master</stp>
        <tr r="I134" s="11"/>
      </tp>
      <tp>
        <v>27.963058998614919</v>
        <stp/>
        <stp>00738U_Reference:V_INDEX@Master</stp>
        <tr r="G121" s="11"/>
      </tp>
    </main>
    <main first="kgi.tw.der.pricertdserver.2014.1">
      <tp>
        <v>13.060917013963076</v>
        <stp/>
        <stp>00674R_AskPrice:V_INDEX@Master</stp>
        <tr r="J64" s="11"/>
      </tp>
      <tp>
        <v>-7.9228162514264338E+28</v>
        <stp/>
        <stp>00774C_AskPrice:V_INDEX@Master</stp>
        <tr r="J155" s="11"/>
      </tp>
      <tp>
        <v>-7.9228162514264338E+28</v>
        <stp/>
        <stp>00774B_AskPrice:V_INDEX@Master</stp>
        <tr r="J154" s="11"/>
      </tp>
      <tp>
        <v>40.093196980566752</v>
        <stp/>
        <stp>00675L_AskPrice:V_INDEX@Master</stp>
        <tr r="J65" s="11"/>
      </tp>
      <tp>
        <v>-7.9228162514264338E+28</v>
        <stp/>
        <stp>00775B_AskPrice:V_INDEX@Master</stp>
        <tr r="J156" s="11"/>
      </tp>
      <tp>
        <v>3.9064460680845663</v>
        <stp/>
        <stp>00676R_AskPrice:V_INDEX@Master</stp>
        <tr r="J66" s="11"/>
      </tp>
      <tp>
        <v>1.8274985172193499</v>
        <stp/>
        <stp>00677U_AskPrice:V_INDEX@Master</stp>
        <tr r="J67" s="11"/>
      </tp>
      <tp>
        <v>-7.9228162514264338E+28</v>
        <stp/>
        <stp>00777B_AskPrice:V_INDEX@Master</stp>
        <tr r="J157" s="11"/>
      </tp>
      <tp>
        <v>84.158695685519007</v>
        <stp/>
        <stp>00670L_AskPrice:V_INDEX@Master</stp>
        <tr r="J61" s="11"/>
      </tp>
      <tp>
        <v>-7.9228162514264338E+28</v>
        <stp/>
        <stp>00870B_AskPrice:V_INDEX@Master</stp>
        <tr r="J213" s="11"/>
      </tp>
      <tp>
        <v>6.16222799730975</v>
        <stp/>
        <stp>00671R_AskPrice:V_INDEX@Master</stp>
        <tr r="J62" s="11"/>
      </tp>
      <tp>
        <v>-7.9228162514264338E+28</v>
        <stp/>
        <stp>00772B_AskPrice:V_INDEX@Master</stp>
        <tr r="J152" s="11"/>
      </tp>
      <tp>
        <v>-7.9228162514264338E+28</v>
        <stp/>
        <stp>00872B_AskPrice:V_INDEX@Master</stp>
        <tr r="J214" s="11"/>
      </tp>
      <tp>
        <v>17.751176906536106</v>
        <stp/>
        <stp>00673R_AskPrice:V_INDEX@Master</stp>
        <tr r="J63" s="11"/>
      </tp>
      <tp>
        <v>-7.9228162514264338E+28</v>
        <stp/>
        <stp>00773B_AskPrice:V_INDEX@Master</stp>
        <tr r="J153" s="11"/>
      </tp>
      <tp>
        <v>37.229999999999997</v>
        <stp/>
        <stp>00879B_Reference:V_INDEX@Master</stp>
        <tr r="G218" s="11"/>
      </tp>
      <tp>
        <v>36.44</v>
        <stp/>
        <stp>00869B_Reference:V_INDEX@Master</stp>
        <tr r="G212" s="11"/>
      </tp>
      <tp>
        <v>36.259599999999999</v>
        <stp/>
        <stp>00859B_Reference:V_INDEX@Master</stp>
        <tr r="G203" s="11"/>
      </tp>
      <tp>
        <v>36.767899999999997</v>
        <stp/>
        <stp>00849B_Reference:V_INDEX@Master</stp>
        <tr r="G195" s="11"/>
      </tp>
      <tp>
        <v>39.85</v>
        <stp/>
        <stp>00839B_Reference:V_INDEX@Master</stp>
        <tr r="G185" s="11"/>
      </tp>
      <tp>
        <v>38.815600000000003</v>
        <stp/>
        <stp>00679B_Reference:V_INDEX@Master</stp>
        <tr r="G69" s="11"/>
      </tp>
      <tp>
        <v>40.598999999999997</v>
        <stp/>
        <stp>00799B_Reference:V_INDEX@Master</stp>
        <tr r="G177" s="11"/>
      </tp>
      <tp>
        <v>61.8506</v>
        <stp/>
        <stp>00789B_Reference:V_INDEX@Master</stp>
        <tr r="G169" s="11"/>
      </tp>
      <tp>
        <v>40.43</v>
        <stp/>
        <stp>00779B_Reference:V_INDEX@Master</stp>
        <tr r="G159" s="11"/>
      </tp>
      <tp>
        <v>66.930000000000007</v>
        <stp/>
        <stp>00759B_Reference:V_INDEX@Master</stp>
        <tr r="G142" s="11"/>
      </tp>
      <tp>
        <v>41.55</v>
        <stp/>
        <stp>00749B_Reference:V_INDEX@Master</stp>
        <tr r="G132" s="11"/>
      </tp>
      <tp>
        <v>30.147500000000001</v>
        <stp/>
        <stp>00719B_Reference:V_INDEX@Master</stp>
        <tr r="G103" s="11"/>
      </tp>
      <tp>
        <v>-7.9228162514264338E+28</v>
        <stp/>
        <stp>00778B_AskPrice:V_INDEX@Master</stp>
        <tr r="J158" s="11"/>
      </tp>
      <tp>
        <v>-7.9228162514264338E+28</v>
        <stp/>
        <stp>00679B_AskPrice:V_INDEX@Master</stp>
        <tr r="J69" s="11"/>
      </tp>
      <tp>
        <v>-7.9228162514264338E+28</v>
        <stp/>
        <stp>00779B_AskPrice:V_INDEX@Master</stp>
        <tr r="J159" s="11"/>
      </tp>
      <tp>
        <v>-7.9228162514264338E+28</v>
        <stp/>
        <stp>00879B_AskPrice:V_INDEX@Master</stp>
        <tr r="J218" s="11"/>
      </tp>
      <tp>
        <v>7.4833576597957281</v>
        <stp/>
        <stp>00648R_BidPrice:V_INDEX@Master</stp>
        <tr r="I41" s="11"/>
      </tp>
      <tp>
        <v>-7.9228162514264338E+28</v>
        <stp/>
        <stp>00748B_BidPrice:V_INDEX@Master</stp>
        <tr r="I131" s="11"/>
      </tp>
      <tp>
        <v>-7.9228162514264338E+28</v>
        <stp/>
        <stp>00848B_BidPrice:V_INDEX@Master</stp>
        <tr r="I194" s="11"/>
      </tp>
      <tp>
        <v>-7.9228162514264338E+28</v>
        <stp/>
        <stp>00749B_BidPrice:V_INDEX@Master</stp>
        <tr r="I132" s="11"/>
      </tp>
      <tp>
        <v>-7.9228162514264338E+28</v>
        <stp/>
        <stp>00849B_BidPrice:V_INDEX@Master</stp>
        <tr r="I195" s="11"/>
      </tp>
      <tp>
        <v>-7.9228162514264338E+28</v>
        <stp/>
        <stp>00746B_BidPrice:V_INDEX@Master</stp>
        <tr r="I129" s="11"/>
      </tp>
      <tp>
        <v>-7.9228162514264338E+28</v>
        <stp/>
        <stp>00846B_BidPrice:V_INDEX@Master</stp>
        <tr r="I192" s="11"/>
      </tp>
      <tp>
        <v>15.29631489744307</v>
        <stp/>
        <stp>00689R_Reference:V_INDEX@Master</stp>
        <tr r="G79" s="11"/>
      </tp>
      <tp>
        <v>8.2069704333068447</v>
        <stp/>
        <stp>00669R_Reference:V_INDEX@Master</stp>
        <tr r="G60" s="11"/>
      </tp>
      <tp>
        <v>-7.9228162514264338E+28</v>
        <stp/>
        <stp>00747B_BidPrice:V_INDEX@Master</stp>
        <tr r="I130" s="11"/>
      </tp>
      <tp>
        <v>-7.9228162514264338E+28</v>
        <stp/>
        <stp>00847B_BidPrice:V_INDEX@Master</stp>
        <tr r="I193" s="11"/>
      </tp>
      <tp>
        <v>60.416474351059613</v>
        <stp/>
        <stp>00647L_BidPrice:V_INDEX@Master</stp>
        <tr r="I40" s="11"/>
      </tp>
      <tp>
        <v>-7.9228162514264338E+28</v>
        <stp/>
        <stp>00744B_BidPrice:V_INDEX@Master</stp>
        <tr r="I127" s="11"/>
      </tp>
      <tp>
        <v>-7.9228162514264338E+28</v>
        <stp/>
        <stp>00844B_BidPrice:V_INDEX@Master</stp>
        <tr r="I190" s="11"/>
      </tp>
      <tp>
        <v>-7.9228162514264338E+28</v>
        <stp/>
        <stp>00745B_BidPrice:V_INDEX@Master</stp>
        <tr r="I128" s="11"/>
      </tp>
      <tp>
        <v>-7.9228162514264338E+28</v>
        <stp/>
        <stp>00845B_BidPrice:V_INDEX@Master</stp>
        <tr r="I191" s="11"/>
      </tp>
      <tp>
        <v>10.91518321777497</v>
        <stp/>
        <stp>00642U_BidPrice:V_INDEX@Master</stp>
        <tr r="I35" s="11"/>
      </tp>
      <tp>
        <v>-7.9228162514264338E+28</v>
        <stp/>
        <stp>00842B_BidPrice:V_INDEX@Master</stp>
        <tr r="I188" s="11"/>
      </tp>
      <tp>
        <v>-7.9228162514264338E+28</v>
        <stp/>
        <stp>00843B_BidPrice:V_INDEX@Master</stp>
        <tr r="I189" s="11"/>
      </tp>
      <tp>
        <v>-7.9228162514264338E+28</v>
        <stp/>
        <stp>00643K_BidPrice:V_INDEX@Master</stp>
        <tr r="I37" s="11"/>
      </tp>
      <tp>
        <v>-7.9228162514264338E+28</v>
        <stp/>
        <stp>00740B_BidPrice:V_INDEX@Master</stp>
        <tr r="I123" s="11"/>
      </tp>
      <tp>
        <v>-7.9228162514264338E+28</v>
        <stp/>
        <stp>00840B_BidPrice:V_INDEX@Master</stp>
        <tr r="I186" s="11"/>
      </tp>
      <tp>
        <v>26.742263546331323</v>
        <stp/>
        <stp>00640L_BidPrice:V_INDEX@Master</stp>
        <tr r="I33" s="11"/>
      </tp>
      <tp>
        <v>11.01803209441734</v>
        <stp/>
        <stp>00641R_BidPrice:V_INDEX@Master</stp>
        <tr r="I34" s="11"/>
      </tp>
      <tp>
        <v>-7.9228162514264338E+28</v>
        <stp/>
        <stp>00741B_BidPrice:V_INDEX@Master</stp>
        <tr r="I124" s="11"/>
      </tp>
      <tp>
        <v>-7.9228162514264338E+28</v>
        <stp/>
        <stp>00841B_BidPrice:V_INDEX@Master</stp>
        <tr r="I187" s="11"/>
      </tp>
      <tp t="s">
        <v>20210514_151414816</v>
        <stp/>
        <stp>VX-X21_Time:CFE@IDC54</stp>
        <tr r="G13" s="12"/>
      </tp>
      <tp t="s">
        <v>20210514_151459554</v>
        <stp/>
        <stp>ES-Z21_Time:CME@IDC54</stp>
        <tr r="G27" s="12"/>
      </tp>
      <tp t="s">
        <v>20210514_151458851</v>
        <stp/>
        <stp>NQ-Z21_Time:CME@IDC54</stp>
        <tr r="G31" s="12"/>
      </tp>
      <tp t="e">
        <v>#N/A</v>
        <stp/>
        <stp>6J-Z21_Time:CME@IDC54</stp>
        <tr r="G144" s="12"/>
      </tp>
      <tp t="s">
        <v>20210514_151458851</v>
        <stp/>
        <stp>VX-Q21_Time:CFE@IDC54</stp>
        <tr r="G10" s="12"/>
      </tp>
      <tp t="s">
        <v>20210514_151459229</v>
        <stp/>
        <stp>ES-U21_Time:CME@IDC54</stp>
        <tr r="G30" s="12"/>
      </tp>
      <tp t="s">
        <v>20210514_151459351</v>
        <stp/>
        <stp>NQ-U21_Time:CME@IDC54</stp>
        <tr r="G34" s="12"/>
      </tp>
      <tp t="s">
        <v>20210514_151445850</v>
        <stp/>
        <stp>VX-U21_Time:CFE@IDC54</stp>
        <tr r="G11" s="12"/>
      </tp>
      <tp t="s">
        <v>20210514_140029581</v>
        <stp/>
        <stp>6J-U21_Time:CME@IDC54</stp>
        <tr r="G143" s="12"/>
      </tp>
      <tp t="s">
        <v>20210514_151445084</v>
        <stp/>
        <stp>VX-V21_Time:CFE@IDC54</stp>
        <tr r="G12" s="12"/>
      </tp>
      <tp t="e">
        <v>#N/A</v>
        <stp/>
        <stp>ES-H21_Time:CME@IDC54</stp>
        <tr r="G28" s="12"/>
      </tp>
      <tp t="e">
        <v>#N/A</v>
        <stp/>
        <stp>NQ-H21_Time:CME@IDC54</stp>
        <tr r="G32" s="12"/>
      </tp>
      <tp t="e">
        <v>#N/A</v>
        <stp/>
        <stp>VX-H21_Time:CFE@IDC54</stp>
        <tr r="G14" s="12"/>
      </tp>
      <tp t="s">
        <v>20210514_151459351</v>
        <stp/>
        <stp>VX-K21_Time:CFE@IDC54</stp>
        <tr r="G16" s="12"/>
      </tp>
      <tp t="e">
        <v>#N/A</v>
        <stp/>
        <stp>VX-J21_Time:CFE@IDC54</stp>
        <tr r="G15" s="12"/>
      </tp>
      <tp t="s">
        <v>20210514_151459464</v>
        <stp/>
        <stp>ES-M21_Time:CME@IDC54</stp>
        <tr r="G29" s="12"/>
      </tp>
      <tp t="s">
        <v>20210514_151459601</v>
        <stp/>
        <stp>NQ-M21_Time:CME@IDC54</stp>
        <tr r="G33" s="12"/>
      </tp>
      <tp t="s">
        <v>20210514_151459351</v>
        <stp/>
        <stp>VX-M21_Time:CFE@IDC54</stp>
        <tr r="G8" s="12"/>
      </tp>
      <tp t="s">
        <v>20210514_151446740</v>
        <stp/>
        <stp>6J-M21_Time:CME@IDC54</stp>
        <tr r="G145" s="12"/>
      </tp>
      <tp t="s">
        <v>20210514_151459351</v>
        <stp/>
        <stp>VX-N21_Time:CFE@IDC54</stp>
        <tr r="G9" s="12"/>
      </tp>
      <tp t="s">
        <v>20210514_151459679</v>
        <stp/>
        <stp>GC-G22_Time:NYMEX@IDC54</stp>
        <tr r="G58" s="12"/>
      </tp>
      <tp t="s">
        <v>20210514_151459429</v>
        <stp/>
        <stp>GC-M21_Time:NYMEX@IDC54</stp>
        <tr r="G60" s="12"/>
      </tp>
      <tp t="e">
        <v>#N/A</v>
        <stp/>
        <stp>GC-J21_Time:NYMEX@IDC54</stp>
        <tr r="G59" s="12"/>
      </tp>
      <tp t="s">
        <v>20210514_151459679</v>
        <stp/>
        <stp>GC-Z21_Time:NYMEX@IDC54</stp>
        <tr r="G57" s="12"/>
      </tp>
      <tp t="s">
        <v>20210514_151459679</v>
        <stp/>
        <stp>GC-V21_Time:NYMEX@IDC54</stp>
        <tr r="G56" s="12"/>
      </tp>
      <tp t="s">
        <v>20210514_151459679</v>
        <stp/>
        <stp>GC-Q21_Time:NYMEX@IDC54</stp>
        <tr r="G61" s="12"/>
      </tp>
    </main>
    <main first="kgi.tw.der.pricertdserver.2014.1">
      <tp>
        <v>-7.9228162514264338E+28</v>
        <stp/>
        <stp>00744B_AskPrice:V_INDEX@Master</stp>
        <tr r="J127" s="11"/>
      </tp>
      <tp>
        <v>-7.9228162514264338E+28</v>
        <stp/>
        <stp>00844B_AskPrice:V_INDEX@Master</stp>
        <tr r="J190" s="11"/>
      </tp>
      <tp>
        <v>-7.9228162514264338E+28</v>
        <stp/>
        <stp>00745B_AskPrice:V_INDEX@Master</stp>
        <tr r="J128" s="11"/>
      </tp>
      <tp>
        <v>-7.9228162514264338E+28</v>
        <stp/>
        <stp>00845B_AskPrice:V_INDEX@Master</stp>
        <tr r="J191" s="11"/>
      </tp>
      <tp>
        <v>-7.9228162514264338E+28</v>
        <stp/>
        <stp>00746B_AskPrice:V_INDEX@Master</stp>
        <tr r="J129" s="11"/>
      </tp>
      <tp>
        <v>-7.9228162514264338E+28</v>
        <stp/>
        <stp>00846B_AskPrice:V_INDEX@Master</stp>
        <tr r="J192" s="11"/>
      </tp>
      <tp>
        <v>60.43089895383175</v>
        <stp/>
        <stp>00647L_AskPrice:V_INDEX@Master</stp>
        <tr r="J40" s="11"/>
      </tp>
      <tp>
        <v>-7.9228162514264338E+28</v>
        <stp/>
        <stp>00747B_AskPrice:V_INDEX@Master</stp>
        <tr r="J130" s="11"/>
      </tp>
      <tp>
        <v>-7.9228162514264338E+28</v>
        <stp/>
        <stp>00847B_AskPrice:V_INDEX@Master</stp>
        <tr r="J193" s="11"/>
      </tp>
      <tp>
        <v>26.990857307728771</v>
        <stp/>
        <stp>00640L_AskPrice:V_INDEX@Master</stp>
        <tr r="J33" s="11"/>
      </tp>
      <tp>
        <v>-7.9228162514264338E+28</v>
        <stp/>
        <stp>00740B_AskPrice:V_INDEX@Master</stp>
        <tr r="J123" s="11"/>
      </tp>
      <tp>
        <v>-7.9228162514264338E+28</v>
        <stp/>
        <stp>00840B_AskPrice:V_INDEX@Master</stp>
        <tr r="J186" s="11"/>
      </tp>
      <tp>
        <v>11.073245408454966</v>
        <stp/>
        <stp>00641R_AskPrice:V_INDEX@Master</stp>
        <tr r="J34" s="11"/>
      </tp>
      <tp>
        <v>-7.9228162514264338E+28</v>
        <stp/>
        <stp>00741B_AskPrice:V_INDEX@Master</stp>
        <tr r="J124" s="11"/>
      </tp>
      <tp>
        <v>-7.9228162514264338E+28</v>
        <stp/>
        <stp>00841B_AskPrice:V_INDEX@Master</stp>
        <tr r="J187" s="11"/>
      </tp>
      <tp>
        <v>10.916892998234506</v>
        <stp/>
        <stp>00642U_AskPrice:V_INDEX@Master</stp>
        <tr r="J35" s="11"/>
      </tp>
      <tp>
        <v>-7.9228162514264338E+28</v>
        <stp/>
        <stp>00842B_AskPrice:V_INDEX@Master</stp>
        <tr r="J188" s="11"/>
      </tp>
      <tp>
        <v>-7.9228162514264338E+28</v>
        <stp/>
        <stp>00643K_AskPrice:V_INDEX@Master</stp>
        <tr r="J37" s="11"/>
      </tp>
      <tp>
        <v>-7.9228162514264338E+28</v>
        <stp/>
        <stp>00843B_AskPrice:V_INDEX@Master</stp>
        <tr r="J189" s="11"/>
      </tp>
      <tp>
        <v>7.4842955843688852</v>
        <stp/>
        <stp>00648R_AskPrice:V_INDEX@Master</stp>
        <tr r="J41" s="11"/>
      </tp>
      <tp>
        <v>-7.9228162514264338E+28</v>
        <stp/>
        <stp>00748B_AskPrice:V_INDEX@Master</stp>
        <tr r="J131" s="11"/>
      </tp>
      <tp>
        <v>-7.9228162514264338E+28</v>
        <stp/>
        <stp>00848B_AskPrice:V_INDEX@Master</stp>
        <tr r="J194" s="11"/>
      </tp>
      <tp>
        <v>-7.9228162514264338E+28</v>
        <stp/>
        <stp>00749B_AskPrice:V_INDEX@Master</stp>
        <tr r="J132" s="11"/>
      </tp>
      <tp>
        <v>-7.9228162514264338E+28</v>
        <stp/>
        <stp>00849B_AskPrice:V_INDEX@Master</stp>
        <tr r="J195" s="11"/>
      </tp>
      <tp>
        <v>-7.9228162514264338E+28</v>
        <stp/>
        <stp>00778B_BidPrice:V_INDEX@Master</stp>
        <tr r="I158" s="11"/>
      </tp>
      <tp>
        <v>-7.9228162514264338E+28</v>
        <stp/>
        <stp>00679B_BidPrice:V_INDEX@Master</stp>
        <tr r="I69" s="11"/>
      </tp>
      <tp>
        <v>-7.9228162514264338E+28</v>
        <stp/>
        <stp>00779B_BidPrice:V_INDEX@Master</stp>
        <tr r="I159" s="11"/>
      </tp>
      <tp>
        <v>-7.9228162514264338E+28</v>
        <stp/>
        <stp>00879B_BidPrice:V_INDEX@Master</stp>
        <tr r="I218" s="11"/>
      </tp>
      <tp>
        <v>3.9059426789224996</v>
        <stp/>
        <stp>00676R_BidPrice:V_INDEX@Master</stp>
        <tr r="I66" s="11"/>
      </tp>
      <tp>
        <v>1.8235553083042897</v>
        <stp/>
        <stp>00677U_BidPrice:V_INDEX@Master</stp>
        <tr r="I67" s="11"/>
      </tp>
      <tp>
        <v>-7.9228162514264338E+28</v>
        <stp/>
        <stp>00777B_BidPrice:V_INDEX@Master</stp>
        <tr r="I157" s="11"/>
      </tp>
      <tp>
        <v>13.059473949220733</v>
        <stp/>
        <stp>00674R_BidPrice:V_INDEX@Master</stp>
        <tr r="I64" s="11"/>
      </tp>
      <tp>
        <v>-7.9228162514264338E+28</v>
        <stp/>
        <stp>00774B_BidPrice:V_INDEX@Master</stp>
        <tr r="I154" s="11"/>
      </tp>
      <tp>
        <v>-7.9228162514264338E+28</v>
        <stp/>
        <stp>00774C_BidPrice:V_INDEX@Master</stp>
        <tr r="I155" s="11"/>
      </tp>
      <tp>
        <v>-7.9228162514264338E+28</v>
        <stp/>
        <stp>00775B_BidPrice:V_INDEX@Master</stp>
        <tr r="I156" s="11"/>
      </tp>
      <tp>
        <v>40.083052022450566</v>
        <stp/>
        <stp>00675L_BidPrice:V_INDEX@Master</stp>
        <tr r="I65" s="11"/>
      </tp>
      <tp>
        <v>-7.9228162514264338E+28</v>
        <stp/>
        <stp>00772B_BidPrice:V_INDEX@Master</stp>
        <tr r="I152" s="11"/>
      </tp>
      <tp>
        <v>-7.9228162514264338E+28</v>
        <stp/>
        <stp>00872B_BidPrice:V_INDEX@Master</stp>
        <tr r="I214" s="11"/>
      </tp>
      <tp>
        <v>17.74857393054295</v>
        <stp/>
        <stp>00673R_BidPrice:V_INDEX@Master</stp>
        <tr r="I63" s="11"/>
      </tp>
      <tp>
        <v>-7.9228162514264338E+28</v>
        <stp/>
        <stp>00773B_BidPrice:V_INDEX@Master</stp>
        <tr r="I153" s="11"/>
      </tp>
      <tp>
        <v>-7.9228162514264338E+28</v>
        <stp/>
        <stp>00870B_BidPrice:V_INDEX@Master</stp>
        <tr r="I213" s="11"/>
      </tp>
      <tp>
        <v>84.142946529031704</v>
        <stp/>
        <stp>00670L_BidPrice:V_INDEX@Master</stp>
        <tr r="I61" s="11"/>
      </tp>
      <tp>
        <v>6.161624158060401</v>
        <stp/>
        <stp>00671R_BidPrice:V_INDEX@Master</stp>
        <tr r="I62" s="11"/>
      </tp>
    </main>
    <main first="kgi.tw.der.pricertdserver.2014.1">
      <tp>
        <v>9.8559448010894819</v>
        <stp/>
        <stp>00654R_AskPrice:V_INDEX@Master</stp>
        <tr r="J46" s="11"/>
      </tp>
      <tp>
        <v>-7.9228162514264338E+28</v>
        <stp/>
        <stp>00754B_AskPrice:V_INDEX@Master</stp>
        <tr r="J137" s="11"/>
      </tp>
      <tp>
        <v>50.274987170644877</v>
        <stp/>
        <stp>00655L_AskPrice:V_INDEX@Master</stp>
        <tr r="J47" s="11"/>
      </tp>
      <tp>
        <v>-7.9228162514264338E+28</v>
        <stp/>
        <stp>00755B_AskPrice:V_INDEX@Master</stp>
        <tr r="J138" s="11"/>
      </tp>
      <tp>
        <v>7.1793778987386059</v>
        <stp/>
        <stp>00656R_AskPrice:V_INDEX@Master</stp>
        <tr r="J48" s="11"/>
      </tp>
      <tp>
        <v>-7.9228162514264338E+28</v>
        <stp/>
        <stp>00756B_AskPrice:V_INDEX@Master</stp>
        <tr r="J139" s="11"/>
      </tp>
      <tp>
        <v>-7.9228162514264338E+28</v>
        <stp/>
        <stp>00856B_AskPrice:V_INDEX@Master</stp>
        <tr r="J200" s="11"/>
      </tp>
      <tp>
        <v>-7.9228162514264338E+28</v>
        <stp/>
        <stp>00657K_AskPrice:V_INDEX@Master</stp>
        <tr r="J50" s="11"/>
      </tp>
      <tp>
        <v>-7.9228162514264338E+28</v>
        <stp/>
        <stp>00857B_AskPrice:V_INDEX@Master</stp>
        <tr r="J201" s="11"/>
      </tp>
      <tp>
        <v>28.679023876320251</v>
        <stp/>
        <stp>00650L_AskPrice:V_INDEX@Master</stp>
        <tr r="J42" s="11"/>
      </tp>
      <tp>
        <v>-7.9228162514264338E+28</v>
        <stp/>
        <stp>00750B_AskPrice:V_INDEX@Master</stp>
        <tr r="J133" s="11"/>
      </tp>
      <tp>
        <v>7.0942273995535725</v>
        <stp/>
        <stp>00651R_AskPrice:V_INDEX@Master</stp>
        <tr r="J43" s="11"/>
      </tp>
      <tp>
        <v>-7.9228162514264338E+28</v>
        <stp/>
        <stp>00751B_AskPrice:V_INDEX@Master</stp>
        <tr r="J134" s="11"/>
      </tp>
      <tp>
        <v>20.425961113651958</v>
        <stp/>
        <stp>00852L_AskPrice:V_INDEX@Master</stp>
        <tr r="J198" s="11"/>
      </tp>
      <tp>
        <v>33.820319333069932</v>
        <stp/>
        <stp>00653L_AskPrice:V_INDEX@Master</stp>
        <tr r="J45" s="11"/>
      </tp>
      <tp>
        <v>33.47392946411852</v>
        <stp/>
        <stp>00753L_AskPrice:V_INDEX@Master</stp>
        <tr r="J136" s="11"/>
      </tp>
      <tp>
        <v>-7.9228162514264338E+28</v>
        <stp/>
        <stp>00853B_AskPrice:V_INDEX@Master</stp>
        <tr r="J199" s="11"/>
      </tp>
      <tp>
        <v>-7.9228162514264338E+28</v>
        <stp/>
        <stp>00758B_AskPrice:V_INDEX@Master</stp>
        <tr r="J141" s="11"/>
      </tp>
      <tp>
        <v>-7.9228162514264338E+28</v>
        <stp/>
        <stp>00759B_AskPrice:V_INDEX@Master</stp>
        <tr r="J142" s="11"/>
      </tp>
      <tp>
        <v>-7.9228162514264338E+28</v>
        <stp/>
        <stp>00859B_AskPrice:V_INDEX@Master</stp>
        <tr r="J203" s="11"/>
      </tp>
      <tp>
        <v>-7.9228162514264338E+28</v>
        <stp/>
        <stp>00768B_BidPrice:V_INDEX@Master</stp>
        <tr r="I149" s="11"/>
      </tp>
      <tp t="e">
        <v>#N/A</v>
        <stp/>
        <stp>00868B_BidPrice:V_INDEX@Master</stp>
        <tr r="I211" s="11"/>
      </tp>
      <tp>
        <v>-7.9228162514264338E+28</v>
        <stp/>
        <stp>00668K_BidPrice:V_INDEX@Master</stp>
        <tr r="I59" s="11"/>
      </tp>
      <tp>
        <v>8.1640865432952552</v>
        <stp/>
        <stp>00669R_BidPrice:V_INDEX@Master</stp>
        <tr r="I60" s="11"/>
      </tp>
      <tp>
        <v>-7.9228162514264338E+28</v>
        <stp/>
        <stp>00869B_BidPrice:V_INDEX@Master</stp>
        <tr r="I212" s="11"/>
      </tp>
      <tp>
        <v>11.588010649003877</v>
        <stp/>
        <stp>00666R_BidPrice:V_INDEX@Master</stp>
        <tr r="I57" s="11"/>
      </tp>
      <tp>
        <v>-7.9228162514264338E+28</v>
        <stp/>
        <stp>00867B_BidPrice:V_INDEX@Master</stp>
        <tr r="I210" s="11"/>
      </tp>
      <tp>
        <v>7.1616429479977324</v>
        <stp/>
        <stp>00664R_BidPrice:V_INDEX@Master</stp>
        <tr r="I55" s="11"/>
      </tp>
      <tp>
        <v>-7.9228162514264338E+28</v>
        <stp/>
        <stp>00764B_BidPrice:V_INDEX@Master</stp>
        <tr r="I147" s="11"/>
      </tp>
      <tp>
        <v>-7.9228162514264338E+28</v>
        <stp/>
        <stp>00864B_BidPrice:V_INDEX@Master</stp>
        <tr r="I208" s="11"/>
      </tp>
      <tp>
        <v>-7.9228162514264338E+28</v>
        <stp/>
        <stp>00765B_BidPrice:V_INDEX@Master</stp>
        <tr r="I148" s="11"/>
      </tp>
      <tp>
        <v>-7.9228162514264338E+28</v>
        <stp/>
        <stp>00865B_BidPrice:V_INDEX@Master</stp>
        <tr r="I209" s="11"/>
      </tp>
      <tp>
        <v>22.76989072706272</v>
        <stp/>
        <stp>00665L_BidPrice:V_INDEX@Master</stp>
        <tr r="I56" s="11"/>
      </tp>
      <tp>
        <v>-7.9228162514264338E+28</v>
        <stp/>
        <stp>00862B_BidPrice:V_INDEX@Master</stp>
        <tr r="I206" s="11"/>
      </tp>
      <tp>
        <v>30.274522300516168</v>
        <stp/>
        <stp>00763U_BidPrice:V_INDEX@Master</stp>
        <tr r="I146" s="11"/>
      </tp>
      <tp>
        <v>-7.9228162514264338E+28</v>
        <stp/>
        <stp>00863B_BidPrice:V_INDEX@Master</stp>
        <tr r="I207" s="11"/>
      </tp>
      <tp>
        <v>93.255716336601935</v>
        <stp/>
        <stp>00663L_BidPrice:V_INDEX@Master</stp>
        <tr r="I54" s="11"/>
      </tp>
      <tp>
        <v>-7.9228162514264338E+28</v>
        <stp/>
        <stp>00760B_BidPrice:V_INDEX@Master</stp>
        <tr r="I143" s="11"/>
      </tp>
      <tp>
        <v>-7.9228162514264338E+28</v>
        <stp/>
        <stp>00860B_BidPrice:V_INDEX@Master</stp>
        <tr r="I204" s="11"/>
      </tp>
      <tp>
        <v>-7.9228162514264338E+28</v>
        <stp/>
        <stp>00761B_BidPrice:V_INDEX@Master</stp>
        <tr r="I144" s="11"/>
      </tp>
      <tp t="e">
        <v>#N/A</v>
        <stp/>
        <stp>CN-Z20_Time:SGX@IDC54</stp>
        <tr r="G52" s="12"/>
      </tp>
      <tp t="s">
        <v>20210514_144944202</v>
        <stp/>
        <stp>NK-Z21_Time:SGX@IDC54</stp>
        <tr r="G99" s="12"/>
      </tp>
      <tp t="e">
        <v>#N/A</v>
        <stp/>
        <stp>CN-Q21_Time:SGX@IDC54</stp>
        <tr r="G50" s="12"/>
      </tp>
      <tp t="s">
        <v>20210514_151458570</v>
        <stp/>
        <stp>NK-U21_Time:SGX@IDC54</stp>
        <tr r="G101" s="12"/>
      </tp>
      <tp t="e">
        <v>#N/A</v>
        <stp/>
        <stp>TW-H21_Time:SGX@IDC54</stp>
        <tr r="G84" s="12"/>
      </tp>
      <tp t="e">
        <v>#N/A</v>
        <stp/>
        <stp>NK-H21_Time:SGX@IDC54</stp>
        <tr r="G100" s="12"/>
      </tp>
      <tp t="s">
        <v>20210514_151459739</v>
        <stp/>
        <stp>CN-K21_Time:SGX@IDC54</stp>
        <tr r="G47" s="12"/>
      </tp>
      <tp t="s">
        <v>20210514_151459843</v>
        <stp/>
        <stp>IN-K21_Time:SGX@IDC54</stp>
        <tr r="G141" s="12"/>
      </tp>
      <tp t="e">
        <v>#N/A</v>
        <stp/>
        <stp>CN-J21_Time:SGX@IDC54</stp>
        <tr r="G49" s="12"/>
      </tp>
      <tp t="s">
        <v>20210514_151457156</v>
        <stp/>
        <stp>CN-M21_Time:SGX@IDC54</stp>
        <tr r="G51" s="12"/>
      </tp>
      <tp t="s">
        <v>20210514_151459841</v>
        <stp/>
        <stp>IN-M21_Time:SGX@IDC54</stp>
        <tr r="G142" s="12"/>
      </tp>
      <tp t="s">
        <v>20210514_151459706</v>
        <stp/>
        <stp>NK-M21_Time:SGX@IDC54</stp>
        <tr r="G98" s="12"/>
      </tp>
      <tp t="s">
        <v>20210514_150716039</v>
        <stp/>
        <stp>CN-N21_Time:SGX@IDC54</stp>
        <tr r="G48" s="12"/>
      </tp>
      <tp t="e">
        <v>#N/A</v>
        <stp/>
        <stp>IN-N21_Time:SGX@IDC54</stp>
        <tr r="G140" s="12"/>
      </tp>
      <tp t="e">
        <v>#N/A</v>
        <stp/>
        <stp>TW-F21_Time:SGX@IDC54</stp>
        <tr r="G83" s="12"/>
      </tp>
      <tp>
        <v>1386.25</v>
        <stp/>
        <stp>FTCRTWRP:V_INDEX@IDC54</stp>
        <tr r="F155" s="12"/>
      </tp>
    </main>
    <main first="kgi.tw.der.pricertdserver.2014.1">
      <tp t="s">
        <v>20210514_133042028</v>
        <stp/>
        <stp>TSE13_Time:V_INDEX@IDC54</stp>
        <tr r="S3" s="12"/>
      </tp>
      <tp t="s">
        <v>20210514_133257007</v>
        <stp/>
        <stp>TSE00_Time:V_INDEX@IDC54</stp>
        <tr r="S2" s="12"/>
      </tp>
      <tp t="s">
        <v>20210514_133257007</v>
        <stp/>
        <stp>TSE26_Time:V_INDEX@IDC54</stp>
        <tr r="S4" s="12"/>
      </tp>
    </main>
    <main first="kgi.tw.der.pricertdserver.2014.1">
      <tp t="e">
        <v>#N/A</v>
        <stp/>
        <stp>MME-H21:NYBOT@IDC54</stp>
        <tr r="F103" s="12"/>
      </tp>
    </main>
    <main first="kgi.tw.der.pricertdserver.2014.1">
      <tp>
        <v>4.3472</v>
        <stp/>
        <stp>CNYTW.FX:FX@IDC54</stp>
        <tr r="F3" s="12"/>
      </tp>
      <tp>
        <v>0.25569999999999998</v>
        <stp/>
        <stp>JPYTW.FX:FX@IDC54</stp>
        <tr r="F4" s="12"/>
      </tp>
    </main>
    <main first="kgi.tw.der.pricertdserver.2014.1">
      <tp t="s">
        <v>20210514_151459445</v>
        <stp/>
        <stp>SI-N21_Time:NYMEX@IDC54</stp>
        <tr r="G117" s="12"/>
      </tp>
      <tp t="s">
        <v>20210514_151459445</v>
        <stp/>
        <stp>SI-M21_Time:NYMEX@IDC54</stp>
        <tr r="G116" s="12"/>
      </tp>
      <tp t="s">
        <v>20210514_151459445</v>
        <stp/>
        <stp>SI-K21_Time:NYMEX@IDC54</stp>
        <tr r="G115" s="12"/>
      </tp>
      <tp t="e">
        <v>#N/A</v>
        <stp/>
        <stp>SI-J21_Time:NYMEX@IDC54</stp>
        <tr r="G114" s="12"/>
      </tp>
      <tp t="e">
        <v>#N/A</v>
        <stp/>
        <stp>SI-H21_Time:NYMEX@IDC54</stp>
        <tr r="G113" s="12"/>
      </tp>
      <tp t="e">
        <v>#N/A</v>
        <stp/>
        <stp>SI-G21_Time:NYMEX@IDC54</stp>
        <tr r="G112" s="12"/>
      </tp>
      <tp t="s">
        <v>20210514_151459445</v>
        <stp/>
        <stp>SI-Z21_Time:NYMEX@IDC54</stp>
        <tr r="G111" s="12"/>
      </tp>
      <tp t="e">
        <v>#N/A</v>
        <stp/>
        <stp>SI-X21_Time:NYMEX@IDC54</stp>
        <tr r="G110" s="12"/>
      </tp>
      <tp t="e">
        <v>#N/A</v>
        <stp/>
        <stp>SI-V21_Time:NYMEX@IDC54</stp>
        <tr r="G120" s="12"/>
      </tp>
      <tp t="s">
        <v>20210514_151459445</v>
        <stp/>
        <stp>SI-U21_Time:NYMEX@IDC54</stp>
        <tr r="G119" s="12"/>
      </tp>
      <tp t="e">
        <v>#N/A</v>
        <stp/>
        <stp>SI-Q21_Time:NYMEX@IDC54</stp>
        <tr r="G118" s="12"/>
      </tp>
    </main>
    <main first="kgi.tw.der.pricertdserver.2014.1">
      <tp t="e">
        <v>#N/A</v>
        <stp/>
        <stp>ZS-Q20:CBOT@IDC54</stp>
        <tr r="F77" s="12"/>
      </tp>
      <tp>
        <v>34000</v>
        <stp/>
        <stp>YM-U21:CBOT@IDC54</stp>
        <tr r="F38" s="12"/>
      </tp>
      <tp>
        <v>1450.25</v>
        <stp/>
        <stp>ZS-U21:CBOT@IDC54</stp>
        <tr r="F78" s="12"/>
      </tp>
      <tp>
        <v>154.625</v>
        <stp/>
        <stp>ZB-U21:CBOT@IDC54</stp>
        <tr r="F82" s="12"/>
      </tp>
      <tp>
        <v>181.03125</v>
        <stp/>
        <stp>UB-U21:CBOT@IDC54</stp>
        <tr r="F54" s="12"/>
      </tp>
      <tp t="e">
        <v>#N/A</v>
        <stp/>
        <stp>TN-U20:CBOT@IDC54</stp>
        <tr r="F124" s="12"/>
      </tp>
      <tp>
        <v>1401.75</v>
        <stp/>
        <stp>ZS-X21:CBOT@IDC54</stp>
        <tr r="F79" s="12"/>
      </tp>
      <tp>
        <v>-7.9228162514264338E+28</v>
        <stp/>
        <stp>YM-Z21:CBOT@IDC54</stp>
        <tr r="F35" s="12"/>
      </tp>
      <tp t="e">
        <v>#N/A</v>
        <stp/>
        <stp>UB-Z21:CBOT@IDC54</stp>
        <tr r="F55" s="12"/>
      </tp>
      <tp t="e">
        <v>#N/A</v>
        <stp/>
        <stp>TN-Z21:CBOT@IDC54</stp>
        <tr r="F121" s="12"/>
      </tp>
      <tp t="e">
        <v>#N/A</v>
        <stp/>
        <stp>ZS-F21:CBOT@IDC54</stp>
        <tr r="F73" s="12"/>
      </tp>
      <tp t="e">
        <v>#N/A</v>
        <stp/>
        <stp>YM-H21:CBOT@IDC54</stp>
        <tr r="F36" s="12"/>
      </tp>
      <tp t="e">
        <v>#N/A</v>
        <stp/>
        <stp>ZS-H21:CBOT@IDC54</stp>
        <tr r="F72" s="12"/>
      </tp>
      <tp t="e">
        <v>#N/A</v>
        <stp/>
        <stp>ZB-H21:CBOT@IDC54</stp>
        <tr r="F80" s="12"/>
      </tp>
      <tp t="e">
        <v>#N/A</v>
        <stp/>
        <stp>TN-H21:CBOT@IDC54</stp>
        <tr r="F122" s="12"/>
      </tp>
      <tp t="e">
        <v>#N/A</v>
        <stp/>
        <stp>ZS-K20:CBOT@IDC54</stp>
        <tr r="F75" s="12"/>
      </tp>
      <tp>
        <v>0</v>
        <stp/>
        <stp>ZS-K21:CBOT@IDC54</stp>
        <tr r="F74" s="12"/>
      </tp>
      <tp>
        <v>34107</v>
        <stp/>
        <stp>YM-M21:CBOT@IDC54</stp>
        <tr r="F37" s="12"/>
      </tp>
      <tp>
        <v>156.3125</v>
        <stp/>
        <stp>ZB-M21:CBOT@IDC54</stp>
        <tr r="F81" s="12"/>
      </tp>
      <tp>
        <v>182.8125</v>
        <stp/>
        <stp>UB-M21:CBOT@IDC54</stp>
        <tr r="F53" s="12"/>
      </tp>
      <tp>
        <v>145.515625</v>
        <stp/>
        <stp>TN-M21:CBOT@IDC54</stp>
        <tr r="F123" s="12"/>
      </tp>
      <tp>
        <v>1597.75</v>
        <stp/>
        <stp>ZS-N21:CBOT@IDC54</stp>
        <tr r="F76" s="12"/>
      </tp>
      <tp t="e">
        <v>#N/A</v>
        <stp/>
        <stp>BRN-Z20:ICE_EU@IDC54</stp>
        <tr r="F67" s="12"/>
      </tp>
      <tp>
        <v>67.02</v>
        <stp/>
        <stp>BRN-N21:ICE_EU@IDC54</stp>
        <tr r="F71" s="12"/>
      </tp>
      <tp t="e">
        <v>#N/A</v>
        <stp/>
        <stp>BRN-M21:ICE_EU@IDC54</stp>
        <tr r="F70" s="12"/>
      </tp>
      <tp t="e">
        <v>#N/A</v>
        <stp/>
        <stp>BRN-K21:ICE_EU@IDC54</stp>
        <tr r="F69" s="12"/>
      </tp>
      <tp t="e">
        <v>#N/A</v>
        <stp/>
        <stp>BRN-F21:ICE_EU@IDC54</stp>
        <tr r="F68" s="12"/>
      </tp>
      <tp>
        <v>65.44</v>
        <stp/>
        <stp>BRN-Z21:ICE_EU@IDC54</stp>
        <tr r="F64" s="12"/>
      </tp>
      <tp>
        <v>65.8</v>
        <stp/>
        <stp>BRN-X21:ICE_EU@IDC54</stp>
        <tr r="F65" s="12"/>
      </tp>
      <tp>
        <v>66.16</v>
        <stp/>
        <stp>BRN-V21:ICE_EU@IDC54</stp>
        <tr r="F63" s="12"/>
      </tp>
      <tp>
        <v>66.52</v>
        <stp/>
        <stp>BRN-U21:ICE_EU@IDC54</stp>
        <tr r="F62" s="12"/>
      </tp>
      <tp>
        <v>66.84</v>
        <stp/>
        <stp>BRN-Q21:ICE_EU@IDC54</stp>
        <tr r="F66" s="12"/>
      </tp>
      <tp>
        <v>1297.8</v>
        <stp/>
        <stp>MME-M21:NYBOT@IDC54</stp>
        <tr r="F104" s="12"/>
      </tp>
    </main>
    <main first="kgi.tw.der.pricertdserver.2014.1">
      <tp t="e">
        <v>#N/A</v>
        <stp/>
        <stp>HSI-Q21_Time:HKEX@IDC54</stp>
        <tr r="G40" s="12"/>
      </tp>
    </main>
    <main first="kgi.tw.der.pricertdserver.2014.1">
      <tp t="s">
        <v>20210514_151459757</v>
        <stp/>
        <stp>HHI-U21_Time:HKEX@IDC54</stp>
        <tr r="G96" s="12"/>
      </tp>
    </main>
    <main first="kgi.tw.der.pricertdserver.2014.1">
      <tp>
        <v>32.547462328000528</v>
        <stp/>
        <stp>00692_Reference:V_INDEX@Master</stp>
        <tr r="G81" s="11"/>
      </tp>
      <tp>
        <v>30.144355231143553</v>
        <stp/>
        <stp>00690_Reference:V_INDEX@Master</stp>
        <tr r="G80" s="11"/>
      </tp>
      <tp t="s">
        <v>20210514_132944000</v>
        <stp/>
        <stp>00881_Time:V_INDEX@Master</stp>
        <tr r="K220" s="11"/>
      </tp>
      <tp t="s">
        <v>20210514_132949000</v>
        <stp/>
        <stp>00882_Time:V_INDEX@Master</stp>
        <tr r="K221" s="11"/>
      </tp>
      <tp t="s">
        <v>20210514_132930000</v>
        <stp/>
        <stp>00885_Time:V_INDEX@Master</stp>
        <tr r="K227" s="11"/>
      </tp>
      <tp t="s">
        <v>20210514_132932000</v>
        <stp/>
        <stp>00886_Time:V_INDEX@Master</stp>
        <tr r="K224" s="11"/>
      </tp>
      <tp t="s">
        <v>20210514_132932000</v>
        <stp/>
        <stp>00887_Time:V_INDEX@Master</stp>
        <tr r="K225" s="11"/>
      </tp>
      <tp t="s">
        <v>20210514_132930000</v>
        <stp/>
        <stp>00888_Time:V_INDEX@Master</stp>
        <tr r="K226" s="11"/>
      </tp>
      <tp t="s">
        <v>20210514_151459304</v>
        <stp/>
        <stp>00850_Time:V_INDEX@Master</stp>
        <tr r="K196" s="11"/>
      </tp>
      <tp t="s">
        <v>20210514_132945000</v>
        <stp/>
        <stp>00851_Time:V_INDEX@Master</stp>
        <tr r="K197" s="11"/>
      </tp>
      <tp t="s">
        <v>20210514_132932000</v>
        <stp/>
        <stp>00858_Time:V_INDEX@Master</stp>
        <tr r="K202" s="11"/>
      </tp>
      <tp t="s">
        <v>20210514_132944000</v>
        <stp/>
        <stp>00875_Time:V_INDEX@Master</stp>
        <tr r="K215" s="11"/>
      </tp>
      <tp t="s">
        <v>20210514_132945000</v>
        <stp/>
        <stp>00876_Time:V_INDEX@Master</stp>
        <tr r="K216" s="11"/>
      </tp>
      <tp t="s">
        <v>20210514_151459304</v>
        <stp/>
        <stp>00878_Time:V_INDEX@Master</stp>
        <tr r="K217" s="11"/>
      </tp>
      <tp t="s">
        <v>20210514_132945000</v>
        <stp/>
        <stp>00861_Time:V_INDEX@Master</stp>
        <tr r="K205" s="11"/>
      </tp>
      <tp t="s">
        <v>20210514_132929000</v>
        <stp/>
        <stp>00830_Time:V_INDEX@Master</stp>
        <tr r="K179" s="11"/>
      </tp>
      <tp>
        <v>19.59</v>
        <stp/>
        <stp>00886_Reference:V_INDEX@Master</stp>
        <tr r="G224" s="11"/>
      </tp>
      <tp>
        <v>20.56</v>
        <stp/>
        <stp>00887_Reference:V_INDEX@Master</stp>
        <tr r="G225" s="11"/>
      </tp>
      <tp>
        <v>15.05</v>
        <stp/>
        <stp>00885_Reference:V_INDEX@Master</stp>
        <tr r="G227" s="11"/>
      </tp>
      <tp>
        <v>15.84</v>
        <stp/>
        <stp>00882_Reference:V_INDEX@Master</stp>
        <tr r="G221" s="11"/>
      </tp>
      <tp>
        <v>21.98</v>
        <stp/>
        <stp>00783_Reference:V_INDEX@Master</stp>
        <tr r="G163" s="11"/>
      </tp>
      <tp>
        <v>16.14</v>
        <stp/>
        <stp>00881_Reference:V_INDEX@Master</stp>
        <tr r="G220" s="11"/>
      </tp>
      <tp>
        <v>14.11</v>
        <stp/>
        <stp>00888_Reference:V_INDEX@Master</stp>
        <tr r="G226" s="11"/>
      </tp>
      <tp t="e">
        <v>#N/A</v>
        <stp/>
        <stp>HHI-H21_Time:HKEX@IDC54</stp>
        <tr r="G97" s="12"/>
      </tp>
      <tp t="s">
        <v>20210514_151459773</v>
        <stp/>
        <stp>MHI-M21_Time:HKEX@IDC54</stp>
        <tr r="G44" s="12"/>
      </tp>
      <tp t="s">
        <v>20210514_151459773</v>
        <stp/>
        <stp>HSI-K21_Time:HKEX@IDC54</stp>
        <tr r="G41" s="12"/>
      </tp>
      <tp t="e">
        <v>#N/A</v>
        <stp/>
        <stp>HHI-J21_Time:HKEX@IDC54</stp>
        <tr r="G94" s="12"/>
      </tp>
    </main>
    <main first="kgi.tw.der.pricertdserver.2014.1">
      <tp t="s">
        <v>20210514_151459757</v>
        <stp/>
        <stp>HHI-M21_Time:HKEX@IDC54</stp>
        <tr r="G95" s="12"/>
      </tp>
      <tp t="e">
        <v>#N/A</v>
        <stp/>
        <stp>MHI-H21_Time:HKEX@IDC54</stp>
        <tr r="G45" s="12"/>
      </tp>
      <tp t="s">
        <v>20210514_151459773</v>
        <stp/>
        <stp>HSI-M21_Time:HKEX@IDC54</stp>
        <tr r="G42" s="12"/>
      </tp>
      <tp>
        <v>33.549204600000003</v>
        <stp/>
        <stp>0056:V_INDEX@Master</stp>
        <tr r="H12" s="11"/>
      </tp>
      <tp>
        <v>87.713656752306861</v>
        <stp/>
        <stp>0057:V_INDEX@Master</stp>
        <tr r="H13" s="11"/>
      </tp>
      <tp>
        <v>29.293906199999999</v>
        <stp/>
        <stp>0054:V_INDEX@Master</stp>
        <tr r="H10" s="11"/>
      </tp>
      <tp>
        <v>20.432954219999999</v>
        <stp/>
        <stp>0055:V_INDEX@Master</stp>
        <tr r="H11" s="11"/>
      </tp>
      <tp>
        <v>115.94325660495048</v>
        <stp/>
        <stp>0052:V_INDEX@Master</stp>
        <tr r="H8" s="11"/>
      </tp>
      <tp>
        <v>61.394676500000003</v>
        <stp/>
        <stp>0053:V_INDEX@Master</stp>
        <tr r="H9" s="11"/>
      </tp>
      <tp>
        <v>128.80427689999999</v>
        <stp/>
        <stp>0050:V_INDEX@Master</stp>
        <tr r="H6" s="11"/>
      </tp>
      <tp>
        <v>48.901789600000001</v>
        <stp/>
        <stp>0051:V_INDEX@Master</stp>
        <tr r="H7" s="11"/>
      </tp>
      <tp>
        <v>23.05</v>
        <stp/>
        <stp>0061:V_INDEX@Master</stp>
        <tr r="H14" s="11"/>
      </tp>
    </main>
    <main first="kgi.tw.der.pricertdserver.2014.1">
      <tp t="e">
        <v>#N/A</v>
        <stp/>
        <stp>MHI-J21_Time:HKEX@IDC54</stp>
        <tr r="G46" s="12"/>
      </tp>
      <tp t="s">
        <v>20210514_133105998</v>
        <stp/>
        <stp>MSCITW_Time:V_INDEX@IDC54</stp>
        <tr r="S5" s="12"/>
        <tr r="G153" s="12"/>
      </tp>
    </main>
    <main first="kgi.tw.der.pricertdserver.2014.1">
      <tp t="s">
        <v>20210514_151459773</v>
        <stp/>
        <stp>MHI-K21_Time:HKEX@IDC54</stp>
        <tr r="G43" s="12"/>
      </tp>
    </main>
    <main first="kgi.tw.der.pricertdserver.2014.1">
      <tp t="e">
        <v>#N/A</v>
        <stp/>
        <stp>HSI-N21_Time:HKEX@IDC54</stp>
        <tr r="G39" s="12"/>
      </tp>
      <tp>
        <v>16.64</v>
        <stp/>
        <stp>00717_Reference:V_INDEX@Master</stp>
        <tr r="G101" s="11"/>
      </tp>
      <tp>
        <v>20.65</v>
        <stp/>
        <stp>00714_Reference:V_INDEX@Master</stp>
        <tr r="G99" s="11"/>
      </tp>
      <tp>
        <v>13.93</v>
        <stp/>
        <stp>00712_Reference:V_INDEX@Master</stp>
        <tr r="G97" s="11"/>
      </tp>
      <tp>
        <v>40.880000000000003</v>
        <stp/>
        <stp>00713_Reference:V_INDEX@Master</stp>
        <tr r="G98" s="11"/>
      </tp>
      <tp t="s">
        <v>20210514_150309215</v>
        <stp/>
        <stp>TAMSCI_Time:V_INDEX@IDC54</stp>
        <tr r="G154" s="12"/>
      </tp>
      <tp>
        <v>20.87</v>
        <stp/>
        <stp>00702_Reference:V_INDEX@Master</stp>
        <tr r="G89" s="11"/>
      </tp>
      <tp>
        <v>23.34</v>
        <stp/>
        <stp>00703_Reference:V_INDEX@Master</stp>
        <tr r="G90" s="11"/>
      </tp>
      <tp>
        <v>18.399999999999999</v>
        <stp/>
        <stp>00700_Reference:V_INDEX@Master</stp>
        <tr r="G87" s="11"/>
      </tp>
      <tp>
        <v>23.23</v>
        <stp/>
        <stp>00701_Reference:V_INDEX@Master</stp>
        <tr r="G88" s="11"/>
      </tp>
      <tp>
        <v>23.2</v>
        <stp/>
        <stp>00709_Reference:V_INDEX@Master</stp>
        <tr r="G94" s="11"/>
      </tp>
      <tp>
        <v>22.45</v>
        <stp/>
        <stp>00736_Reference:V_INDEX@Master</stp>
        <tr r="G119" s="11"/>
      </tp>
      <tp>
        <v>26.64</v>
        <stp/>
        <stp>00636_Reference:V_INDEX@Master</stp>
        <tr r="G28" s="11"/>
      </tp>
      <tp>
        <v>30.08</v>
        <stp/>
        <stp>00737_Reference:V_INDEX@Master</stp>
        <tr r="G120" s="11"/>
      </tp>
      <tp>
        <v>31.22</v>
        <stp/>
        <stp>00735_Reference:V_INDEX@Master</stp>
        <tr r="G118" s="11"/>
      </tp>
      <tp>
        <v>39.706800000000001</v>
        <stp/>
        <stp>00732_Reference:V_INDEX@Master</stp>
        <tr r="G115" s="11"/>
      </tp>
      <tp>
        <v>37.762285671282363</v>
        <stp/>
        <stp>00733_Reference:V_INDEX@Master</stp>
        <tr r="G116" s="11"/>
      </tp>
      <tp>
        <v>25.6</v>
        <stp/>
        <stp>00830_Reference:V_INDEX@Master</stp>
        <tr r="G179" s="11"/>
      </tp>
      <tp>
        <v>20.311909162741696</v>
        <stp/>
        <stp>00730_Reference:V_INDEX@Master</stp>
        <tr r="G113" s="11"/>
      </tp>
      <tp>
        <v>55.011740967741936</v>
        <stp/>
        <stp>00731_Reference:V_INDEX@Master</stp>
        <tr r="G114" s="11"/>
      </tp>
      <tp>
        <v>27.38</v>
        <stp/>
        <stp>00739_Reference:V_INDEX@Master</stp>
        <tr r="G122" s="11"/>
      </tp>
      <tp>
        <v>16.25</v>
        <stp/>
        <stp>00639_Reference:V_INDEX@Master</stp>
        <tr r="G32" s="11"/>
      </tp>
    </main>
    <main first="kgi.tw.der.pricertdserver.2014.1">
      <tp>
        <v>25.896206497376262</v>
        <stp/>
        <stp>00728_Reference:V_INDEX@Master</stp>
        <tr r="G112" s="11"/>
      </tp>
      <tp t="s">
        <v>20210514_151456298</v>
        <stp/>
        <stp>HKDTW.FX_Time:FX@IDC54</stp>
        <tr r="G5" s="12"/>
      </tp>
      <tp t="s">
        <v>20210514_151459729</v>
        <stp/>
        <stp>JPYTW.FX_Time:FX@IDC54</stp>
        <tr r="G4" s="12"/>
      </tp>
      <tp t="s">
        <v>20210514_151456286</v>
        <stp/>
        <stp>CNYTW.FX_Time:FX@IDC54</stp>
        <tr r="G3" s="12"/>
      </tp>
      <tp>
        <v>42.77</v>
        <stp/>
        <stp>00757_Reference:V_INDEX@Master</stp>
        <tr r="G140" s="11"/>
      </tp>
      <tp>
        <v>33.619999999999997</v>
        <stp/>
        <stp>00657_Reference:V_INDEX@Master</stp>
        <tr r="G49" s="11"/>
      </tp>
      <tp>
        <v>27.25</v>
        <stp/>
        <stp>00752_Reference:V_INDEX@Master</stp>
        <tr r="G135" s="11"/>
      </tp>
      <tp>
        <v>25.17</v>
        <stp/>
        <stp>00652_Reference:V_INDEX@Master</stp>
        <tr r="G44" s="11"/>
      </tp>
      <tp>
        <v>31.596821339364809</v>
        <stp/>
        <stp>00850_Reference:V_INDEX@Master</stp>
        <tr r="G196" s="11"/>
      </tp>
      <tp>
        <v>28.35</v>
        <stp/>
        <stp>00851_Reference:V_INDEX@Master</stp>
        <tr r="G197" s="11"/>
      </tp>
      <tp>
        <v>26.3</v>
        <stp/>
        <stp>00858_Reference:V_INDEX@Master</stp>
        <tr r="G202" s="11"/>
      </tp>
    </main>
    <main first="kgi.tw.der.pricertdserver.2014.1">
      <tp>
        <v>35.22</v>
        <stp/>
        <stp>00646_Reference:V_INDEX@Master</stp>
        <tr r="G39" s="11"/>
      </tp>
      <tp>
        <v>24.17</v>
        <stp/>
        <stp>00645_Reference:V_INDEX@Master</stp>
        <tr r="G38" s="11"/>
      </tp>
      <tp>
        <v>21.46</v>
        <stp/>
        <stp>00742_Reference:V_INDEX@Master</stp>
        <tr r="G125" s="11"/>
      </tp>
      <tp>
        <v>28.67</v>
        <stp/>
        <stp>00743_Reference:V_INDEX@Master</stp>
        <tr r="G126" s="11"/>
      </tp>
      <tp>
        <v>17.12</v>
        <stp/>
        <stp>00643_Reference:V_INDEX@Master</stp>
        <tr r="G36" s="11"/>
      </tp>
    </main>
    <main first="kgi.tw.der.pricertdserver.2014.1">
      <tp>
        <v>26.6</v>
        <stp/>
        <stp>00876_Reference:V_INDEX@Master</stp>
        <tr r="G216" s="11"/>
      </tp>
      <tp>
        <v>29.33</v>
        <stp/>
        <stp>00875_Reference:V_INDEX@Master</stp>
        <tr r="G215" s="11"/>
      </tp>
      <tp>
        <v>33.159999999999997</v>
        <stp/>
        <stp>00770_Reference:V_INDEX@Master</stp>
        <tr r="G150" s="11"/>
      </tp>
      <tp>
        <v>19.14</v>
        <stp/>
        <stp>00771_Reference:V_INDEX@Master</stp>
        <tr r="G151" s="11"/>
      </tp>
      <tp>
        <v>17.767545244456191</v>
        <stp/>
        <stp>00878_Reference:V_INDEX@Master</stp>
        <tr r="G217" s="11"/>
      </tp>
      <tp>
        <v>26.36</v>
        <stp/>
        <stp>00678_Reference:V_INDEX@Master</stp>
        <tr r="G68" s="11"/>
      </tp>
      <tp t="s">
        <v>20210514_151459840</v>
        <stp/>
        <stp>FTCRTWRP_Time:V_INDEX@IDC54</stp>
        <tr r="G155" s="12"/>
      </tp>
      <tp t="s">
        <v>20210514_151458742</v>
        <stp/>
        <stp>00690_Time:V_INDEX@Master</stp>
        <tr r="K80" s="11"/>
      </tp>
      <tp t="s">
        <v>20210514_151459304</v>
        <stp/>
        <stp>00692_Time:V_INDEX@Master</stp>
        <tr r="K81" s="11"/>
      </tp>
      <tp t="s">
        <v>20210514_132930000</v>
        <stp/>
        <stp>00652_Time:V_INDEX@Master</stp>
        <tr r="K44" s="11"/>
      </tp>
      <tp t="s">
        <v>20210514_132943000</v>
        <stp/>
        <stp>00657_Time:V_INDEX@Master</stp>
        <tr r="K49" s="11"/>
      </tp>
      <tp t="s">
        <v>20210514_151445000</v>
        <stp/>
        <stp>00643_Time:V_INDEX@Master</stp>
        <tr r="K36" s="11"/>
      </tp>
      <tp t="s">
        <v>20210514_132930000</v>
        <stp/>
        <stp>00645_Time:V_INDEX@Master</stp>
        <tr r="K38" s="11"/>
      </tp>
      <tp t="s">
        <v>20210514_132945000</v>
        <stp/>
        <stp>00646_Time:V_INDEX@Master</stp>
        <tr r="K39" s="11"/>
      </tp>
      <tp t="s">
        <v>20210514_132945000</v>
        <stp/>
        <stp>00678_Time:V_INDEX@Master</stp>
        <tr r="K68" s="11"/>
      </tp>
      <tp t="s">
        <v>20210514_132945000</v>
        <stp/>
        <stp>00660_Time:V_INDEX@Master</stp>
        <tr r="K51" s="11"/>
      </tp>
      <tp t="s">
        <v>20210514_132945000</v>
        <stp/>
        <stp>00661_Time:V_INDEX@Master</stp>
        <tr r="K52" s="11"/>
      </tp>
      <tp t="s">
        <v>20210514_132930000</v>
        <stp/>
        <stp>00662_Time:V_INDEX@Master</stp>
        <tr r="K53" s="11"/>
      </tp>
      <tp t="s">
        <v>20210514_132943000</v>
        <stp/>
        <stp>00668_Time:V_INDEX@Master</stp>
        <tr r="K58" s="11"/>
      </tp>
      <tp t="s">
        <v>20210514_151449000</v>
        <stp/>
        <stp>00636_Time:V_INDEX@Master</stp>
        <tr r="K28" s="11"/>
      </tp>
      <tp t="s">
        <v>20210514_151416000</v>
        <stp/>
        <stp>00639_Time:V_INDEX@Master</stp>
        <tr r="K32" s="11"/>
      </tp>
      <tp>
        <v>34.700000000000003</v>
        <stp/>
        <stp>00762_Reference:V_INDEX@Master</stp>
        <tr r="G145" s="11"/>
      </tp>
      <tp>
        <v>47.15</v>
        <stp/>
        <stp>00662_Reference:V_INDEX@Master</stp>
        <tr r="G53" s="11"/>
      </tp>
      <tp>
        <v>28.36</v>
        <stp/>
        <stp>00660_Reference:V_INDEX@Master</stp>
        <tr r="G51" s="11"/>
      </tp>
      <tp>
        <v>27.41</v>
        <stp/>
        <stp>00861_Reference:V_INDEX@Master</stp>
        <tr r="G205" s="11"/>
      </tp>
      <tp>
        <v>34.6</v>
        <stp/>
        <stp>00661_Reference:V_INDEX@Master</stp>
        <tr r="G52" s="11"/>
      </tp>
      <tp>
        <v>34.47</v>
        <stp/>
        <stp>00668_Reference:V_INDEX@Master</stp>
        <tr r="G58" s="11"/>
      </tp>
    </main>
    <main first="kgi.tw.der.pricertdserver.2014.1">
      <tp t="e">
        <v>#N/A</v>
        <stp/>
        <stp>HHI-F21_Time:HKEX@IDC54</stp>
        <tr r="G93" s="12"/>
      </tp>
    </main>
    <main first="kgi.tw.der.pricertdserver.2014.1">
      <tp t="s">
        <v>20210514_132930000</v>
        <stp/>
        <stp>00783_Time:V_INDEX@Master</stp>
        <tr r="K163" s="11"/>
      </tp>
      <tp t="s">
        <v>20210514_132949000</v>
        <stp/>
        <stp>00752_Time:V_INDEX@Master</stp>
        <tr r="K135" s="11"/>
      </tp>
      <tp t="s">
        <v>20210514_132947000</v>
        <stp/>
        <stp>00757_Time:V_INDEX@Master</stp>
        <tr r="K140" s="11"/>
      </tp>
      <tp t="s">
        <v>20210514_132945000</v>
        <stp/>
        <stp>00742_Time:V_INDEX@Master</stp>
        <tr r="K125" s="11"/>
      </tp>
      <tp t="s">
        <v>20210514_132943000</v>
        <stp/>
        <stp>00743_Time:V_INDEX@Master</stp>
        <tr r="K126" s="11"/>
      </tp>
      <tp t="s">
        <v>20210514_132928000</v>
        <stp/>
        <stp>00770_Time:V_INDEX@Master</stp>
        <tr r="K150" s="11"/>
      </tp>
      <tp t="s">
        <v>20210514_132945000</v>
        <stp/>
        <stp>00771_Time:V_INDEX@Master</stp>
        <tr r="K151" s="11"/>
      </tp>
      <tp t="s">
        <v>20210514_132945000</v>
        <stp/>
        <stp>00762_Time:V_INDEX@Master</stp>
        <tr r="K145" s="11"/>
      </tp>
      <tp t="s">
        <v>20210514_132939000</v>
        <stp/>
        <stp>00712_Time:V_INDEX@Master</stp>
        <tr r="K97" s="11"/>
      </tp>
      <tp t="s">
        <v>20210514_132945000</v>
        <stp/>
        <stp>00713_Time:V_INDEX@Master</stp>
        <tr r="K98" s="11"/>
      </tp>
      <tp t="s">
        <v>20210514_132945000</v>
        <stp/>
        <stp>00714_Time:V_INDEX@Master</stp>
        <tr r="K99" s="11"/>
      </tp>
      <tp t="s">
        <v>20210514_132930000</v>
        <stp/>
        <stp>00717_Time:V_INDEX@Master</stp>
        <tr r="K101" s="11"/>
      </tp>
      <tp t="s">
        <v>20210514_132930000</v>
        <stp/>
        <stp>00700_Time:V_INDEX@Master</stp>
        <tr r="K87" s="11"/>
      </tp>
      <tp t="s">
        <v>20210514_132943000</v>
        <stp/>
        <stp>00701_Time:V_INDEX@Master</stp>
        <tr r="K88" s="11"/>
      </tp>
      <tp t="s">
        <v>20210514_132943000</v>
        <stp/>
        <stp>00702_Time:V_INDEX@Master</stp>
        <tr r="K89" s="11"/>
      </tp>
      <tp t="s">
        <v>20210514_132945000</v>
        <stp/>
        <stp>00703_Time:V_INDEX@Master</stp>
        <tr r="K90" s="11"/>
      </tp>
      <tp t="s">
        <v>20210514_132930000</v>
        <stp/>
        <stp>00709_Time:V_INDEX@Master</stp>
        <tr r="K94" s="11"/>
      </tp>
      <tp t="s">
        <v>20210514_151459304</v>
        <stp/>
        <stp>00730_Time:V_INDEX@Master</stp>
        <tr r="K113" s="11"/>
      </tp>
      <tp t="s">
        <v>20210514_151459304</v>
        <stp/>
        <stp>00731_Time:V_INDEX@Master</stp>
        <tr r="K114" s="11"/>
      </tp>
      <tp t="s">
        <v>20210514_132943000</v>
        <stp/>
        <stp>00732_Time:V_INDEX@Master</stp>
        <tr r="K115" s="11"/>
      </tp>
      <tp t="s">
        <v>20210514_151458742</v>
        <stp/>
        <stp>00733_Time:V_INDEX@Master</stp>
        <tr r="K116" s="11"/>
      </tp>
      <tp t="s">
        <v>20210514_132928000</v>
        <stp/>
        <stp>00735_Time:V_INDEX@Master</stp>
        <tr r="K118" s="11"/>
      </tp>
      <tp t="s">
        <v>20210514_132943000</v>
        <stp/>
        <stp>00736_Time:V_INDEX@Master</stp>
        <tr r="K119" s="11"/>
      </tp>
      <tp t="s">
        <v>20210514_132943000</v>
        <stp/>
        <stp>00737_Time:V_INDEX@Master</stp>
        <tr r="K120" s="11"/>
      </tp>
      <tp t="s">
        <v>20210514_132945000</v>
        <stp/>
        <stp>00739_Time:V_INDEX@Master</stp>
        <tr r="K122" s="11"/>
      </tp>
      <tp t="s">
        <v>20210514_151459304</v>
        <stp/>
        <stp>00728_Time:V_INDEX@Master</stp>
        <tr r="K112" s="11"/>
      </tp>
      <tp t="e">
        <v>#N/A</v>
        <stp/>
        <stp>更新標題:是_Deal:@</stp>
        <tr r="L3" s="1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1</xdr:row>
          <xdr:rowOff>76200</xdr:rowOff>
        </xdr:from>
        <xdr:to>
          <xdr:col>5</xdr:col>
          <xdr:colOff>257175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657225</xdr:colOff>
          <xdr:row>0</xdr:row>
          <xdr:rowOff>9525</xdr:rowOff>
        </xdr:from>
        <xdr:to>
          <xdr:col>12</xdr:col>
          <xdr:colOff>847725</xdr:colOff>
          <xdr:row>1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DFS_DDE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0</xdr:row>
          <xdr:rowOff>180975</xdr:rowOff>
        </xdr:from>
        <xdr:to>
          <xdr:col>3</xdr:col>
          <xdr:colOff>76200</xdr:colOff>
          <xdr:row>2</xdr:row>
          <xdr:rowOff>85725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0</xdr:row>
          <xdr:rowOff>38100</xdr:rowOff>
        </xdr:from>
        <xdr:to>
          <xdr:col>12</xdr:col>
          <xdr:colOff>66675</xdr:colOff>
          <xdr:row>1</xdr:row>
          <xdr:rowOff>76200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snapshot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28575</xdr:rowOff>
        </xdr:from>
        <xdr:to>
          <xdr:col>17</xdr:col>
          <xdr:colOff>666750</xdr:colOff>
          <xdr:row>1</xdr:row>
          <xdr:rowOff>47625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6352/Documents/ETF&#30456;&#38364;/&#25613;&#30410;&#20998;&#25286;/NEW&#25613;&#30410;&#26597;&#35426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R:\ETF%20&#20132;&#26131;\0006352\bk\&#20840;&#39636;_ETF&#37096;&#20301;&#30435;&#25511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日期"/>
      <sheetName val="DividendT"/>
      <sheetName val="Holiday"/>
      <sheetName val="補行上班日"/>
      <sheetName val="vwPrice"/>
      <sheetName val="外幣曝險比率"/>
      <sheetName val="整合帳號對應表"/>
      <sheetName val="ETF避險工具對應表"/>
      <sheetName val="main"/>
      <sheetName val="Summary"/>
      <sheetName val="plAnalysis"/>
    </sheetNames>
    <sheetDataSet>
      <sheetData sheetId="0"/>
      <sheetData sheetId="1"/>
      <sheetData sheetId="2">
        <row r="1">
          <cell r="E1" t="str">
            <v>交易日</v>
          </cell>
        </row>
        <row r="2">
          <cell r="E2" t="str">
            <v>20190102</v>
          </cell>
        </row>
        <row r="3">
          <cell r="E3" t="str">
            <v>20190103</v>
          </cell>
        </row>
        <row r="4">
          <cell r="E4" t="str">
            <v>20190104</v>
          </cell>
        </row>
        <row r="5">
          <cell r="E5" t="str">
            <v>20190107</v>
          </cell>
        </row>
        <row r="6">
          <cell r="E6" t="str">
            <v>20190108</v>
          </cell>
        </row>
        <row r="7">
          <cell r="E7" t="str">
            <v>20190109</v>
          </cell>
        </row>
        <row r="8">
          <cell r="E8" t="str">
            <v>20190110</v>
          </cell>
        </row>
        <row r="9">
          <cell r="E9" t="str">
            <v>20190111</v>
          </cell>
        </row>
        <row r="10">
          <cell r="E10" t="str">
            <v>20190114</v>
          </cell>
        </row>
        <row r="11">
          <cell r="E11" t="str">
            <v>20190115</v>
          </cell>
        </row>
        <row r="12">
          <cell r="E12" t="str">
            <v>20190116</v>
          </cell>
        </row>
        <row r="13">
          <cell r="E13" t="str">
            <v>20190117</v>
          </cell>
        </row>
        <row r="14">
          <cell r="E14" t="str">
            <v>20190118</v>
          </cell>
        </row>
        <row r="15">
          <cell r="E15" t="str">
            <v>20190121</v>
          </cell>
        </row>
        <row r="16">
          <cell r="E16" t="str">
            <v>20190122</v>
          </cell>
        </row>
        <row r="17">
          <cell r="E17" t="str">
            <v>20190123</v>
          </cell>
        </row>
        <row r="18">
          <cell r="E18" t="str">
            <v>20190124</v>
          </cell>
        </row>
        <row r="19">
          <cell r="E19" t="str">
            <v>20190125</v>
          </cell>
        </row>
        <row r="20">
          <cell r="E20" t="str">
            <v>20190128</v>
          </cell>
        </row>
        <row r="21">
          <cell r="E21" t="str">
            <v>20190129</v>
          </cell>
        </row>
        <row r="22">
          <cell r="E22" t="str">
            <v>20190130</v>
          </cell>
        </row>
        <row r="23">
          <cell r="E23" t="str">
            <v>20190211</v>
          </cell>
        </row>
        <row r="24">
          <cell r="E24" t="str">
            <v>20190212</v>
          </cell>
        </row>
        <row r="25">
          <cell r="E25" t="str">
            <v>20190213</v>
          </cell>
        </row>
        <row r="26">
          <cell r="E26" t="str">
            <v>20190214</v>
          </cell>
        </row>
        <row r="27">
          <cell r="E27" t="str">
            <v>20190215</v>
          </cell>
        </row>
        <row r="28">
          <cell r="E28" t="str">
            <v>20190218</v>
          </cell>
        </row>
        <row r="29">
          <cell r="E29" t="str">
            <v>20190219</v>
          </cell>
        </row>
        <row r="30">
          <cell r="E30" t="str">
            <v>20190220</v>
          </cell>
        </row>
        <row r="31">
          <cell r="E31" t="str">
            <v>20190221</v>
          </cell>
        </row>
        <row r="32">
          <cell r="E32" t="str">
            <v>20190222</v>
          </cell>
        </row>
        <row r="33">
          <cell r="E33" t="str">
            <v>20190225</v>
          </cell>
        </row>
        <row r="34">
          <cell r="E34" t="str">
            <v>20190226</v>
          </cell>
        </row>
        <row r="35">
          <cell r="E35" t="str">
            <v>20190227</v>
          </cell>
        </row>
        <row r="36">
          <cell r="E36" t="str">
            <v>20190304</v>
          </cell>
        </row>
        <row r="37">
          <cell r="E37" t="str">
            <v>20190305</v>
          </cell>
        </row>
        <row r="38">
          <cell r="E38" t="str">
            <v>20190306</v>
          </cell>
        </row>
        <row r="39">
          <cell r="E39" t="str">
            <v>20190307</v>
          </cell>
        </row>
        <row r="40">
          <cell r="E40" t="str">
            <v>20190308</v>
          </cell>
        </row>
        <row r="41">
          <cell r="E41" t="str">
            <v>20190311</v>
          </cell>
        </row>
        <row r="42">
          <cell r="E42" t="str">
            <v>20190312</v>
          </cell>
        </row>
        <row r="43">
          <cell r="E43" t="str">
            <v>20190313</v>
          </cell>
        </row>
        <row r="44">
          <cell r="E44" t="str">
            <v>20190314</v>
          </cell>
        </row>
        <row r="45">
          <cell r="E45" t="str">
            <v>20190315</v>
          </cell>
        </row>
        <row r="46">
          <cell r="E46" t="str">
            <v>20190318</v>
          </cell>
        </row>
        <row r="47">
          <cell r="E47" t="str">
            <v>20190319</v>
          </cell>
        </row>
        <row r="48">
          <cell r="E48" t="str">
            <v>20190320</v>
          </cell>
        </row>
        <row r="49">
          <cell r="E49" t="str">
            <v>20190321</v>
          </cell>
        </row>
        <row r="50">
          <cell r="E50" t="str">
            <v>20190322</v>
          </cell>
        </row>
        <row r="51">
          <cell r="E51" t="str">
            <v>20190325</v>
          </cell>
        </row>
        <row r="52">
          <cell r="E52" t="str">
            <v>20190326</v>
          </cell>
        </row>
        <row r="53">
          <cell r="E53" t="str">
            <v>20190327</v>
          </cell>
        </row>
        <row r="54">
          <cell r="E54" t="str">
            <v>20190328</v>
          </cell>
        </row>
        <row r="55">
          <cell r="E55" t="str">
            <v>20190329</v>
          </cell>
        </row>
        <row r="56">
          <cell r="E56" t="str">
            <v>20190401</v>
          </cell>
        </row>
        <row r="57">
          <cell r="E57" t="str">
            <v>20190402</v>
          </cell>
        </row>
        <row r="58">
          <cell r="E58" t="str">
            <v>20190403</v>
          </cell>
        </row>
        <row r="59">
          <cell r="E59" t="str">
            <v>20190408</v>
          </cell>
        </row>
        <row r="60">
          <cell r="E60" t="str">
            <v>20190409</v>
          </cell>
        </row>
        <row r="61">
          <cell r="E61" t="str">
            <v>20190410</v>
          </cell>
        </row>
        <row r="62">
          <cell r="E62" t="str">
            <v>20190411</v>
          </cell>
        </row>
        <row r="63">
          <cell r="E63" t="str">
            <v>20190412</v>
          </cell>
        </row>
        <row r="64">
          <cell r="E64" t="str">
            <v>20190415</v>
          </cell>
        </row>
        <row r="65">
          <cell r="E65" t="str">
            <v>20190416</v>
          </cell>
        </row>
        <row r="66">
          <cell r="E66" t="str">
            <v>20190417</v>
          </cell>
        </row>
        <row r="67">
          <cell r="E67" t="str">
            <v>20190418</v>
          </cell>
        </row>
        <row r="68">
          <cell r="E68" t="str">
            <v>20190419</v>
          </cell>
        </row>
        <row r="69">
          <cell r="E69" t="str">
            <v>20190422</v>
          </cell>
        </row>
        <row r="70">
          <cell r="E70" t="str">
            <v>20190423</v>
          </cell>
        </row>
        <row r="71">
          <cell r="E71" t="str">
            <v>20190424</v>
          </cell>
        </row>
        <row r="72">
          <cell r="E72" t="str">
            <v>20190425</v>
          </cell>
        </row>
        <row r="73">
          <cell r="E73" t="str">
            <v>20190426</v>
          </cell>
        </row>
        <row r="74">
          <cell r="E74" t="str">
            <v>20190429</v>
          </cell>
        </row>
        <row r="75">
          <cell r="E75" t="str">
            <v>20190430</v>
          </cell>
        </row>
        <row r="76">
          <cell r="E76" t="str">
            <v>20190502</v>
          </cell>
        </row>
        <row r="77">
          <cell r="E77" t="str">
            <v>20190503</v>
          </cell>
        </row>
        <row r="78">
          <cell r="E78" t="str">
            <v>20190506</v>
          </cell>
        </row>
        <row r="79">
          <cell r="E79" t="str">
            <v>20190507</v>
          </cell>
        </row>
        <row r="80">
          <cell r="E80" t="str">
            <v>20190508</v>
          </cell>
        </row>
        <row r="81">
          <cell r="E81" t="str">
            <v>20190509</v>
          </cell>
        </row>
        <row r="82">
          <cell r="E82" t="str">
            <v>20190510</v>
          </cell>
        </row>
        <row r="83">
          <cell r="E83" t="str">
            <v>20190513</v>
          </cell>
        </row>
        <row r="84">
          <cell r="E84" t="str">
            <v>20190514</v>
          </cell>
        </row>
        <row r="85">
          <cell r="E85" t="str">
            <v>20190515</v>
          </cell>
        </row>
        <row r="86">
          <cell r="E86" t="str">
            <v>20190516</v>
          </cell>
        </row>
        <row r="87">
          <cell r="E87" t="str">
            <v>20190517</v>
          </cell>
        </row>
        <row r="88">
          <cell r="E88" t="str">
            <v>20190520</v>
          </cell>
        </row>
        <row r="89">
          <cell r="E89" t="str">
            <v>20190521</v>
          </cell>
        </row>
        <row r="90">
          <cell r="E90" t="str">
            <v>20190522</v>
          </cell>
        </row>
        <row r="91">
          <cell r="E91" t="str">
            <v>20190523</v>
          </cell>
        </row>
        <row r="92">
          <cell r="E92" t="str">
            <v>20190524</v>
          </cell>
        </row>
        <row r="93">
          <cell r="E93" t="str">
            <v>20190527</v>
          </cell>
        </row>
        <row r="94">
          <cell r="E94" t="str">
            <v>20190528</v>
          </cell>
        </row>
        <row r="95">
          <cell r="E95" t="str">
            <v>20190529</v>
          </cell>
        </row>
        <row r="96">
          <cell r="E96" t="str">
            <v>20190530</v>
          </cell>
        </row>
        <row r="97">
          <cell r="E97" t="str">
            <v>20190531</v>
          </cell>
        </row>
        <row r="98">
          <cell r="E98" t="str">
            <v>20190603</v>
          </cell>
        </row>
        <row r="99">
          <cell r="E99" t="str">
            <v>20190604</v>
          </cell>
        </row>
        <row r="100">
          <cell r="E100" t="str">
            <v>20190605</v>
          </cell>
        </row>
        <row r="101">
          <cell r="E101" t="str">
            <v>20190606</v>
          </cell>
        </row>
        <row r="102">
          <cell r="E102" t="str">
            <v>20190610</v>
          </cell>
        </row>
        <row r="103">
          <cell r="E103" t="str">
            <v>20190611</v>
          </cell>
        </row>
        <row r="104">
          <cell r="E104" t="str">
            <v>20190612</v>
          </cell>
        </row>
        <row r="105">
          <cell r="E105" t="str">
            <v>20190613</v>
          </cell>
        </row>
        <row r="106">
          <cell r="E106" t="str">
            <v>20190614</v>
          </cell>
        </row>
        <row r="107">
          <cell r="E107" t="str">
            <v>20190617</v>
          </cell>
        </row>
        <row r="108">
          <cell r="E108" t="str">
            <v>20190618</v>
          </cell>
        </row>
        <row r="109">
          <cell r="E109" t="str">
            <v>20190619</v>
          </cell>
        </row>
        <row r="110">
          <cell r="E110" t="str">
            <v>20190620</v>
          </cell>
        </row>
        <row r="111">
          <cell r="E111" t="str">
            <v>20190621</v>
          </cell>
        </row>
        <row r="112">
          <cell r="E112" t="str">
            <v>20190624</v>
          </cell>
        </row>
        <row r="113">
          <cell r="E113" t="str">
            <v>20190625</v>
          </cell>
        </row>
        <row r="114">
          <cell r="E114" t="str">
            <v>20190626</v>
          </cell>
        </row>
        <row r="115">
          <cell r="E115" t="str">
            <v>20190627</v>
          </cell>
        </row>
        <row r="116">
          <cell r="E116" t="str">
            <v>20190628</v>
          </cell>
        </row>
        <row r="117">
          <cell r="E117" t="str">
            <v>20190701</v>
          </cell>
        </row>
        <row r="118">
          <cell r="E118" t="str">
            <v>20190702</v>
          </cell>
        </row>
        <row r="119">
          <cell r="E119" t="str">
            <v>20190703</v>
          </cell>
        </row>
        <row r="120">
          <cell r="E120" t="str">
            <v>20190704</v>
          </cell>
        </row>
        <row r="121">
          <cell r="E121" t="str">
            <v>20190705</v>
          </cell>
        </row>
        <row r="122">
          <cell r="E122" t="str">
            <v>20190708</v>
          </cell>
        </row>
        <row r="123">
          <cell r="E123" t="str">
            <v>20190709</v>
          </cell>
        </row>
        <row r="124">
          <cell r="E124" t="str">
            <v>20190710</v>
          </cell>
        </row>
        <row r="125">
          <cell r="E125" t="str">
            <v>20190711</v>
          </cell>
        </row>
        <row r="126">
          <cell r="E126" t="str">
            <v>20190712</v>
          </cell>
        </row>
        <row r="127">
          <cell r="E127" t="str">
            <v>20190715</v>
          </cell>
        </row>
        <row r="128">
          <cell r="E128" t="str">
            <v>20190716</v>
          </cell>
        </row>
        <row r="129">
          <cell r="E129" t="str">
            <v>20190717</v>
          </cell>
        </row>
        <row r="130">
          <cell r="E130" t="str">
            <v>20190718</v>
          </cell>
        </row>
        <row r="131">
          <cell r="E131" t="str">
            <v>20190719</v>
          </cell>
        </row>
        <row r="132">
          <cell r="E132" t="str">
            <v>20190722</v>
          </cell>
        </row>
        <row r="133">
          <cell r="E133" t="str">
            <v>20190723</v>
          </cell>
        </row>
        <row r="134">
          <cell r="E134" t="str">
            <v>20190724</v>
          </cell>
        </row>
        <row r="135">
          <cell r="E135" t="str">
            <v>20190725</v>
          </cell>
        </row>
        <row r="136">
          <cell r="E136" t="str">
            <v>20190726</v>
          </cell>
        </row>
        <row r="137">
          <cell r="E137" t="str">
            <v>20190729</v>
          </cell>
        </row>
        <row r="138">
          <cell r="E138" t="str">
            <v>20190730</v>
          </cell>
        </row>
        <row r="139">
          <cell r="E139" t="str">
            <v>20190731</v>
          </cell>
        </row>
        <row r="140">
          <cell r="E140" t="str">
            <v>20190801</v>
          </cell>
        </row>
        <row r="141">
          <cell r="E141" t="str">
            <v>20190802</v>
          </cell>
        </row>
        <row r="142">
          <cell r="E142" t="str">
            <v>20190805</v>
          </cell>
        </row>
        <row r="143">
          <cell r="E143" t="str">
            <v>20190806</v>
          </cell>
        </row>
        <row r="144">
          <cell r="E144" t="str">
            <v>20190807</v>
          </cell>
        </row>
        <row r="145">
          <cell r="E145" t="str">
            <v>20190808</v>
          </cell>
        </row>
        <row r="146">
          <cell r="E146" t="str">
            <v>20190809</v>
          </cell>
        </row>
        <row r="147">
          <cell r="E147" t="str">
            <v>20190812</v>
          </cell>
        </row>
        <row r="148">
          <cell r="E148" t="str">
            <v>20190813</v>
          </cell>
        </row>
        <row r="149">
          <cell r="E149" t="str">
            <v>20190814</v>
          </cell>
        </row>
        <row r="150">
          <cell r="E150" t="str">
            <v>20190815</v>
          </cell>
        </row>
        <row r="151">
          <cell r="E151" t="str">
            <v>20190816</v>
          </cell>
        </row>
        <row r="152">
          <cell r="E152" t="str">
            <v>20190819</v>
          </cell>
        </row>
        <row r="153">
          <cell r="E153" t="str">
            <v>20190820</v>
          </cell>
        </row>
        <row r="154">
          <cell r="E154" t="str">
            <v>20190821</v>
          </cell>
        </row>
        <row r="155">
          <cell r="E155" t="str">
            <v>20190822</v>
          </cell>
        </row>
        <row r="156">
          <cell r="E156" t="str">
            <v>20190823</v>
          </cell>
        </row>
        <row r="157">
          <cell r="E157" t="str">
            <v>20190826</v>
          </cell>
        </row>
        <row r="158">
          <cell r="E158" t="str">
            <v>20190827</v>
          </cell>
        </row>
        <row r="159">
          <cell r="E159" t="str">
            <v>20190828</v>
          </cell>
        </row>
        <row r="160">
          <cell r="E160" t="str">
            <v>20190829</v>
          </cell>
        </row>
        <row r="161">
          <cell r="E161" t="str">
            <v>20190830</v>
          </cell>
        </row>
        <row r="162">
          <cell r="E162" t="str">
            <v>20190902</v>
          </cell>
        </row>
        <row r="163">
          <cell r="E163" t="str">
            <v>20190903</v>
          </cell>
        </row>
        <row r="164">
          <cell r="E164" t="str">
            <v>20190904</v>
          </cell>
        </row>
        <row r="165">
          <cell r="E165" t="str">
            <v>20190905</v>
          </cell>
        </row>
        <row r="166">
          <cell r="E166" t="str">
            <v>20190906</v>
          </cell>
        </row>
        <row r="167">
          <cell r="E167" t="str">
            <v>20190909</v>
          </cell>
        </row>
        <row r="168">
          <cell r="E168" t="str">
            <v>20190910</v>
          </cell>
        </row>
        <row r="169">
          <cell r="E169" t="str">
            <v>20190911</v>
          </cell>
        </row>
        <row r="170">
          <cell r="E170" t="str">
            <v>20190912</v>
          </cell>
        </row>
        <row r="171">
          <cell r="E171" t="str">
            <v>20190916</v>
          </cell>
        </row>
        <row r="172">
          <cell r="E172" t="str">
            <v>20190917</v>
          </cell>
        </row>
        <row r="173">
          <cell r="E173" t="str">
            <v>20190918</v>
          </cell>
        </row>
        <row r="174">
          <cell r="E174" t="str">
            <v>20190919</v>
          </cell>
        </row>
        <row r="175">
          <cell r="E175" t="str">
            <v>20190920</v>
          </cell>
        </row>
        <row r="176">
          <cell r="E176" t="str">
            <v>20190923</v>
          </cell>
        </row>
        <row r="177">
          <cell r="E177" t="str">
            <v>20190924</v>
          </cell>
        </row>
        <row r="178">
          <cell r="E178" t="str">
            <v>20190925</v>
          </cell>
        </row>
        <row r="179">
          <cell r="E179" t="str">
            <v>20190926</v>
          </cell>
        </row>
        <row r="180">
          <cell r="E180" t="str">
            <v>20190927</v>
          </cell>
        </row>
        <row r="181">
          <cell r="E181" t="str">
            <v>20190930</v>
          </cell>
        </row>
        <row r="182">
          <cell r="E182" t="str">
            <v>20191001</v>
          </cell>
        </row>
        <row r="183">
          <cell r="E183" t="str">
            <v>20191002</v>
          </cell>
        </row>
        <row r="184">
          <cell r="E184" t="str">
            <v>20191003</v>
          </cell>
        </row>
        <row r="185">
          <cell r="E185" t="str">
            <v>20191004</v>
          </cell>
        </row>
        <row r="186">
          <cell r="E186" t="str">
            <v>20191007</v>
          </cell>
        </row>
        <row r="187">
          <cell r="E187" t="str">
            <v>20191008</v>
          </cell>
        </row>
        <row r="188">
          <cell r="E188" t="str">
            <v>20191009</v>
          </cell>
        </row>
        <row r="189">
          <cell r="E189" t="str">
            <v>20191014</v>
          </cell>
        </row>
        <row r="190">
          <cell r="E190" t="str">
            <v>20191015</v>
          </cell>
        </row>
        <row r="191">
          <cell r="E191" t="str">
            <v>20191016</v>
          </cell>
        </row>
        <row r="192">
          <cell r="E192" t="str">
            <v>20191017</v>
          </cell>
        </row>
        <row r="193">
          <cell r="E193" t="str">
            <v>20191018</v>
          </cell>
        </row>
        <row r="194">
          <cell r="E194" t="str">
            <v>20191021</v>
          </cell>
        </row>
        <row r="195">
          <cell r="E195" t="str">
            <v>20191022</v>
          </cell>
        </row>
        <row r="196">
          <cell r="E196" t="str">
            <v>20191023</v>
          </cell>
        </row>
        <row r="197">
          <cell r="E197" t="str">
            <v>20191024</v>
          </cell>
        </row>
        <row r="198">
          <cell r="E198" t="str">
            <v>20191025</v>
          </cell>
        </row>
        <row r="199">
          <cell r="E199" t="str">
            <v>20191028</v>
          </cell>
        </row>
        <row r="200">
          <cell r="E200" t="str">
            <v>20191029</v>
          </cell>
        </row>
        <row r="201">
          <cell r="E201" t="str">
            <v>20191030</v>
          </cell>
        </row>
        <row r="202">
          <cell r="E202" t="str">
            <v>20191031</v>
          </cell>
        </row>
        <row r="203">
          <cell r="E203" t="str">
            <v>20191101</v>
          </cell>
        </row>
        <row r="204">
          <cell r="E204" t="str">
            <v>20191104</v>
          </cell>
        </row>
        <row r="205">
          <cell r="E205" t="str">
            <v>20191105</v>
          </cell>
        </row>
        <row r="206">
          <cell r="E206" t="str">
            <v>20191106</v>
          </cell>
        </row>
        <row r="207">
          <cell r="E207" t="str">
            <v>20191107</v>
          </cell>
        </row>
        <row r="208">
          <cell r="E208" t="str">
            <v>20191108</v>
          </cell>
        </row>
        <row r="209">
          <cell r="E209" t="str">
            <v>20191111</v>
          </cell>
        </row>
        <row r="210">
          <cell r="E210" t="str">
            <v>20191112</v>
          </cell>
        </row>
        <row r="211">
          <cell r="E211" t="str">
            <v>20191113</v>
          </cell>
        </row>
        <row r="212">
          <cell r="E212" t="str">
            <v>20191114</v>
          </cell>
        </row>
        <row r="213">
          <cell r="E213" t="str">
            <v>20191115</v>
          </cell>
        </row>
        <row r="214">
          <cell r="E214" t="str">
            <v>20191118</v>
          </cell>
        </row>
        <row r="215">
          <cell r="E215" t="str">
            <v>20191119</v>
          </cell>
        </row>
        <row r="216">
          <cell r="E216" t="str">
            <v>20191120</v>
          </cell>
        </row>
        <row r="217">
          <cell r="E217" t="str">
            <v>20191121</v>
          </cell>
        </row>
        <row r="218">
          <cell r="E218" t="str">
            <v>20191122</v>
          </cell>
        </row>
        <row r="219">
          <cell r="E219" t="str">
            <v>20191125</v>
          </cell>
        </row>
        <row r="220">
          <cell r="E220" t="str">
            <v>20191126</v>
          </cell>
        </row>
        <row r="221">
          <cell r="E221" t="str">
            <v>20191127</v>
          </cell>
        </row>
        <row r="222">
          <cell r="E222" t="str">
            <v>20191128</v>
          </cell>
        </row>
        <row r="223">
          <cell r="E223" t="str">
            <v>20191129</v>
          </cell>
        </row>
        <row r="224">
          <cell r="E224" t="str">
            <v>20191202</v>
          </cell>
        </row>
        <row r="225">
          <cell r="E225" t="str">
            <v>20191203</v>
          </cell>
        </row>
        <row r="226">
          <cell r="E226" t="str">
            <v>20191204</v>
          </cell>
        </row>
        <row r="227">
          <cell r="E227" t="str">
            <v>20191205</v>
          </cell>
        </row>
        <row r="228">
          <cell r="E228" t="str">
            <v>20191206</v>
          </cell>
        </row>
        <row r="229">
          <cell r="E229" t="str">
            <v>20191209</v>
          </cell>
        </row>
        <row r="230">
          <cell r="E230" t="str">
            <v>20191210</v>
          </cell>
        </row>
        <row r="231">
          <cell r="E231" t="str">
            <v>20191211</v>
          </cell>
        </row>
        <row r="232">
          <cell r="E232" t="str">
            <v>20191212</v>
          </cell>
        </row>
        <row r="233">
          <cell r="E233" t="str">
            <v>20191213</v>
          </cell>
        </row>
        <row r="234">
          <cell r="E234" t="str">
            <v>20191216</v>
          </cell>
        </row>
        <row r="235">
          <cell r="E235" t="str">
            <v>20191217</v>
          </cell>
        </row>
        <row r="236">
          <cell r="E236" t="str">
            <v>20191218</v>
          </cell>
        </row>
        <row r="237">
          <cell r="E237" t="str">
            <v>20191219</v>
          </cell>
        </row>
        <row r="238">
          <cell r="E238" t="str">
            <v>20191220</v>
          </cell>
        </row>
        <row r="239">
          <cell r="E239" t="str">
            <v>20191223</v>
          </cell>
        </row>
        <row r="240">
          <cell r="E240" t="str">
            <v>20191224</v>
          </cell>
        </row>
        <row r="241">
          <cell r="E241" t="str">
            <v>20191225</v>
          </cell>
        </row>
        <row r="242">
          <cell r="E242" t="str">
            <v>20191226</v>
          </cell>
        </row>
        <row r="243">
          <cell r="E243" t="str">
            <v>20191227</v>
          </cell>
        </row>
        <row r="244">
          <cell r="E244" t="str">
            <v>20191230</v>
          </cell>
        </row>
        <row r="245">
          <cell r="E245" t="str">
            <v>20191231</v>
          </cell>
        </row>
        <row r="246">
          <cell r="E246" t="str">
            <v>20200102</v>
          </cell>
        </row>
        <row r="247">
          <cell r="E247" t="str">
            <v>20200103</v>
          </cell>
        </row>
        <row r="248">
          <cell r="E248" t="str">
            <v>20200106</v>
          </cell>
        </row>
        <row r="249">
          <cell r="E249" t="str">
            <v>20200107</v>
          </cell>
        </row>
        <row r="250">
          <cell r="E250" t="str">
            <v>20200108</v>
          </cell>
        </row>
        <row r="251">
          <cell r="E251" t="str">
            <v>20200109</v>
          </cell>
        </row>
        <row r="252">
          <cell r="E252" t="str">
            <v>20200110</v>
          </cell>
        </row>
        <row r="253">
          <cell r="E253" t="str">
            <v>20200113</v>
          </cell>
        </row>
        <row r="254">
          <cell r="E254" t="str">
            <v>20200114</v>
          </cell>
        </row>
        <row r="255">
          <cell r="E255" t="str">
            <v>20200115</v>
          </cell>
        </row>
        <row r="256">
          <cell r="E256" t="str">
            <v>20200116</v>
          </cell>
        </row>
        <row r="257">
          <cell r="E257" t="str">
            <v>20200117</v>
          </cell>
        </row>
        <row r="258">
          <cell r="E258" t="str">
            <v>20200120</v>
          </cell>
        </row>
        <row r="259">
          <cell r="E259" t="str">
            <v>20200130</v>
          </cell>
        </row>
        <row r="260">
          <cell r="E260" t="str">
            <v>20200131</v>
          </cell>
        </row>
        <row r="261">
          <cell r="E261" t="str">
            <v>20200203</v>
          </cell>
        </row>
        <row r="262">
          <cell r="E262" t="str">
            <v>20200204</v>
          </cell>
        </row>
        <row r="263">
          <cell r="E263" t="str">
            <v>20200205</v>
          </cell>
        </row>
        <row r="264">
          <cell r="E264" t="str">
            <v>20200206</v>
          </cell>
        </row>
        <row r="265">
          <cell r="E265" t="str">
            <v>20200207</v>
          </cell>
        </row>
        <row r="266">
          <cell r="E266" t="str">
            <v>20200210</v>
          </cell>
        </row>
        <row r="267">
          <cell r="E267" t="str">
            <v>20200211</v>
          </cell>
        </row>
        <row r="268">
          <cell r="E268" t="str">
            <v>20200212</v>
          </cell>
        </row>
        <row r="269">
          <cell r="E269" t="str">
            <v>20200213</v>
          </cell>
        </row>
        <row r="270">
          <cell r="E270" t="str">
            <v>20200214</v>
          </cell>
        </row>
        <row r="271">
          <cell r="E271" t="str">
            <v>20200217</v>
          </cell>
        </row>
        <row r="272">
          <cell r="E272" t="str">
            <v>20200218</v>
          </cell>
        </row>
        <row r="273">
          <cell r="E273" t="str">
            <v>20200219</v>
          </cell>
        </row>
        <row r="274">
          <cell r="E274" t="str">
            <v>20200220</v>
          </cell>
        </row>
        <row r="275">
          <cell r="E275" t="str">
            <v>20200221</v>
          </cell>
        </row>
        <row r="276">
          <cell r="E276" t="str">
            <v>20200224</v>
          </cell>
        </row>
        <row r="277">
          <cell r="E277" t="str">
            <v>20200225</v>
          </cell>
        </row>
        <row r="278">
          <cell r="E278" t="str">
            <v>20200226</v>
          </cell>
        </row>
        <row r="279">
          <cell r="E279" t="str">
            <v>20200227</v>
          </cell>
        </row>
        <row r="280">
          <cell r="E280" t="str">
            <v>20200302</v>
          </cell>
        </row>
        <row r="281">
          <cell r="E281" t="str">
            <v>20200303</v>
          </cell>
        </row>
        <row r="282">
          <cell r="E282" t="str">
            <v>20200304</v>
          </cell>
        </row>
        <row r="283">
          <cell r="E283" t="str">
            <v>20200305</v>
          </cell>
        </row>
        <row r="284">
          <cell r="E284" t="str">
            <v>20200306</v>
          </cell>
        </row>
        <row r="285">
          <cell r="E285" t="str">
            <v>20200309</v>
          </cell>
        </row>
        <row r="286">
          <cell r="E286" t="str">
            <v>20200310</v>
          </cell>
        </row>
        <row r="287">
          <cell r="E287" t="str">
            <v>20200311</v>
          </cell>
        </row>
        <row r="288">
          <cell r="E288" t="str">
            <v>20200312</v>
          </cell>
        </row>
        <row r="289">
          <cell r="E289" t="str">
            <v>20200313</v>
          </cell>
        </row>
        <row r="290">
          <cell r="E290" t="str">
            <v>20200316</v>
          </cell>
        </row>
        <row r="291">
          <cell r="E291" t="str">
            <v>20200317</v>
          </cell>
        </row>
        <row r="292">
          <cell r="E292" t="str">
            <v>20200318</v>
          </cell>
        </row>
        <row r="293">
          <cell r="E293" t="str">
            <v>20200319</v>
          </cell>
        </row>
        <row r="294">
          <cell r="E294" t="str">
            <v>20200320</v>
          </cell>
        </row>
        <row r="295">
          <cell r="E295" t="str">
            <v>20200323</v>
          </cell>
        </row>
        <row r="296">
          <cell r="E296" t="str">
            <v>20200324</v>
          </cell>
        </row>
        <row r="297">
          <cell r="E297" t="str">
            <v>20200325</v>
          </cell>
        </row>
        <row r="298">
          <cell r="E298" t="str">
            <v>20200326</v>
          </cell>
        </row>
        <row r="299">
          <cell r="E299" t="str">
            <v>20200327</v>
          </cell>
        </row>
        <row r="300">
          <cell r="E300" t="str">
            <v>20200330</v>
          </cell>
        </row>
        <row r="301">
          <cell r="E301" t="str">
            <v>20200331</v>
          </cell>
        </row>
        <row r="302">
          <cell r="E302" t="str">
            <v>20200401</v>
          </cell>
        </row>
        <row r="303">
          <cell r="E303" t="str">
            <v>20200406</v>
          </cell>
        </row>
        <row r="304">
          <cell r="E304" t="str">
            <v>20200407</v>
          </cell>
        </row>
        <row r="305">
          <cell r="E305" t="str">
            <v>20200408</v>
          </cell>
        </row>
        <row r="306">
          <cell r="E306" t="str">
            <v>20200409</v>
          </cell>
        </row>
        <row r="307">
          <cell r="E307" t="str">
            <v>20200410</v>
          </cell>
        </row>
        <row r="308">
          <cell r="E308" t="str">
            <v>20200413</v>
          </cell>
        </row>
        <row r="309">
          <cell r="E309" t="str">
            <v>20200414</v>
          </cell>
        </row>
        <row r="310">
          <cell r="E310" t="str">
            <v>20200415</v>
          </cell>
        </row>
        <row r="311">
          <cell r="E311" t="str">
            <v>20200416</v>
          </cell>
        </row>
        <row r="312">
          <cell r="E312" t="str">
            <v>20200417</v>
          </cell>
        </row>
        <row r="313">
          <cell r="E313" t="str">
            <v>20200420</v>
          </cell>
        </row>
        <row r="314">
          <cell r="E314" t="str">
            <v>20200421</v>
          </cell>
        </row>
        <row r="315">
          <cell r="E315" t="str">
            <v>20200422</v>
          </cell>
        </row>
        <row r="316">
          <cell r="E316" t="str">
            <v>20200423</v>
          </cell>
        </row>
        <row r="317">
          <cell r="E317" t="str">
            <v>20200424</v>
          </cell>
        </row>
        <row r="318">
          <cell r="E318" t="str">
            <v>20200427</v>
          </cell>
        </row>
        <row r="319">
          <cell r="E319" t="str">
            <v>20200428</v>
          </cell>
        </row>
        <row r="320">
          <cell r="E320" t="str">
            <v>20200429</v>
          </cell>
        </row>
        <row r="321">
          <cell r="E321" t="str">
            <v>20200430</v>
          </cell>
        </row>
        <row r="322">
          <cell r="E322" t="str">
            <v>20200504</v>
          </cell>
        </row>
        <row r="323">
          <cell r="E323" t="str">
            <v>20200505</v>
          </cell>
        </row>
        <row r="324">
          <cell r="E324" t="str">
            <v>20200506</v>
          </cell>
        </row>
        <row r="325">
          <cell r="E325" t="str">
            <v>20200507</v>
          </cell>
        </row>
        <row r="326">
          <cell r="E326" t="str">
            <v>20200508</v>
          </cell>
        </row>
        <row r="327">
          <cell r="E327" t="str">
            <v>20200511</v>
          </cell>
        </row>
        <row r="328">
          <cell r="E328" t="str">
            <v>20200512</v>
          </cell>
        </row>
        <row r="329">
          <cell r="E329" t="str">
            <v>20200513</v>
          </cell>
        </row>
        <row r="330">
          <cell r="E330" t="str">
            <v>20200514</v>
          </cell>
        </row>
        <row r="331">
          <cell r="E331" t="str">
            <v>20200515</v>
          </cell>
        </row>
        <row r="332">
          <cell r="E332" t="str">
            <v>20200518</v>
          </cell>
        </row>
        <row r="333">
          <cell r="E333" t="str">
            <v>20200519</v>
          </cell>
        </row>
        <row r="334">
          <cell r="E334" t="str">
            <v>20200520</v>
          </cell>
        </row>
        <row r="335">
          <cell r="E335" t="str">
            <v>20200521</v>
          </cell>
        </row>
        <row r="336">
          <cell r="E336" t="str">
            <v>20200522</v>
          </cell>
        </row>
        <row r="337">
          <cell r="E337" t="str">
            <v>20200525</v>
          </cell>
        </row>
        <row r="338">
          <cell r="E338" t="str">
            <v>20200526</v>
          </cell>
        </row>
        <row r="339">
          <cell r="E339" t="str">
            <v>20200527</v>
          </cell>
        </row>
        <row r="340">
          <cell r="E340" t="str">
            <v>20200528</v>
          </cell>
        </row>
        <row r="341">
          <cell r="E341" t="str">
            <v>20200529</v>
          </cell>
        </row>
        <row r="342">
          <cell r="E342" t="str">
            <v>20200601</v>
          </cell>
        </row>
        <row r="343">
          <cell r="E343" t="str">
            <v>20200602</v>
          </cell>
        </row>
        <row r="344">
          <cell r="E344" t="str">
            <v>20200603</v>
          </cell>
        </row>
        <row r="345">
          <cell r="E345" t="str">
            <v>20200604</v>
          </cell>
        </row>
        <row r="346">
          <cell r="E346" t="str">
            <v>20200605</v>
          </cell>
        </row>
        <row r="347">
          <cell r="E347" t="str">
            <v>20200608</v>
          </cell>
        </row>
        <row r="348">
          <cell r="E348" t="str">
            <v>20200609</v>
          </cell>
        </row>
        <row r="349">
          <cell r="E349" t="str">
            <v>20200610</v>
          </cell>
        </row>
        <row r="350">
          <cell r="E350" t="str">
            <v>20200611</v>
          </cell>
        </row>
        <row r="351">
          <cell r="E351" t="str">
            <v>20200612</v>
          </cell>
        </row>
        <row r="352">
          <cell r="E352" t="str">
            <v>20200615</v>
          </cell>
        </row>
        <row r="353">
          <cell r="E353" t="str">
            <v>20200616</v>
          </cell>
        </row>
        <row r="354">
          <cell r="E354" t="str">
            <v>20200617</v>
          </cell>
        </row>
        <row r="355">
          <cell r="E355" t="str">
            <v>20200618</v>
          </cell>
        </row>
        <row r="356">
          <cell r="E356" t="str">
            <v>20200619</v>
          </cell>
        </row>
        <row r="357">
          <cell r="E357" t="str">
            <v>20200622</v>
          </cell>
        </row>
        <row r="358">
          <cell r="E358" t="str">
            <v>20200623</v>
          </cell>
        </row>
        <row r="359">
          <cell r="E359" t="str">
            <v>20200624</v>
          </cell>
        </row>
        <row r="360">
          <cell r="E360" t="str">
            <v>20200629</v>
          </cell>
        </row>
        <row r="361">
          <cell r="E361" t="str">
            <v>20200630</v>
          </cell>
        </row>
        <row r="362">
          <cell r="E362" t="str">
            <v>20200701</v>
          </cell>
        </row>
        <row r="363">
          <cell r="E363" t="str">
            <v>20200702</v>
          </cell>
        </row>
        <row r="364">
          <cell r="E364" t="str">
            <v>20200703</v>
          </cell>
        </row>
        <row r="365">
          <cell r="E365" t="str">
            <v>20200706</v>
          </cell>
        </row>
        <row r="366">
          <cell r="E366" t="str">
            <v>20200707</v>
          </cell>
        </row>
        <row r="367">
          <cell r="E367" t="str">
            <v>20200708</v>
          </cell>
        </row>
        <row r="368">
          <cell r="E368" t="str">
            <v>20200709</v>
          </cell>
        </row>
        <row r="369">
          <cell r="E369" t="str">
            <v>20200710</v>
          </cell>
        </row>
        <row r="370">
          <cell r="E370" t="str">
            <v>20200713</v>
          </cell>
        </row>
        <row r="371">
          <cell r="E371" t="str">
            <v>20200714</v>
          </cell>
        </row>
        <row r="372">
          <cell r="E372" t="str">
            <v>20200715</v>
          </cell>
        </row>
        <row r="373">
          <cell r="E373" t="str">
            <v>20200716</v>
          </cell>
        </row>
        <row r="374">
          <cell r="E374" t="str">
            <v>20200717</v>
          </cell>
        </row>
        <row r="375">
          <cell r="E375" t="str">
            <v>20200720</v>
          </cell>
        </row>
        <row r="376">
          <cell r="E376" t="str">
            <v>20200721</v>
          </cell>
        </row>
        <row r="377">
          <cell r="E377" t="str">
            <v>20200722</v>
          </cell>
        </row>
        <row r="378">
          <cell r="E378" t="str">
            <v>20200723</v>
          </cell>
        </row>
        <row r="379">
          <cell r="E379" t="str">
            <v>20200724</v>
          </cell>
        </row>
        <row r="380">
          <cell r="E380" t="str">
            <v>20200727</v>
          </cell>
        </row>
        <row r="381">
          <cell r="E381" t="str">
            <v>20200728</v>
          </cell>
        </row>
        <row r="382">
          <cell r="E382" t="str">
            <v>20200729</v>
          </cell>
        </row>
        <row r="383">
          <cell r="E383" t="str">
            <v>20200730</v>
          </cell>
        </row>
        <row r="384">
          <cell r="E384" t="str">
            <v>20200731</v>
          </cell>
        </row>
        <row r="385">
          <cell r="E385" t="str">
            <v>20200803</v>
          </cell>
        </row>
        <row r="386">
          <cell r="E386" t="str">
            <v>20200804</v>
          </cell>
        </row>
        <row r="387">
          <cell r="E387" t="str">
            <v>20200805</v>
          </cell>
        </row>
        <row r="388">
          <cell r="E388" t="str">
            <v>20200806</v>
          </cell>
        </row>
        <row r="389">
          <cell r="E389" t="str">
            <v>20200807</v>
          </cell>
        </row>
        <row r="390">
          <cell r="E390" t="str">
            <v>20200810</v>
          </cell>
        </row>
        <row r="391">
          <cell r="E391" t="str">
            <v>20200811</v>
          </cell>
        </row>
        <row r="392">
          <cell r="E392" t="str">
            <v>20200812</v>
          </cell>
        </row>
        <row r="393">
          <cell r="E393" t="str">
            <v>20200813</v>
          </cell>
        </row>
        <row r="394">
          <cell r="E394" t="str">
            <v>20200814</v>
          </cell>
        </row>
        <row r="395">
          <cell r="E395" t="str">
            <v>20200817</v>
          </cell>
        </row>
        <row r="396">
          <cell r="E396" t="str">
            <v>20200818</v>
          </cell>
        </row>
        <row r="397">
          <cell r="E397" t="str">
            <v>20200819</v>
          </cell>
        </row>
        <row r="398">
          <cell r="E398" t="str">
            <v>20200820</v>
          </cell>
        </row>
        <row r="399">
          <cell r="E399" t="str">
            <v>20200821</v>
          </cell>
        </row>
        <row r="400">
          <cell r="E400" t="str">
            <v>20200824</v>
          </cell>
        </row>
        <row r="401">
          <cell r="E401" t="str">
            <v>20200825</v>
          </cell>
        </row>
        <row r="402">
          <cell r="E402" t="str">
            <v>20200826</v>
          </cell>
        </row>
        <row r="403">
          <cell r="E403" t="str">
            <v>20200827</v>
          </cell>
        </row>
        <row r="404">
          <cell r="E404" t="str">
            <v>20200828</v>
          </cell>
        </row>
        <row r="405">
          <cell r="E405" t="str">
            <v>20200831</v>
          </cell>
        </row>
        <row r="406">
          <cell r="E406" t="str">
            <v>20200901</v>
          </cell>
        </row>
        <row r="407">
          <cell r="E407" t="str">
            <v>20200902</v>
          </cell>
        </row>
        <row r="408">
          <cell r="E408" t="str">
            <v>20200903</v>
          </cell>
        </row>
        <row r="409">
          <cell r="E409" t="str">
            <v>20200904</v>
          </cell>
        </row>
        <row r="410">
          <cell r="E410" t="str">
            <v>20200907</v>
          </cell>
        </row>
        <row r="411">
          <cell r="E411" t="str">
            <v>20200908</v>
          </cell>
        </row>
        <row r="412">
          <cell r="E412" t="str">
            <v>20200909</v>
          </cell>
        </row>
        <row r="413">
          <cell r="E413" t="str">
            <v>20200910</v>
          </cell>
        </row>
        <row r="414">
          <cell r="E414" t="str">
            <v>20200911</v>
          </cell>
        </row>
        <row r="415">
          <cell r="E415" t="str">
            <v>20200914</v>
          </cell>
        </row>
        <row r="416">
          <cell r="E416" t="str">
            <v>20200915</v>
          </cell>
        </row>
        <row r="417">
          <cell r="E417" t="str">
            <v>20200916</v>
          </cell>
        </row>
        <row r="418">
          <cell r="E418" t="str">
            <v>20200917</v>
          </cell>
        </row>
        <row r="419">
          <cell r="E419" t="str">
            <v>20200918</v>
          </cell>
        </row>
        <row r="420">
          <cell r="E420" t="str">
            <v>20200921</v>
          </cell>
        </row>
        <row r="421">
          <cell r="E421" t="str">
            <v>20200922</v>
          </cell>
        </row>
        <row r="422">
          <cell r="E422" t="str">
            <v>20200923</v>
          </cell>
        </row>
        <row r="423">
          <cell r="E423" t="str">
            <v>20200924</v>
          </cell>
        </row>
        <row r="424">
          <cell r="E424" t="str">
            <v>20200925</v>
          </cell>
        </row>
        <row r="425">
          <cell r="E425" t="str">
            <v>20200928</v>
          </cell>
        </row>
        <row r="426">
          <cell r="E426" t="str">
            <v>20200929</v>
          </cell>
        </row>
        <row r="427">
          <cell r="E427" t="str">
            <v>20200930</v>
          </cell>
        </row>
        <row r="428">
          <cell r="E428" t="str">
            <v>20201005</v>
          </cell>
        </row>
        <row r="429">
          <cell r="E429" t="str">
            <v>20201006</v>
          </cell>
        </row>
        <row r="430">
          <cell r="E430" t="str">
            <v>20201007</v>
          </cell>
        </row>
        <row r="431">
          <cell r="E431" t="str">
            <v>20201008</v>
          </cell>
        </row>
        <row r="432">
          <cell r="E432" t="str">
            <v>20201012</v>
          </cell>
        </row>
        <row r="433">
          <cell r="E433" t="str">
            <v>20201013</v>
          </cell>
        </row>
        <row r="434">
          <cell r="E434" t="str">
            <v>20201014</v>
          </cell>
        </row>
        <row r="435">
          <cell r="E435" t="str">
            <v>20201015</v>
          </cell>
        </row>
        <row r="436">
          <cell r="E436" t="str">
            <v>20201016</v>
          </cell>
        </row>
        <row r="437">
          <cell r="E437" t="str">
            <v>20201019</v>
          </cell>
        </row>
        <row r="438">
          <cell r="E438" t="str">
            <v>20201020</v>
          </cell>
        </row>
        <row r="439">
          <cell r="E439" t="str">
            <v>20201021</v>
          </cell>
        </row>
        <row r="440">
          <cell r="E440" t="str">
            <v>20201022</v>
          </cell>
        </row>
        <row r="441">
          <cell r="E441" t="str">
            <v>20201023</v>
          </cell>
        </row>
        <row r="442">
          <cell r="E442" t="str">
            <v>20201026</v>
          </cell>
        </row>
        <row r="443">
          <cell r="E443" t="str">
            <v>20201027</v>
          </cell>
        </row>
        <row r="444">
          <cell r="E444" t="str">
            <v>20201028</v>
          </cell>
        </row>
        <row r="445">
          <cell r="E445" t="str">
            <v>20201029</v>
          </cell>
        </row>
        <row r="446">
          <cell r="E446" t="str">
            <v>20201030</v>
          </cell>
        </row>
        <row r="447">
          <cell r="E447" t="str">
            <v>20201102</v>
          </cell>
        </row>
        <row r="448">
          <cell r="E448" t="str">
            <v>20201103</v>
          </cell>
        </row>
        <row r="449">
          <cell r="E449" t="str">
            <v>20201104</v>
          </cell>
        </row>
        <row r="450">
          <cell r="E450" t="str">
            <v>20201105</v>
          </cell>
        </row>
        <row r="451">
          <cell r="E451" t="str">
            <v>20201106</v>
          </cell>
        </row>
        <row r="452">
          <cell r="E452" t="str">
            <v>20201109</v>
          </cell>
        </row>
        <row r="453">
          <cell r="E453" t="str">
            <v>20201110</v>
          </cell>
        </row>
        <row r="454">
          <cell r="E454" t="str">
            <v>20201111</v>
          </cell>
        </row>
        <row r="455">
          <cell r="E455" t="str">
            <v>20201112</v>
          </cell>
        </row>
        <row r="456">
          <cell r="E456" t="str">
            <v>20201113</v>
          </cell>
        </row>
        <row r="457">
          <cell r="E457" t="str">
            <v>20201116</v>
          </cell>
        </row>
        <row r="458">
          <cell r="E458" t="str">
            <v>20201117</v>
          </cell>
        </row>
        <row r="459">
          <cell r="E459" t="str">
            <v>20201118</v>
          </cell>
        </row>
        <row r="460">
          <cell r="E460" t="str">
            <v>20201119</v>
          </cell>
        </row>
        <row r="461">
          <cell r="E461" t="str">
            <v>20201120</v>
          </cell>
        </row>
        <row r="462">
          <cell r="E462" t="str">
            <v>20201123</v>
          </cell>
        </row>
        <row r="463">
          <cell r="E463" t="str">
            <v>20201124</v>
          </cell>
        </row>
        <row r="464">
          <cell r="E464" t="str">
            <v>20201125</v>
          </cell>
        </row>
        <row r="465">
          <cell r="E465" t="str">
            <v>20201126</v>
          </cell>
        </row>
        <row r="466">
          <cell r="E466" t="str">
            <v>20201127</v>
          </cell>
        </row>
        <row r="467">
          <cell r="E467" t="str">
            <v>20201130</v>
          </cell>
        </row>
        <row r="468">
          <cell r="E468" t="str">
            <v>20201201</v>
          </cell>
        </row>
        <row r="469">
          <cell r="E469" t="str">
            <v>20201202</v>
          </cell>
        </row>
        <row r="470">
          <cell r="E470" t="str">
            <v>20201203</v>
          </cell>
        </row>
        <row r="471">
          <cell r="E471" t="str">
            <v>20201204</v>
          </cell>
        </row>
        <row r="472">
          <cell r="E472" t="str">
            <v>20201207</v>
          </cell>
        </row>
        <row r="473">
          <cell r="E473" t="str">
            <v>20201208</v>
          </cell>
        </row>
        <row r="474">
          <cell r="E474" t="str">
            <v>20201209</v>
          </cell>
        </row>
        <row r="475">
          <cell r="E475" t="str">
            <v>20201210</v>
          </cell>
        </row>
        <row r="476">
          <cell r="E476" t="str">
            <v>20201211</v>
          </cell>
        </row>
        <row r="477">
          <cell r="E477" t="str">
            <v>20201214</v>
          </cell>
        </row>
        <row r="478">
          <cell r="E478" t="str">
            <v>20201215</v>
          </cell>
        </row>
        <row r="479">
          <cell r="E479" t="str">
            <v>20201216</v>
          </cell>
        </row>
        <row r="480">
          <cell r="E480" t="str">
            <v>20201217</v>
          </cell>
        </row>
        <row r="481">
          <cell r="E481" t="str">
            <v>20201218</v>
          </cell>
        </row>
        <row r="482">
          <cell r="E482" t="str">
            <v>20201221</v>
          </cell>
        </row>
        <row r="483">
          <cell r="E483" t="str">
            <v>20201222</v>
          </cell>
        </row>
        <row r="484">
          <cell r="E484" t="str">
            <v>20201223</v>
          </cell>
        </row>
        <row r="485">
          <cell r="E485" t="str">
            <v>20201224</v>
          </cell>
        </row>
        <row r="486">
          <cell r="E486" t="str">
            <v>20201225</v>
          </cell>
        </row>
        <row r="487">
          <cell r="E487" t="str">
            <v>20201228</v>
          </cell>
        </row>
        <row r="488">
          <cell r="E488" t="str">
            <v>20201229</v>
          </cell>
        </row>
        <row r="489">
          <cell r="E489" t="str">
            <v>20201230</v>
          </cell>
        </row>
        <row r="490">
          <cell r="E490" t="str">
            <v>20201231</v>
          </cell>
        </row>
        <row r="491">
          <cell r="E491" t="str">
            <v>20210104</v>
          </cell>
        </row>
        <row r="492">
          <cell r="E492" t="str">
            <v>20210105</v>
          </cell>
        </row>
        <row r="493">
          <cell r="E493" t="str">
            <v>20210106</v>
          </cell>
        </row>
        <row r="494">
          <cell r="E494" t="str">
            <v>20210107</v>
          </cell>
        </row>
        <row r="495">
          <cell r="E495" t="str">
            <v>20210108</v>
          </cell>
        </row>
        <row r="496">
          <cell r="E496" t="str">
            <v>20210111</v>
          </cell>
        </row>
        <row r="497">
          <cell r="E497" t="str">
            <v>20210112</v>
          </cell>
        </row>
        <row r="498">
          <cell r="E498" t="str">
            <v>20210113</v>
          </cell>
        </row>
        <row r="499">
          <cell r="E499" t="str">
            <v>20210114</v>
          </cell>
        </row>
        <row r="500">
          <cell r="E500" t="str">
            <v>20210115</v>
          </cell>
        </row>
        <row r="501">
          <cell r="E501" t="str">
            <v>20210118</v>
          </cell>
        </row>
        <row r="502">
          <cell r="E502" t="str">
            <v>20210119</v>
          </cell>
        </row>
        <row r="503">
          <cell r="E503" t="str">
            <v>20210120</v>
          </cell>
        </row>
        <row r="504">
          <cell r="E504" t="str">
            <v>20210121</v>
          </cell>
        </row>
        <row r="505">
          <cell r="E505" t="str">
            <v>20210122</v>
          </cell>
        </row>
        <row r="506">
          <cell r="E506" t="str">
            <v>20210125</v>
          </cell>
        </row>
        <row r="507">
          <cell r="E507" t="str">
            <v>20210126</v>
          </cell>
        </row>
        <row r="508">
          <cell r="E508" t="str">
            <v>20210127</v>
          </cell>
        </row>
        <row r="509">
          <cell r="E509" t="str">
            <v>20210128</v>
          </cell>
        </row>
        <row r="510">
          <cell r="E510" t="str">
            <v>20210129</v>
          </cell>
        </row>
        <row r="511">
          <cell r="E511" t="str">
            <v>20210201</v>
          </cell>
        </row>
        <row r="512">
          <cell r="E512" t="str">
            <v>20210202</v>
          </cell>
        </row>
        <row r="513">
          <cell r="E513" t="str">
            <v>20210203</v>
          </cell>
        </row>
        <row r="514">
          <cell r="E514" t="str">
            <v>20210204</v>
          </cell>
        </row>
        <row r="515">
          <cell r="E515" t="str">
            <v>20210205</v>
          </cell>
        </row>
        <row r="516">
          <cell r="E516" t="str">
            <v>20210208</v>
          </cell>
        </row>
        <row r="517">
          <cell r="E517" t="str">
            <v>20210209</v>
          </cell>
        </row>
        <row r="518">
          <cell r="E518" t="str">
            <v>20210217</v>
          </cell>
        </row>
        <row r="519">
          <cell r="E519" t="str">
            <v>20210218</v>
          </cell>
        </row>
        <row r="520">
          <cell r="E520" t="str">
            <v>20210219</v>
          </cell>
        </row>
        <row r="521">
          <cell r="E521" t="str">
            <v>20210222</v>
          </cell>
        </row>
        <row r="522">
          <cell r="E522" t="str">
            <v>20210223</v>
          </cell>
        </row>
        <row r="523">
          <cell r="E523" t="str">
            <v>20210224</v>
          </cell>
        </row>
        <row r="524">
          <cell r="E524" t="str">
            <v>20210225</v>
          </cell>
        </row>
        <row r="525">
          <cell r="E525" t="str">
            <v>20210226</v>
          </cell>
        </row>
        <row r="526">
          <cell r="E526" t="str">
            <v>20210302</v>
          </cell>
        </row>
        <row r="527">
          <cell r="E527" t="str">
            <v>20210303</v>
          </cell>
        </row>
        <row r="528">
          <cell r="E528" t="str">
            <v>20210304</v>
          </cell>
        </row>
        <row r="529">
          <cell r="E529" t="str">
            <v>20210305</v>
          </cell>
        </row>
        <row r="530">
          <cell r="E530" t="str">
            <v>20210308</v>
          </cell>
        </row>
        <row r="531">
          <cell r="E531" t="str">
            <v>20210309</v>
          </cell>
        </row>
        <row r="532">
          <cell r="E532" t="str">
            <v>20210310</v>
          </cell>
        </row>
        <row r="533">
          <cell r="E533" t="str">
            <v>20210311</v>
          </cell>
        </row>
        <row r="534">
          <cell r="E534" t="str">
            <v>20210312</v>
          </cell>
        </row>
        <row r="535">
          <cell r="E535" t="str">
            <v>20210315</v>
          </cell>
        </row>
        <row r="536">
          <cell r="E536" t="str">
            <v>20210316</v>
          </cell>
        </row>
        <row r="537">
          <cell r="E537" t="str">
            <v>20210317</v>
          </cell>
        </row>
        <row r="538">
          <cell r="E538" t="str">
            <v>20210318</v>
          </cell>
        </row>
        <row r="539">
          <cell r="E539" t="str">
            <v>20210319</v>
          </cell>
        </row>
        <row r="540">
          <cell r="E540" t="str">
            <v>20210322</v>
          </cell>
        </row>
        <row r="541">
          <cell r="E541" t="str">
            <v>20210323</v>
          </cell>
        </row>
        <row r="542">
          <cell r="E542" t="str">
            <v>20210324</v>
          </cell>
        </row>
        <row r="543">
          <cell r="E543" t="str">
            <v>20210325</v>
          </cell>
        </row>
        <row r="544">
          <cell r="E544" t="str">
            <v>20210326</v>
          </cell>
        </row>
        <row r="545">
          <cell r="E545" t="str">
            <v>20210329</v>
          </cell>
        </row>
        <row r="546">
          <cell r="E546" t="str">
            <v>20210330</v>
          </cell>
        </row>
        <row r="547">
          <cell r="E547" t="str">
            <v>20210331</v>
          </cell>
        </row>
        <row r="548">
          <cell r="E548" t="str">
            <v>20210401</v>
          </cell>
        </row>
        <row r="549">
          <cell r="E549" t="str">
            <v>20210402</v>
          </cell>
        </row>
        <row r="550">
          <cell r="E550" t="str">
            <v>20210407</v>
          </cell>
        </row>
        <row r="551">
          <cell r="E551" t="str">
            <v>20210408</v>
          </cell>
        </row>
        <row r="552">
          <cell r="E552" t="str">
            <v>20210409</v>
          </cell>
        </row>
        <row r="553">
          <cell r="E553" t="str">
            <v>20210412</v>
          </cell>
        </row>
        <row r="554">
          <cell r="E554" t="str">
            <v>20210413</v>
          </cell>
        </row>
        <row r="555">
          <cell r="E555" t="str">
            <v>20210414</v>
          </cell>
        </row>
        <row r="556">
          <cell r="E556" t="str">
            <v>20210415</v>
          </cell>
        </row>
        <row r="557">
          <cell r="E557" t="str">
            <v>20210416</v>
          </cell>
        </row>
        <row r="558">
          <cell r="E558" t="str">
            <v>20210419</v>
          </cell>
        </row>
        <row r="559">
          <cell r="E559" t="str">
            <v>20210420</v>
          </cell>
        </row>
        <row r="560">
          <cell r="E560" t="str">
            <v>20210421</v>
          </cell>
        </row>
        <row r="561">
          <cell r="E561" t="str">
            <v>20210422</v>
          </cell>
        </row>
        <row r="562">
          <cell r="E562" t="str">
            <v>20210423</v>
          </cell>
        </row>
        <row r="563">
          <cell r="E563" t="str">
            <v>20210426</v>
          </cell>
        </row>
        <row r="564">
          <cell r="E564" t="str">
            <v>20210427</v>
          </cell>
        </row>
        <row r="565">
          <cell r="E565" t="str">
            <v>20210428</v>
          </cell>
        </row>
        <row r="566">
          <cell r="E566" t="str">
            <v>20210429</v>
          </cell>
        </row>
        <row r="567">
          <cell r="E567" t="str">
            <v>20210430</v>
          </cell>
        </row>
        <row r="568">
          <cell r="E568" t="str">
            <v>20210503</v>
          </cell>
        </row>
        <row r="569">
          <cell r="E569" t="str">
            <v>20210504</v>
          </cell>
        </row>
        <row r="570">
          <cell r="E570" t="str">
            <v>20210505</v>
          </cell>
        </row>
        <row r="571">
          <cell r="E571" t="str">
            <v>20210506</v>
          </cell>
        </row>
        <row r="572">
          <cell r="E572" t="str">
            <v>20210507</v>
          </cell>
        </row>
        <row r="573">
          <cell r="E573" t="str">
            <v>20210510</v>
          </cell>
        </row>
        <row r="574">
          <cell r="E574" t="str">
            <v>20210511</v>
          </cell>
        </row>
        <row r="575">
          <cell r="E575" t="str">
            <v>20210512</v>
          </cell>
        </row>
        <row r="576">
          <cell r="E576" t="str">
            <v>20210513</v>
          </cell>
        </row>
        <row r="577">
          <cell r="E577" t="str">
            <v>20210514</v>
          </cell>
        </row>
        <row r="578">
          <cell r="E578" t="str">
            <v>20210517</v>
          </cell>
        </row>
        <row r="579">
          <cell r="E579" t="str">
            <v>20210518</v>
          </cell>
        </row>
        <row r="580">
          <cell r="E580" t="str">
            <v>20210519</v>
          </cell>
        </row>
        <row r="581">
          <cell r="E581" t="str">
            <v>20210520</v>
          </cell>
        </row>
        <row r="582">
          <cell r="E582" t="str">
            <v>20210521</v>
          </cell>
        </row>
        <row r="583">
          <cell r="E583" t="str">
            <v>20210524</v>
          </cell>
        </row>
        <row r="584">
          <cell r="E584" t="str">
            <v>20210525</v>
          </cell>
        </row>
        <row r="585">
          <cell r="E585" t="str">
            <v>20210526</v>
          </cell>
        </row>
        <row r="586">
          <cell r="E586" t="str">
            <v>20210527</v>
          </cell>
        </row>
        <row r="587">
          <cell r="E587" t="str">
            <v>20210528</v>
          </cell>
        </row>
        <row r="588">
          <cell r="E588" t="str">
            <v>20210531</v>
          </cell>
        </row>
        <row r="589">
          <cell r="E589" t="str">
            <v>20210601</v>
          </cell>
        </row>
        <row r="590">
          <cell r="E590" t="str">
            <v>20210602</v>
          </cell>
        </row>
        <row r="591">
          <cell r="E591" t="str">
            <v>20210603</v>
          </cell>
        </row>
        <row r="592">
          <cell r="E592" t="str">
            <v>20210604</v>
          </cell>
        </row>
        <row r="593">
          <cell r="E593" t="str">
            <v>20210607</v>
          </cell>
        </row>
        <row r="594">
          <cell r="E594" t="str">
            <v>20210608</v>
          </cell>
        </row>
        <row r="595">
          <cell r="E595" t="str">
            <v>20210609</v>
          </cell>
        </row>
        <row r="596">
          <cell r="E596" t="str">
            <v>20210610</v>
          </cell>
        </row>
        <row r="597">
          <cell r="E597" t="str">
            <v>20210611</v>
          </cell>
        </row>
        <row r="598">
          <cell r="E598" t="str">
            <v>20210615</v>
          </cell>
        </row>
        <row r="599">
          <cell r="E599" t="str">
            <v>20210616</v>
          </cell>
        </row>
        <row r="600">
          <cell r="E600" t="str">
            <v>20210617</v>
          </cell>
        </row>
        <row r="601">
          <cell r="E601" t="str">
            <v>20210618</v>
          </cell>
        </row>
        <row r="602">
          <cell r="E602" t="str">
            <v>20210621</v>
          </cell>
        </row>
        <row r="603">
          <cell r="E603" t="str">
            <v>20210622</v>
          </cell>
        </row>
        <row r="604">
          <cell r="E604" t="str">
            <v>20210623</v>
          </cell>
        </row>
        <row r="605">
          <cell r="E605" t="str">
            <v>20210624</v>
          </cell>
        </row>
        <row r="606">
          <cell r="E606" t="str">
            <v>20210625</v>
          </cell>
        </row>
        <row r="607">
          <cell r="E607" t="str">
            <v>20210628</v>
          </cell>
        </row>
        <row r="608">
          <cell r="E608" t="str">
            <v>20210629</v>
          </cell>
        </row>
        <row r="609">
          <cell r="E609" t="str">
            <v>20210630</v>
          </cell>
        </row>
        <row r="610">
          <cell r="E610" t="str">
            <v>20210701</v>
          </cell>
        </row>
        <row r="611">
          <cell r="E611" t="str">
            <v>20210702</v>
          </cell>
        </row>
        <row r="612">
          <cell r="E612" t="str">
            <v>20210705</v>
          </cell>
        </row>
        <row r="613">
          <cell r="E613" t="str">
            <v>20210706</v>
          </cell>
        </row>
        <row r="614">
          <cell r="E614" t="str">
            <v>20210707</v>
          </cell>
        </row>
        <row r="615">
          <cell r="E615" t="str">
            <v>20210708</v>
          </cell>
        </row>
        <row r="616">
          <cell r="E616" t="str">
            <v>20210709</v>
          </cell>
        </row>
        <row r="617">
          <cell r="E617" t="str">
            <v>20210712</v>
          </cell>
        </row>
        <row r="618">
          <cell r="E618" t="str">
            <v>20210713</v>
          </cell>
        </row>
        <row r="619">
          <cell r="E619" t="str">
            <v>20210714</v>
          </cell>
        </row>
        <row r="620">
          <cell r="E620" t="str">
            <v>20210715</v>
          </cell>
        </row>
        <row r="621">
          <cell r="E621" t="str">
            <v>20210716</v>
          </cell>
        </row>
        <row r="622">
          <cell r="E622" t="str">
            <v>20210719</v>
          </cell>
        </row>
        <row r="623">
          <cell r="E623" t="str">
            <v>20210720</v>
          </cell>
        </row>
        <row r="624">
          <cell r="E624" t="str">
            <v>20210721</v>
          </cell>
        </row>
        <row r="625">
          <cell r="E625" t="str">
            <v>20210722</v>
          </cell>
        </row>
        <row r="626">
          <cell r="E626" t="str">
            <v>20210723</v>
          </cell>
        </row>
        <row r="627">
          <cell r="E627" t="str">
            <v>20210726</v>
          </cell>
        </row>
        <row r="628">
          <cell r="E628" t="str">
            <v>20210727</v>
          </cell>
        </row>
        <row r="629">
          <cell r="E629" t="str">
            <v>20210728</v>
          </cell>
        </row>
        <row r="630">
          <cell r="E630" t="str">
            <v>20210729</v>
          </cell>
        </row>
        <row r="631">
          <cell r="E631" t="str">
            <v>20210730</v>
          </cell>
        </row>
        <row r="632">
          <cell r="E632" t="str">
            <v>20210802</v>
          </cell>
        </row>
        <row r="633">
          <cell r="E633" t="str">
            <v>20210803</v>
          </cell>
        </row>
        <row r="634">
          <cell r="E634" t="str">
            <v>20210804</v>
          </cell>
        </row>
        <row r="635">
          <cell r="E635" t="str">
            <v>20210805</v>
          </cell>
        </row>
        <row r="636">
          <cell r="E636" t="str">
            <v>20210806</v>
          </cell>
        </row>
        <row r="637">
          <cell r="E637" t="str">
            <v>20210809</v>
          </cell>
        </row>
        <row r="638">
          <cell r="E638" t="str">
            <v>20210810</v>
          </cell>
        </row>
        <row r="639">
          <cell r="E639" t="str">
            <v>20210811</v>
          </cell>
        </row>
        <row r="640">
          <cell r="E640" t="str">
            <v>20210812</v>
          </cell>
        </row>
        <row r="641">
          <cell r="E641" t="str">
            <v>20210813</v>
          </cell>
        </row>
        <row r="642">
          <cell r="E642" t="str">
            <v>20210816</v>
          </cell>
        </row>
        <row r="643">
          <cell r="E643" t="str">
            <v>20210817</v>
          </cell>
        </row>
        <row r="644">
          <cell r="E644" t="str">
            <v>20210818</v>
          </cell>
        </row>
        <row r="645">
          <cell r="E645" t="str">
            <v>20210819</v>
          </cell>
        </row>
        <row r="646">
          <cell r="E646" t="str">
            <v>20210820</v>
          </cell>
        </row>
        <row r="647">
          <cell r="E647" t="str">
            <v>20210823</v>
          </cell>
        </row>
        <row r="648">
          <cell r="E648" t="str">
            <v>20210824</v>
          </cell>
        </row>
        <row r="649">
          <cell r="E649" t="str">
            <v>20210825</v>
          </cell>
        </row>
        <row r="650">
          <cell r="E650" t="str">
            <v>20210826</v>
          </cell>
        </row>
        <row r="651">
          <cell r="E651" t="str">
            <v>20210827</v>
          </cell>
        </row>
        <row r="652">
          <cell r="E652" t="str">
            <v>20210830</v>
          </cell>
        </row>
        <row r="653">
          <cell r="E653" t="str">
            <v>20210831</v>
          </cell>
        </row>
        <row r="654">
          <cell r="E654" t="str">
            <v>20210901</v>
          </cell>
        </row>
        <row r="655">
          <cell r="E655" t="str">
            <v>20210902</v>
          </cell>
        </row>
        <row r="656">
          <cell r="E656" t="str">
            <v>20210903</v>
          </cell>
        </row>
        <row r="657">
          <cell r="E657" t="str">
            <v>20210906</v>
          </cell>
        </row>
        <row r="658">
          <cell r="E658" t="str">
            <v>20210907</v>
          </cell>
        </row>
        <row r="659">
          <cell r="E659" t="str">
            <v>20210908</v>
          </cell>
        </row>
        <row r="660">
          <cell r="E660" t="str">
            <v>20210909</v>
          </cell>
        </row>
        <row r="661">
          <cell r="E661" t="str">
            <v>20210910</v>
          </cell>
        </row>
        <row r="662">
          <cell r="E662" t="str">
            <v>20210913</v>
          </cell>
        </row>
        <row r="663">
          <cell r="E663" t="str">
            <v>20210914</v>
          </cell>
        </row>
        <row r="664">
          <cell r="E664" t="str">
            <v>20210915</v>
          </cell>
        </row>
        <row r="665">
          <cell r="E665" t="str">
            <v>20210916</v>
          </cell>
        </row>
        <row r="666">
          <cell r="E666" t="str">
            <v>20210917</v>
          </cell>
        </row>
        <row r="667">
          <cell r="E667" t="str">
            <v>20210922</v>
          </cell>
        </row>
        <row r="668">
          <cell r="E668" t="str">
            <v>20210923</v>
          </cell>
        </row>
        <row r="669">
          <cell r="E669" t="str">
            <v>20210924</v>
          </cell>
        </row>
        <row r="670">
          <cell r="E670" t="str">
            <v>20210927</v>
          </cell>
        </row>
        <row r="671">
          <cell r="E671" t="str">
            <v>20210928</v>
          </cell>
        </row>
        <row r="672">
          <cell r="E672" t="str">
            <v>20210929</v>
          </cell>
        </row>
        <row r="673">
          <cell r="E673" t="str">
            <v>20210930</v>
          </cell>
        </row>
        <row r="674">
          <cell r="E674" t="str">
            <v>20211001</v>
          </cell>
        </row>
        <row r="675">
          <cell r="E675" t="str">
            <v>20211004</v>
          </cell>
        </row>
        <row r="676">
          <cell r="E676" t="str">
            <v>20211005</v>
          </cell>
        </row>
        <row r="677">
          <cell r="E677" t="str">
            <v>20211006</v>
          </cell>
        </row>
        <row r="678">
          <cell r="E678" t="str">
            <v>20211007</v>
          </cell>
        </row>
        <row r="679">
          <cell r="E679" t="str">
            <v>20211008</v>
          </cell>
        </row>
        <row r="680">
          <cell r="E680" t="str">
            <v>20211012</v>
          </cell>
        </row>
        <row r="681">
          <cell r="E681" t="str">
            <v>20211013</v>
          </cell>
        </row>
        <row r="682">
          <cell r="E682" t="str">
            <v>20211014</v>
          </cell>
        </row>
        <row r="683">
          <cell r="E683" t="str">
            <v>20211015</v>
          </cell>
        </row>
        <row r="684">
          <cell r="E684" t="str">
            <v>20211018</v>
          </cell>
        </row>
        <row r="685">
          <cell r="E685" t="str">
            <v>20211019</v>
          </cell>
        </row>
        <row r="686">
          <cell r="E686" t="str">
            <v>20211020</v>
          </cell>
        </row>
        <row r="687">
          <cell r="E687" t="str">
            <v>20211021</v>
          </cell>
        </row>
        <row r="688">
          <cell r="E688" t="str">
            <v>20211022</v>
          </cell>
        </row>
        <row r="689">
          <cell r="E689" t="str">
            <v>20211025</v>
          </cell>
        </row>
        <row r="690">
          <cell r="E690" t="str">
            <v>20211026</v>
          </cell>
        </row>
        <row r="691">
          <cell r="E691" t="str">
            <v>20211027</v>
          </cell>
        </row>
        <row r="692">
          <cell r="E692" t="str">
            <v>20211028</v>
          </cell>
        </row>
        <row r="693">
          <cell r="E693" t="str">
            <v>20211029</v>
          </cell>
        </row>
        <row r="694">
          <cell r="E694" t="str">
            <v>20211101</v>
          </cell>
        </row>
        <row r="695">
          <cell r="E695" t="str">
            <v>20211102</v>
          </cell>
        </row>
        <row r="696">
          <cell r="E696" t="str">
            <v>20211103</v>
          </cell>
        </row>
        <row r="697">
          <cell r="E697" t="str">
            <v>20211104</v>
          </cell>
        </row>
        <row r="698">
          <cell r="E698" t="str">
            <v>20211105</v>
          </cell>
        </row>
        <row r="699">
          <cell r="E699" t="str">
            <v>20211108</v>
          </cell>
        </row>
        <row r="700">
          <cell r="E700" t="str">
            <v>20211109</v>
          </cell>
        </row>
        <row r="701">
          <cell r="E701" t="str">
            <v>20211110</v>
          </cell>
        </row>
        <row r="702">
          <cell r="E702" t="str">
            <v>20211111</v>
          </cell>
        </row>
        <row r="703">
          <cell r="E703" t="str">
            <v>20211112</v>
          </cell>
        </row>
        <row r="704">
          <cell r="E704" t="str">
            <v>20211115</v>
          </cell>
        </row>
        <row r="705">
          <cell r="E705" t="str">
            <v>20211116</v>
          </cell>
        </row>
        <row r="706">
          <cell r="E706" t="str">
            <v>20211117</v>
          </cell>
        </row>
        <row r="707">
          <cell r="E707" t="str">
            <v>20211118</v>
          </cell>
        </row>
        <row r="708">
          <cell r="E708" t="str">
            <v>20211119</v>
          </cell>
        </row>
        <row r="709">
          <cell r="E709" t="str">
            <v>20211122</v>
          </cell>
        </row>
        <row r="710">
          <cell r="E710" t="str">
            <v>20211123</v>
          </cell>
        </row>
        <row r="711">
          <cell r="E711" t="str">
            <v>20211124</v>
          </cell>
        </row>
        <row r="712">
          <cell r="E712" t="str">
            <v>20211125</v>
          </cell>
        </row>
        <row r="713">
          <cell r="E713" t="str">
            <v>20211126</v>
          </cell>
        </row>
        <row r="714">
          <cell r="E714" t="str">
            <v>20211129</v>
          </cell>
        </row>
        <row r="715">
          <cell r="E715" t="str">
            <v>20211130</v>
          </cell>
        </row>
        <row r="716">
          <cell r="E716" t="str">
            <v>20211201</v>
          </cell>
        </row>
        <row r="717">
          <cell r="E717" t="str">
            <v>20211202</v>
          </cell>
        </row>
        <row r="718">
          <cell r="E718" t="str">
            <v>20211203</v>
          </cell>
        </row>
        <row r="719">
          <cell r="E719" t="str">
            <v>20211206</v>
          </cell>
        </row>
        <row r="720">
          <cell r="E720" t="str">
            <v>20211207</v>
          </cell>
        </row>
        <row r="721">
          <cell r="E721" t="str">
            <v>20211208</v>
          </cell>
        </row>
        <row r="722">
          <cell r="E722" t="str">
            <v>20211209</v>
          </cell>
        </row>
        <row r="723">
          <cell r="E723" t="str">
            <v>20211210</v>
          </cell>
        </row>
        <row r="724">
          <cell r="E724" t="str">
            <v>20211213</v>
          </cell>
        </row>
        <row r="725">
          <cell r="E725" t="str">
            <v>20211214</v>
          </cell>
        </row>
        <row r="726">
          <cell r="E726" t="str">
            <v>20211215</v>
          </cell>
        </row>
        <row r="727">
          <cell r="E727" t="str">
            <v>20211216</v>
          </cell>
        </row>
        <row r="728">
          <cell r="E728" t="str">
            <v>20211217</v>
          </cell>
        </row>
        <row r="729">
          <cell r="E729" t="str">
            <v>20211220</v>
          </cell>
        </row>
        <row r="730">
          <cell r="E730" t="str">
            <v>20211221</v>
          </cell>
        </row>
        <row r="731">
          <cell r="E731" t="str">
            <v>20211222</v>
          </cell>
        </row>
        <row r="732">
          <cell r="E732" t="str">
            <v>20211223</v>
          </cell>
        </row>
        <row r="733">
          <cell r="E733" t="str">
            <v>20211224</v>
          </cell>
        </row>
        <row r="734">
          <cell r="E734" t="str">
            <v>20211227</v>
          </cell>
        </row>
        <row r="735">
          <cell r="E735" t="str">
            <v>20211228</v>
          </cell>
        </row>
        <row r="736">
          <cell r="E736" t="str">
            <v>20211229</v>
          </cell>
        </row>
        <row r="737">
          <cell r="E737" t="str">
            <v>20211230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XQLITE" ddeTopic="Quote">
    <ddeItems>
      <ddeItem name="0050.TW-BestAsk1" advise="1">
        <values>
          <value>
            <val>128.94999999999999</val>
          </value>
        </values>
      </ddeItem>
      <ddeItem name="0050.TW-BestBid1" advise="1">
        <values>
          <value>
            <val>128.9</val>
          </value>
        </values>
      </ddeItem>
      <ddeItem name="0050.TW-Open" advise="1">
        <values>
          <value>
            <val>128.5</val>
          </value>
        </values>
      </ddeItem>
      <ddeItem name="0050.TW-PreClose" advise="1">
        <values>
          <value>
            <val>127.5</val>
          </value>
        </values>
      </ddeItem>
      <ddeItem name="0050.TW-Price" advise="1">
        <values>
          <value>
            <val>128.94999999999999</val>
          </value>
        </values>
      </ddeItem>
      <ddeItem name="0050N.TW-Price" advise="1">
        <values>
          <value>
            <val>128.80000000000001</val>
          </value>
        </values>
      </ddeItem>
      <ddeItem name="0051.TW-BestAsk1" advise="1">
        <values>
          <value>
            <val>49</val>
          </value>
        </values>
      </ddeItem>
      <ddeItem name="0051.TW-BestBid1" advise="1">
        <values>
          <value>
            <val>48.82</val>
          </value>
        </values>
      </ddeItem>
      <ddeItem name="0051.TW-Open" advise="1">
        <values>
          <value>
            <val>49.3</val>
          </value>
        </values>
      </ddeItem>
      <ddeItem name="0051.TW-PreClose" advise="1">
        <values>
          <value>
            <val>48.79</val>
          </value>
        </values>
      </ddeItem>
      <ddeItem name="0051.TW-Price" advise="1">
        <values>
          <value>
            <val>48.82</val>
          </value>
        </values>
      </ddeItem>
      <ddeItem name="0051N.TW-Price" advise="1">
        <values>
          <value>
            <val>48.9</val>
          </value>
        </values>
      </ddeItem>
      <ddeItem name="0052.TW-BestAsk1" advise="1">
        <values>
          <value>
            <val>116.15</val>
          </value>
        </values>
      </ddeItem>
      <ddeItem name="0052.TW-BestBid1" advise="1">
        <values>
          <value>
            <val>116</val>
          </value>
        </values>
      </ddeItem>
      <ddeItem name="0052.TW-Open" advise="1">
        <values>
          <value>
            <val>116.5</val>
          </value>
        </values>
      </ddeItem>
      <ddeItem name="0052.TW-PreClose" advise="1">
        <values>
          <value>
            <val>114.4</val>
          </value>
        </values>
      </ddeItem>
      <ddeItem name="0052.TW-Price" advise="1">
        <values>
          <value>
            <val>116.15</val>
          </value>
        </values>
      </ddeItem>
      <ddeItem name="0052N.TW-Price" advise="1">
        <values>
          <value>
            <val>115.94</val>
          </value>
        </values>
      </ddeItem>
      <ddeItem name="0053.TW-BestAsk1" advise="1">
        <values>
          <value>
            <val>61.2</val>
          </value>
        </values>
      </ddeItem>
      <ddeItem name="0053.TW-BestBid1" advise="1">
        <values>
          <value>
            <val>60.85</val>
          </value>
        </values>
      </ddeItem>
      <ddeItem name="0053.TW-Open" advise="1">
        <values>
          <value>
            <val>61.3</val>
          </value>
        </values>
      </ddeItem>
      <ddeItem name="0053.TW-PreClose" advise="1">
        <values>
          <value>
            <val>60</val>
          </value>
        </values>
      </ddeItem>
      <ddeItem name="0053.TW-Price" advise="1">
        <values>
          <value>
            <val>61.1</val>
          </value>
        </values>
      </ddeItem>
      <ddeItem name="0053N.TW-Price" advise="1">
        <values>
          <value>
            <val>61.39</val>
          </value>
        </values>
      </ddeItem>
      <ddeItem name="0054.TW-BestAsk1" advise="1">
        <values>
          <value>
            <val>29.25</val>
          </value>
        </values>
      </ddeItem>
      <ddeItem name="0054.TW-BestBid1" advise="1">
        <values>
          <value>
            <val>29.12</val>
          </value>
        </values>
      </ddeItem>
      <ddeItem name="0054.TW-Open" advise="1">
        <values>
          <value>
            <val>28.88</val>
          </value>
        </values>
      </ddeItem>
      <ddeItem name="0054.TW-PreClose" advise="1">
        <values>
          <value>
            <val>28.74</val>
          </value>
        </values>
      </ddeItem>
      <ddeItem name="0054.TW-Price" advise="1">
        <values>
          <value>
            <val>29.12</val>
          </value>
        </values>
      </ddeItem>
      <ddeItem name="0054N.TW-Price" advise="1">
        <values>
          <value>
            <val>29.29</val>
          </value>
        </values>
      </ddeItem>
      <ddeItem name="0055.TW-BestAsk1" advise="1">
        <values>
          <value>
            <val>20.39</val>
          </value>
        </values>
      </ddeItem>
      <ddeItem name="0055.TW-BestBid1" advise="1">
        <values>
          <value>
            <val>20.38</val>
          </value>
        </values>
      </ddeItem>
      <ddeItem name="0055.TW-Open" advise="1">
        <values>
          <value>
            <val>20.41</val>
          </value>
        </values>
      </ddeItem>
      <ddeItem name="0055.TW-PreClose" advise="1">
        <values>
          <value>
            <val>20.28</val>
          </value>
        </values>
      </ddeItem>
      <ddeItem name="0055.TW-Price" advise="1">
        <values>
          <value>
            <val>20.38</val>
          </value>
        </values>
      </ddeItem>
      <ddeItem name="0055N.TW-Price" advise="1">
        <values>
          <value>
            <val>20.43</val>
          </value>
        </values>
      </ddeItem>
      <ddeItem name="0056.TW-BestAsk1" advise="1">
        <values>
          <value>
            <val>33.65</val>
          </value>
        </values>
      </ddeItem>
      <ddeItem name="0056.TW-BestBid1" advise="1">
        <values>
          <value>
            <val>33.64</val>
          </value>
        </values>
      </ddeItem>
      <ddeItem name="0056.TW-Open" advise="1">
        <values>
          <value>
            <val>33.5</val>
          </value>
        </values>
      </ddeItem>
      <ddeItem name="0056.TW-PreClose" advise="1">
        <values>
          <value>
            <val>33.4</val>
          </value>
        </values>
      </ddeItem>
      <ddeItem name="0056.TW-Price" advise="1">
        <values>
          <value>
            <val>33.65</val>
          </value>
        </values>
      </ddeItem>
      <ddeItem name="0056N.TW-Price" advise="1">
        <values>
          <value>
            <val>33.549999999999997</val>
          </value>
        </values>
      </ddeItem>
      <ddeItem name="0057.TW-BestAsk1" advise="1">
        <values>
          <value>
            <val>87.15</val>
          </value>
        </values>
      </ddeItem>
      <ddeItem name="0057.TW-BestBid1" advise="1">
        <values>
          <value>
            <val>86.75</val>
          </value>
        </values>
      </ddeItem>
      <ddeItem name="0057.TW-Open" advise="1">
        <values>
          <value>
            <val>87</val>
          </value>
        </values>
      </ddeItem>
      <ddeItem name="0057.TW-PreClose" advise="1">
        <values>
          <value>
            <val>86</val>
          </value>
        </values>
      </ddeItem>
      <ddeItem name="0057.TW-Price" advise="1">
        <values>
          <value>
            <val>86.8</val>
          </value>
        </values>
      </ddeItem>
      <ddeItem name="0057N.TW-Price" advise="1">
        <values>
          <value>
            <val>87.72</val>
          </value>
        </values>
      </ddeItem>
      <ddeItem name="0061.TW-BestAsk1" advise="1">
        <values>
          <value>
            <val>23.37</val>
          </value>
        </values>
      </ddeItem>
      <ddeItem name="0061.TW-BestBid1" advise="1">
        <values>
          <value>
            <val>23.35</val>
          </value>
        </values>
      </ddeItem>
      <ddeItem name="0061.TW-Open" advise="1">
        <values>
          <value>
            <val>22.98</val>
          </value>
        </values>
      </ddeItem>
      <ddeItem name="0061.TW-PreClose" advise="1">
        <values>
          <value>
            <val>22.98</val>
          </value>
        </values>
      </ddeItem>
      <ddeItem name="0061.TW-Price" advise="1">
        <values>
          <value>
            <val>23.37</val>
          </value>
        </values>
      </ddeItem>
      <ddeItem name="0061N.TW-Price" advise="1">
        <values>
          <value>
            <val>23.71</val>
          </value>
        </values>
      </ddeItem>
      <ddeItem name="006201.TW-BestAsk1" advise="1">
        <values>
          <value>
            <val>17.690000000000001</val>
          </value>
        </values>
      </ddeItem>
      <ddeItem name="006201.TW-BestBid1" advise="1">
        <values>
          <value>
            <val>17.63</val>
          </value>
        </values>
      </ddeItem>
      <ddeItem name="006201.TW-Open" advise="1">
        <values>
          <value>
            <val>17.760000000000002</val>
          </value>
        </values>
      </ddeItem>
      <ddeItem name="006201.TW-PreClose" advise="1">
        <values>
          <value>
            <val>17.64</val>
          </value>
        </values>
      </ddeItem>
      <ddeItem name="006201.TW-Price" advise="1">
        <values>
          <value>
            <val>17.63</val>
          </value>
        </values>
      </ddeItem>
      <ddeItem name="006201N.TW-Price" advise="1">
        <values>
          <value>
            <val>17.510000000000002</val>
          </value>
        </values>
      </ddeItem>
      <ddeItem name="006203.TW-BestAsk1" advise="1">
        <values>
          <value>
            <val>60.7</val>
          </value>
        </values>
      </ddeItem>
      <ddeItem name="006203.TW-BestBid1" advise="1">
        <values>
          <value>
            <val>60.45</val>
          </value>
        </values>
      </ddeItem>
      <ddeItem name="006203.TW-Open" advise="1">
        <values>
          <value>
            <val>60.9</val>
          </value>
        </values>
      </ddeItem>
      <ddeItem name="006203.TW-PreClose" advise="1">
        <values>
          <value>
            <val>60.15</val>
          </value>
        </values>
      </ddeItem>
      <ddeItem name="006203.TW-Price" advise="1">
        <values>
          <value>
            <val>60.4</val>
          </value>
        </values>
      </ddeItem>
      <ddeItem name="006203N.TW-Price" advise="1">
        <values>
          <value>
            <val>60.87</val>
          </value>
        </values>
      </ddeItem>
      <ddeItem name="006204.TW-BestAsk1" advise="1">
        <values>
          <value>
            <val>80.45</val>
          </value>
        </values>
      </ddeItem>
      <ddeItem name="006204.TW-BestBid1" advise="1">
        <values>
          <value>
            <val>80.150000000000006</val>
          </value>
        </values>
      </ddeItem>
      <ddeItem name="006204.TW-Open" advise="1">
        <values>
          <value>
            <val>81</val>
          </value>
        </values>
      </ddeItem>
      <ddeItem name="006204.TW-PreClose" advise="1">
        <values>
          <value>
            <val>81</val>
          </value>
        </values>
      </ddeItem>
      <ddeItem name="006204.TW-Price" advise="1">
        <values>
          <value>
            <val>80.2</val>
          </value>
        </values>
      </ddeItem>
      <ddeItem name="006204N.TW-Price" advise="1">
        <values>
          <value>
            <val>80.39</val>
          </value>
        </values>
      </ddeItem>
      <ddeItem name="006205.TW-BestAsk1" advise="1">
        <values>
          <value>
            <val>37.96</val>
          </value>
        </values>
      </ddeItem>
      <ddeItem name="006205.TW-BestBid1" advise="1">
        <values>
          <value>
            <val>37.950000000000003</val>
          </value>
        </values>
      </ddeItem>
      <ddeItem name="006205.TW-Open" advise="1">
        <values>
          <value>
            <val>37.299999999999997</val>
          </value>
        </values>
      </ddeItem>
      <ddeItem name="006205.TW-PreClose" advise="1">
        <values>
          <value>
            <val>37.15</val>
          </value>
        </values>
      </ddeItem>
      <ddeItem name="006205.TW-Price" advise="1">
        <values>
          <value>
            <val>37.950000000000003</val>
          </value>
        </values>
      </ddeItem>
      <ddeItem name="006205N.TW-Price" advise="1">
        <values>
          <value>
            <val>38.200000000000003</val>
          </value>
        </values>
      </ddeItem>
      <ddeItem name="006206.TW-BestAsk1" advise="1">
        <values>
          <value>
            <val>38.06</val>
          </value>
        </values>
      </ddeItem>
      <ddeItem name="006206.TW-BestBid1" advise="1">
        <values>
          <value>
            <val>38.049999999999997</val>
          </value>
        </values>
      </ddeItem>
      <ddeItem name="006206.TW-Open" advise="1">
        <values>
          <value>
            <val>37.31</val>
          </value>
        </values>
      </ddeItem>
      <ddeItem name="006206.TW-PreClose" advise="1">
        <values>
          <value>
            <val>37.15</val>
          </value>
        </values>
      </ddeItem>
      <ddeItem name="006206.TW-Price" advise="1">
        <values>
          <value>
            <val>38.049999999999997</val>
          </value>
        </values>
      </ddeItem>
      <ddeItem name="006206N.TW-Price" advise="1">
        <values>
          <value>
            <val>38.47</val>
          </value>
        </values>
      </ddeItem>
      <ddeItem name="006207.TW-BestAsk1" advise="1">
        <values>
          <value>
            <val>30.64</val>
          </value>
        </values>
      </ddeItem>
      <ddeItem name="006207.TW-BestBid1" advise="1">
        <values>
          <value>
            <val>30.61</val>
          </value>
        </values>
      </ddeItem>
      <ddeItem name="006207.TW-Open" advise="1">
        <values>
          <value>
            <val>30.05</val>
          </value>
        </values>
      </ddeItem>
      <ddeItem name="006207.TW-PreClose" advise="1">
        <values>
          <value>
            <val>30.03</val>
          </value>
        </values>
      </ddeItem>
      <ddeItem name="006207.TW-Price" advise="1">
        <values>
          <value>
            <val>30.62</val>
          </value>
        </values>
      </ddeItem>
      <ddeItem name="006207N.TW-Price" advise="1">
        <values>
          <value>
            <val>30.94</val>
          </value>
        </values>
      </ddeItem>
      <ddeItem name="006208.TW-BestAsk1" advise="1">
        <values>
          <value>
            <val>74.099999999999994</val>
          </value>
        </values>
      </ddeItem>
      <ddeItem name="006208.TW-BestBid1" advise="1">
        <values>
          <value>
            <val>74.05</val>
          </value>
        </values>
      </ddeItem>
      <ddeItem name="006208.TW-Open" advise="1">
        <values>
          <value>
            <val>73.5</val>
          </value>
        </values>
      </ddeItem>
      <ddeItem name="006208.TW-PreClose" advise="1">
        <values>
          <value>
            <val>73.099999999999994</val>
          </value>
        </values>
      </ddeItem>
      <ddeItem name="006208.TW-Price" advise="1">
        <values>
          <value>
            <val>74.099999999999994</val>
          </value>
        </values>
      </ddeItem>
      <ddeItem name="006208N.TW-Price" advise="1">
        <values>
          <value>
            <val>73.92</val>
          </value>
        </values>
      </ddeItem>
      <ddeItem name="00625K.TW-BestAsk1" advise="1">
        <values>
          <value>
            <val>8.8800000000000008</val>
          </value>
        </values>
      </ddeItem>
      <ddeItem name="00625K.TW-BestBid1" advise="1">
        <values>
          <value>
            <val>8.69</val>
          </value>
        </values>
      </ddeItem>
      <ddeItem name="00625K.TW-Open" advise="1">
        <values>
          <value t="str">
            <val>--</val>
          </value>
        </values>
      </ddeItem>
      <ddeItem name="00625K.TW-PreClose" advise="1">
        <values>
          <value>
            <val>8.7100000000000009</val>
          </value>
        </values>
      </ddeItem>
      <ddeItem name="00625K.TW-Price" advise="1">
        <values>
          <value t="str">
            <val>--</val>
          </value>
        </values>
      </ddeItem>
      <ddeItem name="00625KN.TW-Price" advise="1">
        <values>
          <value>
            <val>8.7899999999999991</val>
          </value>
        </values>
      </ddeItem>
      <ddeItem name="00631L.TW-BestAsk1" advise="1">
        <values>
          <value>
            <val>105.2</val>
          </value>
        </values>
      </ddeItem>
      <ddeItem name="00631L.TW-BestBid1" advise="1">
        <values>
          <value>
            <val>105.15</val>
          </value>
        </values>
      </ddeItem>
      <ddeItem name="00631L.TW-Open" advise="1">
        <values>
          <value>
            <val>105.5</val>
          </value>
        </values>
      </ddeItem>
      <ddeItem name="00631L.TW-PreClose" advise="1">
        <values>
          <value>
            <val>102.6</val>
          </value>
        </values>
      </ddeItem>
      <ddeItem name="00631L.TW-Price" advise="1">
        <values>
          <value>
            <val>105.2</val>
          </value>
        </values>
      </ddeItem>
      <ddeItem name="00631LN.TW-Price" advise="1">
        <values>
          <value>
            <val>104.77</val>
          </value>
        </values>
      </ddeItem>
      <ddeItem name="00632R.TW-BestAsk1" advise="1">
        <values>
          <value>
            <val>6.3</val>
          </value>
        </values>
      </ddeItem>
      <ddeItem name="00632R.TW-BestBid1" advise="1">
        <values>
          <value>
            <val>6.29</val>
          </value>
        </values>
      </ddeItem>
      <ddeItem name="00632R.TW-Open" advise="1">
        <values>
          <value>
            <val>6.26</val>
          </value>
        </values>
      </ddeItem>
      <ddeItem name="00632R.TW-PreClose" advise="1">
        <values>
          <value>
            <val>6.35</val>
          </value>
        </values>
      </ddeItem>
      <ddeItem name="00632R.TW-Price" advise="1">
        <values>
          <value>
            <val>6.3</val>
          </value>
        </values>
      </ddeItem>
      <ddeItem name="00632RN.TW-Price" advise="1">
        <values>
          <value>
            <val>6.29</val>
          </value>
        </values>
      </ddeItem>
      <ddeItem name="00633L.TW-BestAsk1" advise="1">
        <values>
          <value>
            <val>66.5</val>
          </value>
        </values>
      </ddeItem>
      <ddeItem name="00633L.TW-BestBid1" advise="1">
        <values>
          <value>
            <val>66.45</val>
          </value>
        </values>
      </ddeItem>
      <ddeItem name="00633L.TW-Open" advise="1">
        <values>
          <value>
            <val>64.099999999999994</val>
          </value>
        </values>
      </ddeItem>
      <ddeItem name="00633L.TW-PreClose" advise="1">
        <values>
          <value>
            <val>63.1</val>
          </value>
        </values>
      </ddeItem>
      <ddeItem name="00633L.TW-Price" advise="1">
        <values>
          <value>
            <val>66.5</val>
          </value>
        </values>
      </ddeItem>
      <ddeItem name="00633LN.TW-Price" advise="1">
        <values>
          <value>
            <val>66.97</val>
          </value>
        </values>
      </ddeItem>
      <ddeItem name="00634R.TW-BestAsk1" advise="1">
        <values>
          <value>
            <val>3.9</val>
          </value>
        </values>
      </ddeItem>
      <ddeItem name="00634R.TW-BestBid1" advise="1">
        <values>
          <value>
            <val>3.89</val>
          </value>
        </values>
      </ddeItem>
      <ddeItem name="00634R.TW-Open" advise="1">
        <values>
          <value>
            <val>3.96</val>
          </value>
        </values>
      </ddeItem>
      <ddeItem name="00634R.TW-PreClose" advise="1">
        <values>
          <value>
            <val>4</val>
          </value>
        </values>
      </ddeItem>
      <ddeItem name="00634R.TW-Price" advise="1">
        <values>
          <value>
            <val>3.9</val>
          </value>
        </values>
      </ddeItem>
      <ddeItem name="00634RN.TW-Price" advise="1">
        <values>
          <value>
            <val>3.89</val>
          </value>
        </values>
      </ddeItem>
      <ddeItem name="00635U.TW-BestAsk1" advise="1">
        <values>
          <value>
            <val>24.46</val>
          </value>
        </values>
      </ddeItem>
      <ddeItem name="00635U.TW-BestBid1" advise="1">
        <values>
          <value>
            <val>24.45</val>
          </value>
        </values>
      </ddeItem>
      <ddeItem name="00635U.TW-Open" advise="1">
        <values>
          <value>
            <val>24.48</val>
          </value>
        </values>
      </ddeItem>
      <ddeItem name="00635U.TW-PreClose" advise="1">
        <values>
          <value>
            <val>24.4</val>
          </value>
        </values>
      </ddeItem>
      <ddeItem name="00635U.TW-Price" advise="1">
        <values>
          <value>
            <val>24.46</val>
          </value>
        </values>
      </ddeItem>
      <ddeItem name="00635UN.TW-Price" advise="1">
        <values>
          <value>
            <val>24.63</val>
          </value>
        </values>
      </ddeItem>
      <ddeItem name="00636.TW-BestAsk1" advise="1">
        <values>
          <value>
            <val>27.12</val>
          </value>
        </values>
      </ddeItem>
      <ddeItem name="00636.TW-BestBid1" advise="1">
        <values>
          <value>
            <val>27.11</val>
          </value>
        </values>
      </ddeItem>
      <ddeItem name="00636.TW-Open" advise="1">
        <values>
          <value>
            <val>26.59</val>
          </value>
        </values>
      </ddeItem>
      <ddeItem name="00636.TW-PreClose" advise="1">
        <values>
          <value>
            <val>26.44</val>
          </value>
        </values>
      </ddeItem>
      <ddeItem name="00636.TW-Price" advise="1">
        <values>
          <value>
            <val>27.11</val>
          </value>
        </values>
      </ddeItem>
      <ddeItem name="00636K.TW-BestAsk1" advise="1">
        <values>
          <value>
            <val>9.7200000000000006</val>
          </value>
        </values>
      </ddeItem>
      <ddeItem name="00636K.TW-BestBid1" advise="1">
        <values>
          <value>
            <val>9.66</val>
          </value>
        </values>
      </ddeItem>
      <ddeItem name="00636K.TW-Open" advise="1">
        <values>
          <value>
            <val>9.68</val>
          </value>
        </values>
      </ddeItem>
      <ddeItem name="00636K.TW-PreClose" advise="1">
        <values>
          <value>
            <val>9.5</val>
          </value>
        </values>
      </ddeItem>
      <ddeItem name="00636K.TW-Price" advise="1">
        <values>
          <value>
            <val>9.68</val>
          </value>
        </values>
      </ddeItem>
      <ddeItem name="00636KN.TW-Price" advise="1">
        <values>
          <value>
            <val>9.75</val>
          </value>
        </values>
      </ddeItem>
      <ddeItem name="00636N.TW-Price" advise="1">
        <values>
          <value>
            <val>27.3</val>
          </value>
        </values>
      </ddeItem>
      <ddeItem name="00637L.TW-BestAsk1" advise="1">
        <values>
          <value>
            <val>26.27</val>
          </value>
        </values>
      </ddeItem>
      <ddeItem name="00637L.TW-BestBid1" advise="1">
        <values>
          <value>
            <val>26.26</val>
          </value>
        </values>
      </ddeItem>
      <ddeItem name="00637L.TW-Open" advise="1">
        <values>
          <value>
            <val>25.36</val>
          </value>
        </values>
      </ddeItem>
      <ddeItem name="00637L.TW-PreClose" advise="1">
        <values>
          <value>
            <val>24.98</val>
          </value>
        </values>
      </ddeItem>
      <ddeItem name="00637L.TW-Price" advise="1">
        <values>
          <value>
            <val>26.26</val>
          </value>
        </values>
      </ddeItem>
      <ddeItem name="00637LN.TW-Price" advise="1">
        <values>
          <value>
            <val>26.49</val>
          </value>
        </values>
      </ddeItem>
      <ddeItem name="00638R.TW-BestAsk1" advise="1">
        <values>
          <value>
            <val>7.87</val>
          </value>
        </values>
      </ddeItem>
      <ddeItem name="00638R.TW-BestBid1" advise="1">
        <values>
          <value>
            <val>7.86</val>
          </value>
        </values>
      </ddeItem>
      <ddeItem name="00638R.TW-Open" advise="1">
        <values>
          <value>
            <val>8.02</val>
          </value>
        </values>
      </ddeItem>
      <ddeItem name="00638R.TW-PreClose" advise="1">
        <values>
          <value>
            <val>8.08</val>
          </value>
        </values>
      </ddeItem>
      <ddeItem name="00638R.TW-Price" advise="1">
        <values>
          <value>
            <val>7.87</val>
          </value>
        </values>
      </ddeItem>
      <ddeItem name="00638RN.TW-Price" advise="1">
        <values>
          <value>
            <val>7.84</val>
          </value>
        </values>
      </ddeItem>
      <ddeItem name="00639.TW-BestAsk1" advise="1">
        <values>
          <value>
            <val>16.57</val>
          </value>
        </values>
      </ddeItem>
      <ddeItem name="00639.TW-BestBid1" advise="1">
        <values>
          <value>
            <val>16.559999999999999</val>
          </value>
        </values>
      </ddeItem>
      <ddeItem name="00639.TW-Open" advise="1">
        <values>
          <value>
            <val>16.190000000000001</val>
          </value>
        </values>
      </ddeItem>
      <ddeItem name="00639.TW-PreClose" advise="1">
        <values>
          <value>
            <val>16.190000000000001</val>
          </value>
        </values>
      </ddeItem>
      <ddeItem name="00639.TW-Price" advise="1">
        <values>
          <value>
            <val>16.57</val>
          </value>
        </values>
      </ddeItem>
      <ddeItem name="00639N.TW-Price" advise="1">
        <values>
          <value>
            <val>16.72</val>
          </value>
        </values>
      </ddeItem>
      <ddeItem name="00640L.TW-BestAsk1" advise="1">
        <values>
          <value>
            <val>27</val>
          </value>
        </values>
      </ddeItem>
      <ddeItem name="00640L.TW-BestBid1" advise="1">
        <values>
          <value>
            <val>26.95</val>
          </value>
        </values>
      </ddeItem>
      <ddeItem name="00640L.TW-Open" advise="1">
        <values>
          <value>
            <val>26.62</val>
          </value>
        </values>
      </ddeItem>
      <ddeItem name="00640L.TW-PreClose" advise="1">
        <values>
          <value>
            <val>25.92</val>
          </value>
        </values>
      </ddeItem>
      <ddeItem name="00640L.TW-Price" advise="1">
        <values>
          <value>
            <val>26.95</val>
          </value>
        </values>
      </ddeItem>
      <ddeItem name="00640LN.TW-Price" advise="1">
        <values>
          <value>
            <val>26.83</val>
          </value>
        </values>
      </ddeItem>
      <ddeItem name="00641R.TW-BestAsk1" advise="1">
        <values>
          <value>
            <val>11.02</val>
          </value>
        </values>
      </ddeItem>
      <ddeItem name="00641R.TW-BestBid1" advise="1">
        <values>
          <value>
            <val>11</val>
          </value>
        </values>
      </ddeItem>
      <ddeItem name="00641R.TW-Open" advise="1">
        <values>
          <value>
            <val>11.07</val>
          </value>
        </values>
      </ddeItem>
      <ddeItem name="00641R.TW-PreClose" advise="1">
        <values>
          <value>
            <val>11.26</val>
          </value>
        </values>
      </ddeItem>
      <ddeItem name="00641R.TW-Price" advise="1">
        <values>
          <value>
            <val>11.02</val>
          </value>
        </values>
      </ddeItem>
      <ddeItem name="00641RN.TW-Price" advise="1">
        <values>
          <value>
            <val>11.04</val>
          </value>
        </values>
      </ddeItem>
      <ddeItem name="00642U.TW-BestAsk1" advise="1">
        <values>
          <value>
            <val>10.88</val>
          </value>
        </values>
      </ddeItem>
      <ddeItem name="00642U.TW-BestBid1" advise="1">
        <values>
          <value>
            <val>10.87</val>
          </value>
        </values>
      </ddeItem>
      <ddeItem name="00642U.TW-Open" advise="1">
        <values>
          <value>
            <val>10.89</val>
          </value>
        </values>
      </ddeItem>
      <ddeItem name="00642U.TW-PreClose" advise="1">
        <values>
          <value>
            <val>11.1</val>
          </value>
        </values>
      </ddeItem>
      <ddeItem name="00642U.TW-Price" advise="1">
        <values>
          <value>
            <val>10.87</val>
          </value>
        </values>
      </ddeItem>
      <ddeItem name="00642UN.TW-Price" advise="1">
        <values>
          <value>
            <val>10.92</val>
          </value>
        </values>
      </ddeItem>
      <ddeItem name="00643.TW-BestAsk1" advise="1">
        <values>
          <value>
            <val>17.22</val>
          </value>
        </values>
      </ddeItem>
      <ddeItem name="00643.TW-BestBid1" advise="1">
        <values>
          <value>
            <val>17.21</val>
          </value>
        </values>
      </ddeItem>
      <ddeItem name="00643.TW-Open" advise="1">
        <values>
          <value>
            <val>16.989999999999998</val>
          </value>
        </values>
      </ddeItem>
      <ddeItem name="00643.TW-PreClose" advise="1">
        <values>
          <value>
            <val>17.010000000000002</val>
          </value>
        </values>
      </ddeItem>
      <ddeItem name="00643.TW-Price" advise="1">
        <values>
          <value>
            <val>17.21</val>
          </value>
        </values>
      </ddeItem>
      <ddeItem name="00643K.TW-BestAsk1" advise="1">
        <values>
          <value>
            <val>4.09</val>
          </value>
        </values>
      </ddeItem>
      <ddeItem name="00643K.TW-BestBid1" advise="1">
        <values>
          <value>
            <val>4.0199999999999996</val>
          </value>
        </values>
      </ddeItem>
      <ddeItem name="00643K.TW-Open" advise="1">
        <values>
          <value t="str">
            <val>--</val>
          </value>
        </values>
      </ddeItem>
      <ddeItem name="00643K.TW-PreClose" advise="1">
        <values>
          <value>
            <val>4.01</val>
          </value>
        </values>
      </ddeItem>
      <ddeItem name="00643K.TW-Price" advise="1">
        <values>
          <value t="str">
            <val>--</val>
          </value>
        </values>
      </ddeItem>
      <ddeItem name="00643KN.TW-Price" advise="1">
        <values>
          <value>
            <val>4.01</val>
          </value>
        </values>
      </ddeItem>
      <ddeItem name="00643N.TW-Price" advise="1">
        <values>
          <value>
            <val>17.43</val>
          </value>
        </values>
      </ddeItem>
      <ddeItem name="00645.TW-BestAsk1" advise="1">
        <values>
          <value>
            <val>24.6</val>
          </value>
        </values>
      </ddeItem>
      <ddeItem name="00645.TW-BestBid1" advise="1">
        <values>
          <value>
            <val>24.57</val>
          </value>
        </values>
      </ddeItem>
      <ddeItem name="00645.TW-Open" advise="1">
        <values>
          <value>
            <val>24.43</val>
          </value>
        </values>
      </ddeItem>
      <ddeItem name="00645.TW-PreClose" advise="1">
        <values>
          <value>
            <val>24.2</val>
          </value>
        </values>
      </ddeItem>
      <ddeItem name="00645.TW-Price" advise="1">
        <values>
          <value>
            <val>24.56</val>
          </value>
        </values>
      </ddeItem>
      <ddeItem name="00645N.TW-Price" advise="1">
        <values>
          <value>
            <val>24.63</val>
          </value>
        </values>
      </ddeItem>
      <ddeItem name="00646.TW-BestAsk1" advise="1">
        <values>
          <value>
            <val>35.35</val>
          </value>
        </values>
      </ddeItem>
      <ddeItem name="00646.TW-BestBid1" advise="1">
        <values>
          <value>
            <val>35.340000000000003</val>
          </value>
        </values>
      </ddeItem>
      <ddeItem name="00646.TW-Open" advise="1">
        <values>
          <value>
            <val>35.25</val>
          </value>
        </values>
      </ddeItem>
      <ddeItem name="00646.TW-PreClose" advise="1">
        <values>
          <value>
            <val>34.799999999999997</val>
          </value>
        </values>
      </ddeItem>
      <ddeItem name="00646.TW-Price" advise="1">
        <values>
          <value>
            <val>35.340000000000003</val>
          </value>
        </values>
      </ddeItem>
      <ddeItem name="00646N.TW-Price" advise="1">
        <values>
          <value>
            <val>35.26</val>
          </value>
        </values>
      </ddeItem>
      <ddeItem name="00647L.TW-BestAsk1" advise="1">
        <values>
          <value>
            <val>60.4</val>
          </value>
        </values>
      </ddeItem>
      <ddeItem name="00647L.TW-BestBid1" advise="1">
        <values>
          <value>
            <val>60.35</val>
          </value>
        </values>
      </ddeItem>
      <ddeItem name="00647L.TW-Open" advise="1">
        <values>
          <value>
            <val>60.1</val>
          </value>
        </values>
      </ddeItem>
      <ddeItem name="00647L.TW-PreClose" advise="1">
        <values>
          <value>
            <val>58.7</val>
          </value>
        </values>
      </ddeItem>
      <ddeItem name="00647L.TW-Price" advise="1">
        <values>
          <value>
            <val>60.35</val>
          </value>
        </values>
      </ddeItem>
      <ddeItem name="00647LN.TW-Price" advise="1">
        <values>
          <value>
            <val>60.45</val>
          </value>
        </values>
      </ddeItem>
      <ddeItem name="00648R.TW-BestAsk1" advise="1">
        <values>
          <value>
            <val>7.51</val>
          </value>
        </values>
      </ddeItem>
      <ddeItem name="00648R.TW-BestBid1" advise="1">
        <values>
          <value>
            <val>7.5</val>
          </value>
        </values>
      </ddeItem>
      <ddeItem name="00648R.TW-Open" advise="1">
        <values>
          <value>
            <val>7.52</val>
          </value>
        </values>
      </ddeItem>
      <ddeItem name="00648R.TW-PreClose" advise="1">
        <values>
          <value>
            <val>7.62</val>
          </value>
        </values>
      </ddeItem>
      <ddeItem name="00648R.TW-Price" advise="1">
        <values>
          <value>
            <val>7.5</val>
          </value>
        </values>
      </ddeItem>
      <ddeItem name="00648RN.TW-Price" advise="1">
        <values>
          <value>
            <val>7.49</val>
          </value>
        </values>
      </ddeItem>
      <ddeItem name="00650L.TW-BestAsk1" advise="1">
        <values>
          <value>
            <val>28.51</val>
          </value>
        </values>
      </ddeItem>
      <ddeItem name="00650L.TW-BestBid1" advise="1">
        <values>
          <value>
            <val>28.44</val>
          </value>
        </values>
      </ddeItem>
      <ddeItem name="00650L.TW-Open" advise="1">
        <values>
          <value>
            <val>28.21</val>
          </value>
        </values>
      </ddeItem>
      <ddeItem name="00650L.TW-PreClose" advise="1">
        <values>
          <value>
            <val>28.2</val>
          </value>
        </values>
      </ddeItem>
      <ddeItem name="00650L.TW-Price" advise="1">
        <values>
          <value>
            <val>28.44</val>
          </value>
        </values>
      </ddeItem>
      <ddeItem name="00650LN.TW-Price" advise="1">
        <values>
          <value>
            <val>28.68</val>
          </value>
        </values>
      </ddeItem>
      <ddeItem name="00651R.TW-BestAsk1" advise="1">
        <values>
          <value>
            <val>7.09</val>
          </value>
        </values>
      </ddeItem>
      <ddeItem name="00651R.TW-BestBid1" advise="1">
        <values>
          <value>
            <val>7.07</val>
          </value>
        </values>
      </ddeItem>
      <ddeItem name="00651R.TW-Open" advise="1">
        <values>
          <value>
            <val>7.13</val>
          </value>
        </values>
      </ddeItem>
      <ddeItem name="00651R.TW-PreClose" advise="1">
        <values>
          <value>
            <val>7.14</val>
          </value>
        </values>
      </ddeItem>
      <ddeItem name="00651R.TW-Price" advise="1">
        <values>
          <value>
            <val>7.08</val>
          </value>
        </values>
      </ddeItem>
      <ddeItem name="00651RN.TW-Price" advise="1">
        <values>
          <value>
            <val>7.09</val>
          </value>
        </values>
      </ddeItem>
      <ddeItem name="00652.TW-BestAsk1" advise="1">
        <values>
          <value>
            <val>24.76</val>
          </value>
        </values>
      </ddeItem>
      <ddeItem name="00652.TW-BestBid1" advise="1">
        <values>
          <value>
            <val>24.74</val>
          </value>
        </values>
      </ddeItem>
      <ddeItem name="00652.TW-Open" advise="1">
        <values>
          <value>
            <val>24.4</val>
          </value>
        </values>
      </ddeItem>
      <ddeItem name="00652.TW-PreClose" advise="1">
        <values>
          <value>
            <val>24.31</val>
          </value>
        </values>
      </ddeItem>
      <ddeItem name="00652.TW-Price" advise="1">
        <values>
          <value>
            <val>24.76</val>
          </value>
        </values>
      </ddeItem>
      <ddeItem name="00652N.TW-Price" advise="1">
        <values>
          <value>
            <val>25.14</val>
          </value>
        </values>
      </ddeItem>
      <ddeItem name="00653L.TW-BestAsk1" advise="1">
        <values>
          <value>
            <val>33.85</val>
          </value>
        </values>
      </ddeItem>
      <ddeItem name="00653L.TW-BestBid1" advise="1">
        <values>
          <value>
            <val>33.83</val>
          </value>
        </values>
      </ddeItem>
      <ddeItem name="00653L.TW-Open" advise="1">
        <values>
          <value>
            <val>33.590000000000003</val>
          </value>
        </values>
      </ddeItem>
      <ddeItem name="00653L.TW-PreClose" advise="1">
        <values>
          <value>
            <val>32.950000000000003</val>
          </value>
        </values>
      </ddeItem>
      <ddeItem name="00653L.TW-Price" advise="1">
        <values>
          <value>
            <val>33.83</val>
          </value>
        </values>
      </ddeItem>
      <ddeItem name="00653LN.TW-Price" advise="1">
        <values>
          <value>
            <val>33.79</val>
          </value>
        </values>
      </ddeItem>
      <ddeItem name="00654R.TW-BestAsk1" advise="1">
        <values>
          <value>
            <val>9.8800000000000008</val>
          </value>
        </values>
      </ddeItem>
      <ddeItem name="00654R.TW-BestBid1" advise="1">
        <values>
          <value>
            <val>9.86</val>
          </value>
        </values>
      </ddeItem>
      <ddeItem name="00654R.TW-Open" advise="1">
        <values>
          <value>
            <val>9.9600000000000009</val>
          </value>
        </values>
      </ddeItem>
      <ddeItem name="00654R.TW-PreClose" advise="1">
        <values>
          <value>
            <val>10.02</val>
          </value>
        </values>
      </ddeItem>
      <ddeItem name="00654R.TW-Price" advise="1">
        <values>
          <value>
            <val>9.86</val>
          </value>
        </values>
      </ddeItem>
      <ddeItem name="00654RN.TW-Price" advise="1">
        <values>
          <value>
            <val>9.86</val>
          </value>
        </values>
      </ddeItem>
      <ddeItem name="00655L.TW-BestAsk1" advise="1">
        <values>
          <value>
            <val>49.99</val>
          </value>
        </values>
      </ddeItem>
      <ddeItem name="00655L.TW-BestBid1" advise="1">
        <values>
          <value>
            <val>49.97</val>
          </value>
        </values>
      </ddeItem>
      <ddeItem name="00655L.TW-Open" advise="1">
        <values>
          <value>
            <val>48.4</val>
          </value>
        </values>
      </ddeItem>
      <ddeItem name="00655L.TW-PreClose" advise="1">
        <values>
          <value>
            <val>47.54</val>
          </value>
        </values>
      </ddeItem>
      <ddeItem name="00655L.TW-Price" advise="1">
        <values>
          <value>
            <val>49.97</val>
          </value>
        </values>
      </ddeItem>
      <ddeItem name="00655LN.TW-Price" advise="1">
        <values>
          <value>
            <val>50.3</val>
          </value>
        </values>
      </ddeItem>
      <ddeItem name="00656R.TW-BestAsk1" advise="1">
        <values>
          <value>
            <val>7.2</val>
          </value>
        </values>
      </ddeItem>
      <ddeItem name="00656R.TW-BestBid1" advise="1">
        <values>
          <value>
            <val>7.19</val>
          </value>
        </values>
      </ddeItem>
      <ddeItem name="00656R.TW-Open" advise="1">
        <values>
          <value>
            <val>7.32</val>
          </value>
        </values>
      </ddeItem>
      <ddeItem name="00656R.TW-PreClose" advise="1">
        <values>
          <value>
            <val>7.35</val>
          </value>
        </values>
      </ddeItem>
      <ddeItem name="00656R.TW-Price" advise="1">
        <values>
          <value>
            <val>7.19</val>
          </value>
        </values>
      </ddeItem>
      <ddeItem name="00656RN.TW-Price" advise="1">
        <values>
          <value>
            <val>7.18</val>
          </value>
        </values>
      </ddeItem>
      <ddeItem name="00657.TW-BestAsk1" advise="1">
        <values>
          <value>
            <val>34.46</val>
          </value>
        </values>
      </ddeItem>
      <ddeItem name="00657.TW-BestBid1" advise="1">
        <values>
          <value>
            <val>34.380000000000003</val>
          </value>
        </values>
      </ddeItem>
      <ddeItem name="00657.TW-Open" advise="1">
        <values>
          <value>
            <val>34.15</val>
          </value>
        </values>
      </ddeItem>
      <ddeItem name="00657.TW-PreClose" advise="1">
        <values>
          <value>
            <val>33.83</val>
          </value>
        </values>
      </ddeItem>
      <ddeItem name="00657.TW-Price" advise="1">
        <values>
          <value>
            <val>34.380000000000003</val>
          </value>
        </values>
      </ddeItem>
      <ddeItem name="00657K.TW-BestAsk1" advise="1">
        <values>
          <value>
            <val>12.33</val>
          </value>
        </values>
      </ddeItem>
      <ddeItem name="00657K.TW-BestBid1" advise="1">
        <values>
          <value>
            <val>12.26</val>
          </value>
        </values>
      </ddeItem>
      <ddeItem name="00657K.TW-Open" advise="1">
        <values>
          <value>
            <val>12.3</val>
          </value>
        </values>
      </ddeItem>
      <ddeItem name="00657K.TW-PreClose" advise="1">
        <values>
          <value>
            <val>12.07</val>
          </value>
        </values>
      </ddeItem>
      <ddeItem name="00657K.TW-Price" advise="1">
        <values>
          <value>
            <val>12.3</val>
          </value>
        </values>
      </ddeItem>
      <ddeItem name="00657KN.TW-Price" advise="1">
        <values>
          <value>
            <val>12.28</val>
          </value>
        </values>
      </ddeItem>
      <ddeItem name="00657N.TW-Price" advise="1">
        <values>
          <value>
            <val>34.39</val>
          </value>
        </values>
      </ddeItem>
      <ddeItem name="00660.TW-BestAsk1" advise="1">
        <values>
          <value>
            <val>28.35</val>
          </value>
        </values>
      </ddeItem>
      <ddeItem name="00660.TW-BestBid1" advise="1">
        <values>
          <value>
            <val>28.3</val>
          </value>
        </values>
      </ddeItem>
      <ddeItem name="00660.TW-Open" advise="1">
        <values>
          <value>
            <val>28.25</val>
          </value>
        </values>
      </ddeItem>
      <ddeItem name="00660.TW-PreClose" advise="1">
        <values>
          <value>
            <val>27.86</val>
          </value>
        </values>
      </ddeItem>
      <ddeItem name="00660.TW-Price" advise="1">
        <values>
          <value>
            <val>28.32</val>
          </value>
        </values>
      </ddeItem>
      <ddeItem name="00660N.TW-Price" advise="1">
        <values>
          <value>
            <val>28.55</val>
          </value>
        </values>
      </ddeItem>
      <ddeItem name="00661.TW-BestAsk1" advise="1">
        <values>
          <value>
            <val>34.67</val>
          </value>
        </values>
      </ddeItem>
      <ddeItem name="00661.TW-BestBid1" advise="1">
        <values>
          <value>
            <val>34.65</val>
          </value>
        </values>
      </ddeItem>
      <ddeItem name="00661.TW-Open" advise="1">
        <values>
          <value>
            <val>34.51</val>
          </value>
        </values>
      </ddeItem>
      <ddeItem name="00661.TW-PreClose" advise="1">
        <values>
          <value>
            <val>34.33</val>
          </value>
        </values>
      </ddeItem>
      <ddeItem name="00661.TW-Price" advise="1">
        <values>
          <value>
            <val>34.65</val>
          </value>
        </values>
      </ddeItem>
      <ddeItem name="00661N.TW-Price" advise="1">
        <values>
          <value>
            <val>35.369999999999997</val>
          </value>
        </values>
      </ddeItem>
      <ddeItem name="00662.TW-BestAsk1" advise="1">
        <values>
          <value>
            <val>47.46</val>
          </value>
        </values>
      </ddeItem>
      <ddeItem name="00662.TW-BestBid1" advise="1">
        <values>
          <value>
            <val>47.45</val>
          </value>
        </values>
      </ddeItem>
      <ddeItem name="00662.TW-Open" advise="1">
        <values>
          <value>
            <val>47.08</val>
          </value>
        </values>
      </ddeItem>
      <ddeItem name="00662.TW-PreClose" advise="1">
        <values>
          <value>
            <val>46.84</val>
          </value>
        </values>
      </ddeItem>
      <ddeItem name="00662.TW-Price" advise="1">
        <values>
          <value>
            <val>47.46</val>
          </value>
        </values>
      </ddeItem>
      <ddeItem name="00662N.TW-Price" advise="1">
        <values>
          <value>
            <val>47.19</val>
          </value>
        </values>
      </ddeItem>
      <ddeItem name="00663L.TW-BestAsk1" advise="1">
        <values>
          <value>
            <val>94.1</val>
          </value>
        </values>
      </ddeItem>
      <ddeItem name="00663L.TW-BestBid1" advise="1">
        <values>
          <value>
            <val>93.9</val>
          </value>
        </values>
      </ddeItem>
      <ddeItem name="00663L.TW-Open" advise="1">
        <values>
          <value>
            <val>94.65</val>
          </value>
        </values>
      </ddeItem>
      <ddeItem name="00663L.TW-PreClose" advise="1">
        <values>
          <value>
            <val>91.65</val>
          </value>
        </values>
      </ddeItem>
      <ddeItem name="00663L.TW-Price" advise="1">
        <values>
          <value>
            <val>93.9</val>
          </value>
        </values>
      </ddeItem>
      <ddeItem name="00663LN.TW-Price" advise="1">
        <values>
          <value>
            <val>93.88</val>
          </value>
        </values>
      </ddeItem>
      <ddeItem name="00664R.TW-BestAsk1" advise="1">
        <values>
          <value>
            <val>7.15</val>
          </value>
        </values>
      </ddeItem>
      <ddeItem name="00664R.TW-BestBid1" advise="1">
        <values>
          <value>
            <val>7.14</val>
          </value>
        </values>
      </ddeItem>
      <ddeItem name="00664R.TW-Open" advise="1">
        <values>
          <value>
            <val>7.11</val>
          </value>
        </values>
      </ddeItem>
      <ddeItem name="00664R.TW-PreClose" advise="1">
        <values>
          <value>
            <val>7.22</val>
          </value>
        </values>
      </ddeItem>
      <ddeItem name="00664R.TW-Price" advise="1">
        <values>
          <value>
            <val>7.15</val>
          </value>
        </values>
      </ddeItem>
      <ddeItem name="00664RN.TW-Price" advise="1">
        <values>
          <value>
            <val>7.14</val>
          </value>
        </values>
      </ddeItem>
      <ddeItem name="00665L.TW-BestAsk1" advise="1">
        <values>
          <value>
            <val>22.7</val>
          </value>
        </values>
      </ddeItem>
      <ddeItem name="00665L.TW-BestBid1" advise="1">
        <values>
          <value>
            <val>22.59</val>
          </value>
        </values>
      </ddeItem>
      <ddeItem name="00665L.TW-Open" advise="1">
        <values>
          <value>
            <val>22.71</val>
          </value>
        </values>
      </ddeItem>
      <ddeItem name="00665L.TW-PreClose" advise="1">
        <values>
          <value>
            <val>22.7</val>
          </value>
        </values>
      </ddeItem>
      <ddeItem name="00665L.TW-Price" advise="1">
        <values>
          <value>
            <val>22.69</val>
          </value>
        </values>
      </ddeItem>
      <ddeItem name="00665LN.TW-Price" advise="1">
        <values>
          <value>
            <val>22.78</val>
          </value>
        </values>
      </ddeItem>
      <ddeItem name="00666R.TW-BestAsk1" advise="1">
        <values>
          <value>
            <val>11.51</val>
          </value>
        </values>
      </ddeItem>
      <ddeItem name="00666R.TW-BestBid1" advise="1">
        <values>
          <value>
            <val>11.46</val>
          </value>
        </values>
      </ddeItem>
      <ddeItem name="00666R.TW-Open" advise="1">
        <values>
          <value>
            <val>11.48</val>
          </value>
        </values>
      </ddeItem>
      <ddeItem name="00666R.TW-PreClose" advise="1">
        <values>
          <value>
            <val>11.45</val>
          </value>
        </values>
      </ddeItem>
      <ddeItem name="00666R.TW-Price" advise="1">
        <values>
          <value>
            <val>11.49</val>
          </value>
        </values>
      </ddeItem>
      <ddeItem name="00666RN.TW-Price" advise="1">
        <values>
          <value>
            <val>11.59</val>
          </value>
        </values>
      </ddeItem>
      <ddeItem name="00668.TW-BestAsk1" advise="1">
        <values>
          <value>
            <val>34.549999999999997</val>
          </value>
        </values>
      </ddeItem>
      <ddeItem name="00668.TW-BestBid1" advise="1">
        <values>
          <value>
            <val>34.46</val>
          </value>
        </values>
      </ddeItem>
      <ddeItem name="00668.TW-Open" advise="1">
        <values>
          <value>
            <val>34.4</val>
          </value>
        </values>
      </ddeItem>
      <ddeItem name="00668.TW-PreClose" advise="1">
        <values>
          <value>
            <val>33.979999999999997</val>
          </value>
        </values>
      </ddeItem>
      <ddeItem name="00668.TW-Price" advise="1">
        <values>
          <value>
            <val>34.549999999999997</val>
          </value>
        </values>
      </ddeItem>
      <ddeItem name="00668K.TW-BestAsk1" advise="1">
        <values>
          <value>
            <val>12.37</val>
          </value>
        </values>
      </ddeItem>
      <ddeItem name="00668K.TW-BestBid1" advise="1">
        <values>
          <value>
            <val>12.27</val>
          </value>
        </values>
      </ddeItem>
      <ddeItem name="00668K.TW-Open" advise="1">
        <values>
          <value>
            <val>12.3</val>
          </value>
        </values>
      </ddeItem>
      <ddeItem name="00668K.TW-PreClose" advise="1">
        <values>
          <value>
            <val>12.15</val>
          </value>
        </values>
      </ddeItem>
      <ddeItem name="00668K.TW-Price" advise="1">
        <values>
          <value>
            <val>12.3</val>
          </value>
        </values>
      </ddeItem>
      <ddeItem name="00668KN.TW-Price" advise="1">
        <values>
          <value>
            <val>12.31</val>
          </value>
        </values>
      </ddeItem>
      <ddeItem name="00668N.TW-Price" advise="1">
        <values>
          <value>
            <val>34.46</val>
          </value>
        </values>
      </ddeItem>
      <ddeItem name="00669R.TW-BestAsk1" advise="1">
        <values>
          <value>
            <val>8.18</val>
          </value>
        </values>
      </ddeItem>
      <ddeItem name="00669R.TW-BestBid1" advise="1">
        <values>
          <value>
            <val>8.17</val>
          </value>
        </values>
      </ddeItem>
      <ddeItem name="00669R.TW-Open" advise="1">
        <values>
          <value>
            <val>8.19</val>
          </value>
        </values>
      </ddeItem>
      <ddeItem name="00669R.TW-PreClose" advise="1">
        <values>
          <value>
            <val>8.32</val>
          </value>
        </values>
      </ddeItem>
      <ddeItem name="00669R.TW-Price" advise="1">
        <values>
          <value>
            <val>8.17</val>
          </value>
        </values>
      </ddeItem>
      <ddeItem name="00669RN.TW-Price" advise="1">
        <values>
          <value>
            <val>8.17</val>
          </value>
        </values>
      </ddeItem>
      <ddeItem name="00670L.TW-BestAsk1" advise="1">
        <values>
          <value>
            <val>84.05</val>
          </value>
        </values>
      </ddeItem>
      <ddeItem name="00670L.TW-BestBid1" advise="1">
        <values>
          <value>
            <val>84</val>
          </value>
        </values>
      </ddeItem>
      <ddeItem name="00670L.TW-Open" advise="1">
        <values>
          <value>
            <val>83.5</val>
          </value>
        </values>
      </ddeItem>
      <ddeItem name="00670L.TW-PreClose" advise="1">
        <values>
          <value>
            <val>82.1</val>
          </value>
        </values>
      </ddeItem>
      <ddeItem name="00670L.TW-Price" advise="1">
        <values>
          <value>
            <val>84.05</val>
          </value>
        </values>
      </ddeItem>
      <ddeItem name="00670LN.TW-Price" advise="1">
        <values>
          <value>
            <val>84.18</val>
          </value>
        </values>
      </ddeItem>
      <ddeItem name="00671R.TW-BestAsk1" advise="1">
        <values>
          <value>
            <val>6.17</val>
          </value>
        </values>
      </ddeItem>
      <ddeItem name="00671R.TW-BestBid1" advise="1">
        <values>
          <value>
            <val>6.16</val>
          </value>
        </values>
      </ddeItem>
      <ddeItem name="00671R.TW-Open" advise="1">
        <values>
          <value>
            <val>6.17</val>
          </value>
        </values>
      </ddeItem>
      <ddeItem name="00671R.TW-PreClose" advise="1">
        <values>
          <value>
            <val>6.23</val>
          </value>
        </values>
      </ddeItem>
      <ddeItem name="00671R.TW-Price" advise="1">
        <values>
          <value>
            <val>6.17</val>
          </value>
        </values>
      </ddeItem>
      <ddeItem name="00671RN.TW-Price" advise="1">
        <values>
          <value>
            <val>6.16</val>
          </value>
        </values>
      </ddeItem>
      <ddeItem name="00673R.TW-BestAsk1" advise="1">
        <values>
          <value>
            <val>17.739999999999998</val>
          </value>
        </values>
      </ddeItem>
      <ddeItem name="00673R.TW-BestBid1" advise="1">
        <values>
          <value>
            <val>17.73</val>
          </value>
        </values>
      </ddeItem>
      <ddeItem name="00673R.TW-Open" advise="1">
        <values>
          <value>
            <val>17.73</val>
          </value>
        </values>
      </ddeItem>
      <ddeItem name="00673R.TW-PreClose" advise="1">
        <values>
          <value>
            <val>17.36</val>
          </value>
        </values>
      </ddeItem>
      <ddeItem name="00673R.TW-Price" advise="1">
        <values>
          <value>
            <val>17.739999999999998</val>
          </value>
        </values>
      </ddeItem>
      <ddeItem name="00673RN.TW-Price" advise="1">
        <values>
          <value>
            <val>17.75</val>
          </value>
        </values>
      </ddeItem>
      <ddeItem name="00674R.TW-BestAsk1" advise="1">
        <values>
          <value>
            <val>13.14</val>
          </value>
        </values>
      </ddeItem>
      <ddeItem name="00674R.TW-BestBid1" advise="1">
        <values>
          <value>
            <val>13.13</val>
          </value>
        </values>
      </ddeItem>
      <ddeItem name="00674R.TW-Open" advise="1">
        <values>
          <value>
            <val>13.11</val>
          </value>
        </values>
      </ddeItem>
      <ddeItem name="00674R.TW-PreClose" advise="1">
        <values>
          <value>
            <val>13.16</val>
          </value>
        </values>
      </ddeItem>
      <ddeItem name="00674R.TW-Price" advise="1">
        <values>
          <value>
            <val>13.14</val>
          </value>
        </values>
      </ddeItem>
      <ddeItem name="00674RN.TW-Price" advise="1">
        <values>
          <value>
            <val>13.06</val>
          </value>
        </values>
      </ddeItem>
      <ddeItem name="00675L.TW-BestAsk1" advise="1">
        <values>
          <value>
            <val>40.44</val>
          </value>
        </values>
      </ddeItem>
      <ddeItem name="00675L.TW-BestBid1" advise="1">
        <values>
          <value>
            <val>40.4</val>
          </value>
        </values>
      </ddeItem>
      <ddeItem name="00675L.TW-Open" advise="1">
        <values>
          <value>
            <val>40.659999999999997</val>
          </value>
        </values>
      </ddeItem>
      <ddeItem name="00675L.TW-PreClose" advise="1">
        <values>
          <value>
            <val>39.479999999999997</val>
          </value>
        </values>
      </ddeItem>
      <ddeItem name="00675L.TW-Price" advise="1">
        <values>
          <value>
            <val>40.44</val>
          </value>
        </values>
      </ddeItem>
      <ddeItem name="00675LN.TW-Price" advise="1">
        <values>
          <value>
            <val>40.32</val>
          </value>
        </values>
      </ddeItem>
      <ddeItem name="00676R.TW-BestAsk1" advise="1">
        <values>
          <value>
            <val>3.9</val>
          </value>
        </values>
      </ddeItem>
      <ddeItem name="00676R.TW-BestBid1" advise="1">
        <values>
          <value>
            <val>3.89</val>
          </value>
        </values>
      </ddeItem>
      <ddeItem name="00676R.TW-Open" advise="1">
        <values>
          <value>
            <val>3.88</val>
          </value>
        </values>
      </ddeItem>
      <ddeItem name="00676R.TW-PreClose" advise="1">
        <values>
          <value>
            <val>3.94</val>
          </value>
        </values>
      </ddeItem>
      <ddeItem name="00676R.TW-Price" advise="1">
        <values>
          <value>
            <val>3.9</val>
          </value>
        </values>
      </ddeItem>
      <ddeItem name="00676RN.TW-Price" advise="1">
        <values>
          <value>
            <val>3.89</val>
          </value>
        </values>
      </ddeItem>
      <ddeItem name="00677U.TW-BestAsk1" advise="1">
        <values>
          <value>
            <val>1.84</val>
          </value>
        </values>
      </ddeItem>
      <ddeItem name="00677U.TW-BestBid1" advise="1">
        <values>
          <value>
            <val>1.83</val>
          </value>
        </values>
      </ddeItem>
      <ddeItem name="00677U.TW-Open" advise="1">
        <values>
          <value>
            <val>1.85</val>
          </value>
        </values>
      </ddeItem>
      <ddeItem name="00677U.TW-PreClose" advise="1">
        <values>
          <value>
            <val>1.99</val>
          </value>
        </values>
      </ddeItem>
      <ddeItem name="00677U.TW-Price" advise="1">
        <values>
          <value>
            <val>1.83</val>
          </value>
        </values>
      </ddeItem>
      <ddeItem name="00677UN.TW-Price" advise="1">
        <values>
          <value>
            <val>1.83</val>
          </value>
        </values>
      </ddeItem>
      <ddeItem name="00678.TW-BestAsk1" advise="1">
        <values>
          <value>
            <val>26.43</val>
          </value>
        </values>
      </ddeItem>
      <ddeItem name="00678.TW-BestBid1" advise="1">
        <values>
          <value>
            <val>26.34</val>
          </value>
        </values>
      </ddeItem>
      <ddeItem name="00678.TW-Open" advise="1">
        <values>
          <value>
            <val>26.39</val>
          </value>
        </values>
      </ddeItem>
      <ddeItem name="00678.TW-PreClose" advise="1">
        <values>
          <value>
            <val>26.28</val>
          </value>
        </values>
      </ddeItem>
      <ddeItem name="00678.TW-Price" advise="1">
        <values>
          <value>
            <val>26.39</val>
          </value>
        </values>
      </ddeItem>
      <ddeItem name="00678N.TW-Price" advise="1">
        <values>
          <value>
            <val>26.36</val>
          </value>
        </values>
      </ddeItem>
      <ddeItem name="00679B.TW-BestAsk1" advise="1">
        <values>
          <value>
            <val>38.89</val>
          </value>
        </values>
      </ddeItem>
      <ddeItem name="00679B.TW-BestBid1" advise="1">
        <values>
          <value>
            <val>38.880000000000003</val>
          </value>
        </values>
      </ddeItem>
      <ddeItem name="00679B.TW-Open" advise="1">
        <values>
          <value>
            <val>38.83</val>
          </value>
        </values>
      </ddeItem>
      <ddeItem name="00679B.TW-PreClose" advise="1">
        <values>
          <value>
            <val>38.83</val>
          </value>
        </values>
      </ddeItem>
      <ddeItem name="00679B.TW-Price" advise="1">
        <values>
          <value>
            <val>38.880000000000003</val>
          </value>
        </values>
      </ddeItem>
      <ddeItem name="00679BN.TW-Price" advise="1">
        <values>
          <value>
            <val>38.86</val>
          </value>
        </values>
      </ddeItem>
      <ddeItem name="00680L.TW-BestAsk1" advise="1">
        <values>
          <value>
            <val>21.59</val>
          </value>
        </values>
      </ddeItem>
      <ddeItem name="00680L.TW-BestBid1" advise="1">
        <values>
          <value>
            <val>21.52</val>
          </value>
        </values>
      </ddeItem>
      <ddeItem name="00680L.TW-Open" advise="1">
        <values>
          <value>
            <val>21.52</val>
          </value>
        </values>
      </ddeItem>
      <ddeItem name="00680L.TW-PreClose" advise="1">
        <values>
          <value>
            <val>21.48</val>
          </value>
        </values>
      </ddeItem>
      <ddeItem name="00680L.TW-Price" advise="1">
        <values>
          <value>
            <val>21.55</val>
          </value>
        </values>
      </ddeItem>
      <ddeItem name="00680LN.TW-Price" advise="1">
        <values>
          <value>
            <val>21.51</val>
          </value>
        </values>
      </ddeItem>
      <ddeItem name="00681R.TW-BestAsk1" advise="1">
        <values>
          <value>
            <val>14.55</val>
          </value>
        </values>
      </ddeItem>
      <ddeItem name="00681R.TW-BestBid1" advise="1">
        <values>
          <value>
            <val>14.51</val>
          </value>
        </values>
      </ddeItem>
      <ddeItem name="00681R.TW-Open" advise="1">
        <values>
          <value>
            <val>14.56</val>
          </value>
        </values>
      </ddeItem>
      <ddeItem name="00681R.TW-PreClose" advise="1">
        <values>
          <value>
            <val>14.56</val>
          </value>
        </values>
      </ddeItem>
      <ddeItem name="00681R.TW-Price" advise="1">
        <values>
          <value>
            <val>14.55</val>
          </value>
        </values>
      </ddeItem>
      <ddeItem name="00681RN.TW-Price" advise="1">
        <values>
          <value>
            <val>14.53</val>
          </value>
        </values>
      </ddeItem>
      <ddeItem name="00682U.TW-BestAsk1" advise="1">
        <values>
          <value>
            <val>18.04</val>
          </value>
        </values>
      </ddeItem>
      <ddeItem name="00682U.TW-BestBid1" advise="1">
        <values>
          <value>
            <val>18.03</val>
          </value>
        </values>
      </ddeItem>
      <ddeItem name="00682U.TW-Open" advise="1">
        <values>
          <value>
            <val>18.05</val>
          </value>
        </values>
      </ddeItem>
      <ddeItem name="00682U.TW-PreClose" advise="1">
        <values>
          <value>
            <val>18.04</val>
          </value>
        </values>
      </ddeItem>
      <ddeItem name="00682U.TW-Price" advise="1">
        <values>
          <value>
            <val>18.03</val>
          </value>
        </values>
      </ddeItem>
      <ddeItem name="00682UN.TW-Price" advise="1">
        <values>
          <value>
            <val>17.95</val>
          </value>
        </values>
      </ddeItem>
      <ddeItem name="00683L.TW-BestAsk1" advise="1">
        <values>
          <value>
            <val>16.7</val>
          </value>
        </values>
      </ddeItem>
      <ddeItem name="00683L.TW-BestBid1" advise="1">
        <values>
          <value>
            <val>16.690000000000001</val>
          </value>
        </values>
      </ddeItem>
      <ddeItem name="00683L.TW-Open" advise="1">
        <values>
          <value>
            <val>16.7</val>
          </value>
        </values>
      </ddeItem>
      <ddeItem name="00683L.TW-PreClose" advise="1">
        <values>
          <value>
            <val>16.71</val>
          </value>
        </values>
      </ddeItem>
      <ddeItem name="00683L.TW-Price" advise="1">
        <values>
          <value>
            <val>16.7</val>
          </value>
        </values>
      </ddeItem>
      <ddeItem name="00683LN.TW-Price" advise="1">
        <values>
          <value>
            <val>16.579999999999998</val>
          </value>
        </values>
      </ddeItem>
      <ddeItem name="00684R.TW-BestAsk1" advise="1">
        <values>
          <value>
            <val>19.260000000000002</val>
          </value>
        </values>
      </ddeItem>
      <ddeItem name="00684R.TW-BestBid1" advise="1">
        <values>
          <value>
            <val>19.2</val>
          </value>
        </values>
      </ddeItem>
      <ddeItem name="00684R.TW-Open" advise="1">
        <values>
          <value t="str">
            <val>--</val>
          </value>
        </values>
      </ddeItem>
      <ddeItem name="00684R.TW-PreClose" advise="1">
        <values>
          <value>
            <val>19.190000000000001</val>
          </value>
        </values>
      </ddeItem>
      <ddeItem name="00684R.TW-Price" advise="1">
        <values>
          <value t="str">
            <val>--</val>
          </value>
        </values>
      </ddeItem>
      <ddeItem name="00684RN.TW-Price" advise="1">
        <values>
          <value>
            <val>19.309999999999999</val>
          </value>
        </values>
      </ddeItem>
      <ddeItem name="00685L.TW-BestAsk1" advise="1">
        <values>
          <value>
            <val>35.44</val>
          </value>
        </values>
      </ddeItem>
      <ddeItem name="00685L.TW-BestBid1" advise="1">
        <values>
          <value>
            <val>35.28</val>
          </value>
        </values>
      </ddeItem>
      <ddeItem name="00685L.TW-Open" advise="1">
        <values>
          <value>
            <val>35.68</val>
          </value>
        </values>
      </ddeItem>
      <ddeItem name="00685L.TW-PreClose" advise="1">
        <values>
          <value>
            <val>34.61</val>
          </value>
        </values>
      </ddeItem>
      <ddeItem name="00685L.TW-Price" advise="1">
        <values>
          <value>
            <val>35.200000000000003</val>
          </value>
        </values>
      </ddeItem>
      <ddeItem name="00685LN.TW-Price" advise="1">
        <values>
          <value>
            <val>35.47</val>
          </value>
        </values>
      </ddeItem>
      <ddeItem name="00686R.TW-BestAsk1" advise="1">
        <values>
          <value>
            <val>4.25</val>
          </value>
        </values>
      </ddeItem>
      <ddeItem name="00686R.TW-BestBid1" advise="1">
        <values>
          <value>
            <val>4.24</val>
          </value>
        </values>
      </ddeItem>
      <ddeItem name="00686R.TW-Open" advise="1">
        <values>
          <value>
            <val>4.2300000000000004</val>
          </value>
        </values>
      </ddeItem>
      <ddeItem name="00686R.TW-PreClose" advise="1">
        <values>
          <value>
            <val>4.3</val>
          </value>
        </values>
      </ddeItem>
      <ddeItem name="00686R.TW-Price" advise="1">
        <values>
          <value>
            <val>4.25</val>
          </value>
        </values>
      </ddeItem>
      <ddeItem name="00686RN.TW-Price" advise="1">
        <values>
          <value>
            <val>4.25</val>
          </value>
        </values>
      </ddeItem>
      <ddeItem name="00687B.TW-BestAsk1" advise="1">
        <values>
          <value>
            <val>40.56</val>
          </value>
        </values>
      </ddeItem>
      <ddeItem name="00687B.TW-BestBid1" advise="1">
        <values>
          <value>
            <val>40.520000000000003</val>
          </value>
        </values>
      </ddeItem>
      <ddeItem name="00687B.TW-Open" advise="1">
        <values>
          <value>
            <val>40.49</val>
          </value>
        </values>
      </ddeItem>
      <ddeItem name="00687B.TW-PreClose" advise="1">
        <values>
          <value>
            <val>40.49</val>
          </value>
        </values>
      </ddeItem>
      <ddeItem name="00687B.TW-Price" advise="1">
        <values>
          <value>
            <val>40.520000000000003</val>
          </value>
        </values>
      </ddeItem>
      <ddeItem name="00687BN.TW-Price" advise="1">
        <values>
          <value>
            <val>40.450000000000003</val>
          </value>
        </values>
      </ddeItem>
      <ddeItem name="00688L.TW-BestAsk1" advise="1">
        <values>
          <value>
            <val>21.55</val>
          </value>
        </values>
      </ddeItem>
      <ddeItem name="00688L.TW-BestBid1" advise="1">
        <values>
          <value>
            <val>21.51</val>
          </value>
        </values>
      </ddeItem>
      <ddeItem name="00688L.TW-Open" advise="1">
        <values>
          <value>
            <val>21.39</val>
          </value>
        </values>
      </ddeItem>
      <ddeItem name="00688L.TW-PreClose" advise="1">
        <values>
          <value>
            <val>21.44</val>
          </value>
        </values>
      </ddeItem>
      <ddeItem name="00688L.TW-Price" advise="1">
        <values>
          <value>
            <val>21.55</val>
          </value>
        </values>
      </ddeItem>
      <ddeItem name="00688LN.TW-Price" advise="1">
        <values>
          <value>
            <val>21.49</val>
          </value>
        </values>
      </ddeItem>
      <ddeItem name="00689R.TW-BestAsk1" advise="1">
        <values>
          <value>
            <val>15.31</val>
          </value>
        </values>
      </ddeItem>
      <ddeItem name="00689R.TW-BestBid1" advise="1">
        <values>
          <value>
            <val>15.28</val>
          </value>
        </values>
      </ddeItem>
      <ddeItem name="00689R.TW-Open" advise="1">
        <values>
          <value>
            <val>15.31</val>
          </value>
        </values>
      </ddeItem>
      <ddeItem name="00689R.TW-PreClose" advise="1">
        <values>
          <value>
            <val>15.32</val>
          </value>
        </values>
      </ddeItem>
      <ddeItem name="00689R.TW-Price" advise="1">
        <values>
          <value>
            <val>15.29</val>
          </value>
        </values>
      </ddeItem>
      <ddeItem name="00689RN.TW-Price" advise="1">
        <values>
          <value>
            <val>15.29</val>
          </value>
        </values>
      </ddeItem>
      <ddeItem name="00690.TW-BestAsk1" advise="1">
        <values>
          <value>
            <val>30.66</val>
          </value>
        </values>
      </ddeItem>
      <ddeItem name="00690.TW-BestBid1" advise="1">
        <values>
          <value>
            <val>30.6</val>
          </value>
        </values>
      </ddeItem>
      <ddeItem name="00690.TW-Open" advise="1">
        <values>
          <value>
            <val>30.52</val>
          </value>
        </values>
      </ddeItem>
      <ddeItem name="00690.TW-PreClose" advise="1">
        <values>
          <value>
            <val>30.2</val>
          </value>
        </values>
      </ddeItem>
      <ddeItem name="00690.TW-Price" advise="1">
        <values>
          <value>
            <val>30.6</val>
          </value>
        </values>
      </ddeItem>
      <ddeItem name="00690N.TW-Price" advise="1">
        <values>
          <value>
            <val>30.67</val>
          </value>
        </values>
      </ddeItem>
      <ddeItem name="00692.TW-BestAsk1" advise="1">
        <values>
          <value>
            <val>33.119999999999997</val>
          </value>
        </values>
      </ddeItem>
      <ddeItem name="00692.TW-BestBid1" advise="1">
        <values>
          <value>
            <val>33.11</val>
          </value>
        </values>
      </ddeItem>
      <ddeItem name="00692.TW-Open" advise="1">
        <values>
          <value>
            <val>32.81</val>
          </value>
        </values>
      </ddeItem>
      <ddeItem name="00692.TW-PreClose" advise="1">
        <values>
          <value>
            <val>32.75</val>
          </value>
        </values>
      </ddeItem>
      <ddeItem name="00692.TW-Price" advise="1">
        <values>
          <value>
            <val>33.119999999999997</val>
          </value>
        </values>
      </ddeItem>
      <ddeItem name="00692N.TW-Price" advise="1">
        <values>
          <value>
            <val>32.979999999999997</val>
          </value>
        </values>
      </ddeItem>
      <ddeItem name="00693U.TW-BestAsk1" advise="1">
        <values>
          <value>
            <val>24.19</val>
          </value>
        </values>
      </ddeItem>
      <ddeItem name="00693U.TW-BestBid1" advise="1">
        <values>
          <value>
            <val>24.18</val>
          </value>
        </values>
      </ddeItem>
      <ddeItem name="00693U.TW-Open" advise="1">
        <values>
          <value>
            <val>24.07</val>
          </value>
        </values>
      </ddeItem>
      <ddeItem name="00693U.TW-PreClose" advise="1">
        <values>
          <value>
            <val>24.64</val>
          </value>
        </values>
      </ddeItem>
      <ddeItem name="00693U.TW-Price" advise="1">
        <values>
          <value>
            <val>24.18</val>
          </value>
        </values>
      </ddeItem>
      <ddeItem name="00693UN.TW-Price" advise="1">
        <values>
          <value>
            <val>24.33</val>
          </value>
        </values>
      </ddeItem>
      <ddeItem name="00694B.TW-BestAsk1" advise="1">
        <values>
          <value>
            <val>37.46</val>
          </value>
        </values>
      </ddeItem>
      <ddeItem name="00694B.TW-BestBid1" advise="1">
        <values>
          <value>
            <val>37.4</val>
          </value>
        </values>
      </ddeItem>
      <ddeItem name="00694B.TW-Open" advise="1">
        <values>
          <value>
            <val>37.36</val>
          </value>
        </values>
      </ddeItem>
      <ddeItem name="00694B.TW-PreClose" advise="1">
        <values>
          <value>
            <val>37.44</val>
          </value>
        </values>
      </ddeItem>
      <ddeItem name="00694B.TW-Price" advise="1">
        <values>
          <value>
            <val>37.4</val>
          </value>
        </values>
      </ddeItem>
      <ddeItem name="00694BN.TW-Price" advise="1">
        <values>
          <value>
            <val>37.409999999999997</val>
          </value>
        </values>
      </ddeItem>
      <ddeItem name="00695B.TW-BestAsk1" advise="1">
        <values>
          <value>
            <val>36.700000000000003</val>
          </value>
        </values>
      </ddeItem>
      <ddeItem name="00695B.TW-BestBid1" advise="1">
        <values>
          <value>
            <val>36.67</val>
          </value>
        </values>
      </ddeItem>
      <ddeItem name="00695B.TW-Open" advise="1">
        <values>
          <value>
            <val>36.68</val>
          </value>
        </values>
      </ddeItem>
      <ddeItem name="00695B.TW-PreClose" advise="1">
        <values>
          <value>
            <val>36.65</val>
          </value>
        </values>
      </ddeItem>
      <ddeItem name="00695B.TW-Price" advise="1">
        <values>
          <value>
            <val>36.67</val>
          </value>
        </values>
      </ddeItem>
      <ddeItem name="00695BN.TW-Price" advise="1">
        <values>
          <value>
            <val>36.67</val>
          </value>
        </values>
      </ddeItem>
      <ddeItem name="00696B.TW-BestAsk1" advise="1">
        <values>
          <value>
            <val>40.4</val>
          </value>
        </values>
      </ddeItem>
      <ddeItem name="00696B.TW-BestBid1" advise="1">
        <values>
          <value>
            <val>40.39</val>
          </value>
        </values>
      </ddeItem>
      <ddeItem name="00696B.TW-Open" advise="1">
        <values>
          <value>
            <val>40.28</val>
          </value>
        </values>
      </ddeItem>
      <ddeItem name="00696B.TW-PreClose" advise="1">
        <values>
          <value>
            <val>40.32</val>
          </value>
        </values>
      </ddeItem>
      <ddeItem name="00696B.TW-Price" advise="1">
        <values>
          <value>
            <val>40.409999999999997</val>
          </value>
        </values>
      </ddeItem>
      <ddeItem name="00696BN.TW-Price" advise="1">
        <values>
          <value>
            <val>40.28</val>
          </value>
        </values>
      </ddeItem>
      <ddeItem name="00697B.TW-BestAsk1" advise="1">
        <values>
          <value>
            <val>39.1</val>
          </value>
        </values>
      </ddeItem>
      <ddeItem name="00697B.TW-BestBid1" advise="1">
        <values>
          <value>
            <val>39.049999999999997</val>
          </value>
        </values>
      </ddeItem>
      <ddeItem name="00697B.TW-Open" advise="1">
        <values>
          <value>
            <val>39.04</val>
          </value>
        </values>
      </ddeItem>
      <ddeItem name="00697B.TW-PreClose" advise="1">
        <values>
          <value>
            <val>38.99</val>
          </value>
        </values>
      </ddeItem>
      <ddeItem name="00697B.TW-Price" advise="1">
        <values>
          <value>
            <val>39.06</val>
          </value>
        </values>
      </ddeItem>
      <ddeItem name="00697BN.TW-Price" advise="1">
        <values>
          <value>
            <val>39.090000000000003</val>
          </value>
        </values>
      </ddeItem>
      <ddeItem name="00700.TW-BestAsk1" advise="1">
        <values>
          <value>
            <val>18.399999999999999</val>
          </value>
        </values>
      </ddeItem>
      <ddeItem name="00700.TW-BestBid1" advise="1">
        <values>
          <value>
            <val>18.32</val>
          </value>
        </values>
      </ddeItem>
      <ddeItem name="00700.TW-Open" advise="1">
        <values>
          <value>
            <val>18.399999999999999</val>
          </value>
        </values>
      </ddeItem>
      <ddeItem name="00700.TW-PreClose" advise="1">
        <values>
          <value>
            <val>18.45</val>
          </value>
        </values>
      </ddeItem>
      <ddeItem name="00700.TW-Price" advise="1">
        <values>
          <value>
            <val>18.36</val>
          </value>
        </values>
      </ddeItem>
      <ddeItem name="00700N.TW-Price" advise="1">
        <values>
          <value>
            <val>18.54</val>
          </value>
        </values>
      </ddeItem>
      <ddeItem name="00701.TW-BestAsk1" advise="1">
        <values>
          <value>
            <val>23.38</val>
          </value>
        </values>
      </ddeItem>
      <ddeItem name="00701.TW-BestBid1" advise="1">
        <values>
          <value>
            <val>23.37</val>
          </value>
        </values>
      </ddeItem>
      <ddeItem name="00701.TW-Open" advise="1">
        <values>
          <value>
            <val>23.4</val>
          </value>
        </values>
      </ddeItem>
      <ddeItem name="00701.TW-PreClose" advise="1">
        <values>
          <value>
            <val>23.2</val>
          </value>
        </values>
      </ddeItem>
      <ddeItem name="00701.TW-Price" advise="1">
        <values>
          <value>
            <val>23.37</val>
          </value>
        </values>
      </ddeItem>
      <ddeItem name="00701N.TW-Price" advise="1">
        <values>
          <value>
            <val>23.52</val>
          </value>
        </values>
      </ddeItem>
      <ddeItem name="00702.TW-BestAsk1" advise="1">
        <values>
          <value>
            <val>20.9</val>
          </value>
        </values>
      </ddeItem>
      <ddeItem name="00702.TW-BestBid1" advise="1">
        <values>
          <value>
            <val>20.88</val>
          </value>
        </values>
      </ddeItem>
      <ddeItem name="00702.TW-Open" advise="1">
        <values>
          <value>
            <val>20.88</val>
          </value>
        </values>
      </ddeItem>
      <ddeItem name="00702.TW-PreClose" advise="1">
        <values>
          <value>
            <val>20.54</val>
          </value>
        </values>
      </ddeItem>
      <ddeItem name="00702.TW-Price" advise="1">
        <values>
          <value>
            <val>20.9</val>
          </value>
        </values>
      </ddeItem>
      <ddeItem name="00702N.TW-Price" advise="1">
        <values>
          <value>
            <val>20.87</val>
          </value>
        </values>
      </ddeItem>
      <ddeItem name="00703.TW-BestAsk1" advise="1">
        <values>
          <value>
            <val>23.42</val>
          </value>
        </values>
      </ddeItem>
      <ddeItem name="00703.TW-BestBid1" advise="1">
        <values>
          <value>
            <val>23.4</val>
          </value>
        </values>
      </ddeItem>
      <ddeItem name="00703.TW-Open" advise="1">
        <values>
          <value>
            <val>23.67</val>
          </value>
        </values>
      </ddeItem>
      <ddeItem name="00703.TW-PreClose" advise="1">
        <values>
          <value>
            <val>23.79</val>
          </value>
        </values>
      </ddeItem>
      <ddeItem name="00703.TW-Price" advise="1">
        <values>
          <value>
            <val>23.43</val>
          </value>
        </values>
      </ddeItem>
      <ddeItem name="00703N.TW-Price" advise="1">
        <values>
          <value>
            <val>23.52</val>
          </value>
        </values>
      </ddeItem>
      <ddeItem name="00706L.TW-BestAsk1" advise="1">
        <values>
          <value>
            <val>16.16</val>
          </value>
        </values>
      </ddeItem>
      <ddeItem name="00706L.TW-BestBid1" advise="1">
        <values>
          <value>
            <val>16.12</val>
          </value>
        </values>
      </ddeItem>
      <ddeItem name="00706L.TW-Open" advise="1">
        <values>
          <value>
            <val>16.14</val>
          </value>
        </values>
      </ddeItem>
      <ddeItem name="00706L.TW-PreClose" advise="1">
        <values>
          <value>
            <val>16.11</val>
          </value>
        </values>
      </ddeItem>
      <ddeItem name="00706L.TW-Price" advise="1">
        <values>
          <value>
            <val>16.16</val>
          </value>
        </values>
      </ddeItem>
      <ddeItem name="00706LN.TW-Price" advise="1">
        <values>
          <value>
            <val>16.21</val>
          </value>
        </values>
      </ddeItem>
      <ddeItem name="00707R.TW-BestAsk1" advise="1">
        <values>
          <value>
            <val>19.75</val>
          </value>
        </values>
      </ddeItem>
      <ddeItem name="00707R.TW-BestBid1" advise="1">
        <values>
          <value>
            <val>19.71</val>
          </value>
        </values>
      </ddeItem>
      <ddeItem name="00707R.TW-Open" advise="1">
        <values>
          <value t="str">
            <val>--</val>
          </value>
        </values>
      </ddeItem>
      <ddeItem name="00707R.TW-PreClose" advise="1">
        <values>
          <value>
            <val>19.73</val>
          </value>
        </values>
      </ddeItem>
      <ddeItem name="00707R.TW-Price" advise="1">
        <values>
          <value t="str">
            <val>--</val>
          </value>
        </values>
      </ddeItem>
      <ddeItem name="00707RN.TW-Price" advise="1">
        <values>
          <value>
            <val>19.809999999999999</val>
          </value>
        </values>
      </ddeItem>
      <ddeItem name="00708L.TW-BestAsk1" advise="1">
        <values>
          <value>
            <val>27.32</val>
          </value>
        </values>
      </ddeItem>
      <ddeItem name="00708L.TW-BestBid1" advise="1">
        <values>
          <value>
            <val>27.31</val>
          </value>
        </values>
      </ddeItem>
      <ddeItem name="00708L.TW-Open" advise="1">
        <values>
          <value>
            <val>27.4</val>
          </value>
        </values>
      </ddeItem>
      <ddeItem name="00708L.TW-PreClose" advise="1">
        <values>
          <value>
            <val>27.2</val>
          </value>
        </values>
      </ddeItem>
      <ddeItem name="00708L.TW-Price" advise="1">
        <values>
          <value>
            <val>27.32</val>
          </value>
        </values>
      </ddeItem>
      <ddeItem name="00708LN.TW-Price" advise="1">
        <values>
          <value>
            <val>27.68</val>
          </value>
        </values>
      </ddeItem>
      <ddeItem name="00709.TW-BestAsk1" advise="1">
        <values>
          <value>
            <val>23.4</val>
          </value>
        </values>
      </ddeItem>
      <ddeItem name="00709.TW-BestBid1" advise="1">
        <values>
          <value>
            <val>23.35</val>
          </value>
        </values>
      </ddeItem>
      <ddeItem name="00709.TW-Open" advise="1">
        <values>
          <value>
            <val>23.3</val>
          </value>
        </values>
      </ddeItem>
      <ddeItem name="00709.TW-PreClose" advise="1">
        <values>
          <value>
            <val>23.12</val>
          </value>
        </values>
      </ddeItem>
      <ddeItem name="00709.TW-Price" advise="1">
        <values>
          <value>
            <val>23.37</val>
          </value>
        </values>
      </ddeItem>
      <ddeItem name="00709N.TW-Price" advise="1">
        <values>
          <value>
            <val>23.41</val>
          </value>
        </values>
      </ddeItem>
      <ddeItem name="00710B.TW-BestAsk1" advise="1">
        <values>
          <value>
            <val>18.46</val>
          </value>
        </values>
      </ddeItem>
      <ddeItem name="00710B.TW-BestBid1" advise="1">
        <values>
          <value>
            <val>18.45</val>
          </value>
        </values>
      </ddeItem>
      <ddeItem name="00710B.TW-Open" advise="1">
        <values>
          <value>
            <val>18.39</val>
          </value>
        </values>
      </ddeItem>
      <ddeItem name="00710B.TW-PreClose" advise="1">
        <values>
          <value>
            <val>18.350000000000001</val>
          </value>
        </values>
      </ddeItem>
      <ddeItem name="00710B.TW-Price" advise="1">
        <values>
          <value>
            <val>18.46</val>
          </value>
        </values>
      </ddeItem>
      <ddeItem name="00710BN.TW-Price" advise="1">
        <values>
          <value>
            <val>18.329999999999998</val>
          </value>
        </values>
      </ddeItem>
      <ddeItem name="00711B.TW-BestAsk1" advise="1">
        <values>
          <value>
            <val>19.93</val>
          </value>
        </values>
      </ddeItem>
      <ddeItem name="00711B.TW-BestBid1" advise="1">
        <values>
          <value>
            <val>19.91</val>
          </value>
        </values>
      </ddeItem>
      <ddeItem name="00711B.TW-Open" advise="1">
        <values>
          <value>
            <val>19.87</val>
          </value>
        </values>
      </ddeItem>
      <ddeItem name="00711B.TW-PreClose" advise="1">
        <values>
          <value>
            <val>19.850000000000001</val>
          </value>
        </values>
      </ddeItem>
      <ddeItem name="00711B.TW-Price" advise="1">
        <values>
          <value>
            <val>19.93</val>
          </value>
        </values>
      </ddeItem>
      <ddeItem name="00711BN.TW-Price" advise="1">
        <values>
          <value>
            <val>19.86</val>
          </value>
        </values>
      </ddeItem>
      <ddeItem name="00712.TW-BestAsk1" advise="1">
        <values>
          <value>
            <val>13.94</val>
          </value>
        </values>
      </ddeItem>
      <ddeItem name="00712.TW-BestBid1" advise="1">
        <values>
          <value>
            <val>13.93</val>
          </value>
        </values>
      </ddeItem>
      <ddeItem name="00712.TW-Open" advise="1">
        <values>
          <value>
            <val>13.84</val>
          </value>
        </values>
      </ddeItem>
      <ddeItem name="00712.TW-PreClose" advise="1">
        <values>
          <value>
            <val>13.62</val>
          </value>
        </values>
      </ddeItem>
      <ddeItem name="00712.TW-Price" advise="1">
        <values>
          <value>
            <val>13.93</val>
          </value>
        </values>
      </ddeItem>
      <ddeItem name="00712N.TW-Price" advise="1">
        <values>
          <value>
            <val>13.95</val>
          </value>
        </values>
      </ddeItem>
      <ddeItem name="00713.TW-BestAsk1" advise="1">
        <values>
          <value>
            <val>40.450000000000003</val>
          </value>
        </values>
      </ddeItem>
      <ddeItem name="00713.TW-BestBid1" advise="1">
        <values>
          <value>
            <val>40.44</val>
          </value>
        </values>
      </ddeItem>
      <ddeItem name="00713.TW-Open" advise="1">
        <values>
          <value>
            <val>40.89</val>
          </value>
        </values>
      </ddeItem>
      <ddeItem name="00713.TW-PreClose" advise="1">
        <values>
          <value>
            <val>40.729999999999997</val>
          </value>
        </values>
      </ddeItem>
      <ddeItem name="00713.TW-Price" advise="1">
        <values>
          <value>
            <val>40.44</val>
          </value>
        </values>
      </ddeItem>
      <ddeItem name="00713N.TW-Price" advise="1">
        <values>
          <value>
            <val>40.700000000000003</val>
          </value>
        </values>
      </ddeItem>
      <ddeItem name="00714.TW-BestAsk1" advise="1">
        <values>
          <value>
            <val>20.68</val>
          </value>
        </values>
      </ddeItem>
      <ddeItem name="00714.TW-BestBid1" advise="1">
        <values>
          <value>
            <val>20.63</val>
          </value>
        </values>
      </ddeItem>
      <ddeItem name="00714.TW-Open" advise="1">
        <values>
          <value>
            <val>20.62</val>
          </value>
        </values>
      </ddeItem>
      <ddeItem name="00714.TW-PreClose" advise="1">
        <values>
          <value>
            <val>20.32</val>
          </value>
        </values>
      </ddeItem>
      <ddeItem name="00714.TW-Price" advise="1">
        <values>
          <value>
            <val>20.62</val>
          </value>
        </values>
      </ddeItem>
      <ddeItem name="00714N.TW-Price" advise="1">
        <values>
          <value>
            <val>20.65</val>
          </value>
        </values>
      </ddeItem>
      <ddeItem name="00715L.TW-BestAsk1" advise="1">
        <values>
          <value>
            <val>7.18</val>
          </value>
        </values>
      </ddeItem>
      <ddeItem name="00715L.TW-BestBid1" advise="1">
        <values>
          <value>
            <val>7.17</val>
          </value>
        </values>
      </ddeItem>
      <ddeItem name="00715L.TW-Open" advise="1">
        <values>
          <value>
            <val>7.2</val>
          </value>
        </values>
      </ddeItem>
      <ddeItem name="00715L.TW-PreClose" advise="1">
        <values>
          <value>
            <val>7.46</val>
          </value>
        </values>
      </ddeItem>
      <ddeItem name="00715L.TW-Price" advise="1">
        <values>
          <value>
            <val>7.18</val>
          </value>
        </values>
      </ddeItem>
      <ddeItem name="00715LN.TW-Price" advise="1">
        <values>
          <value>
            <val>7.25</val>
          </value>
        </values>
      </ddeItem>
      <ddeItem name="00717.TW-BestAsk1" advise="1">
        <values>
          <value>
            <val>16.55</val>
          </value>
        </values>
      </ddeItem>
      <ddeItem name="00717.TW-BestBid1" advise="1">
        <values>
          <value>
            <val>16.54</val>
          </value>
        </values>
      </ddeItem>
      <ddeItem name="00717.TW-Open" advise="1">
        <values>
          <value>
            <val>16.489999999999998</val>
          </value>
        </values>
      </ddeItem>
      <ddeItem name="00717.TW-PreClose" advise="1">
        <values>
          <value>
            <val>16.48</val>
          </value>
        </values>
      </ddeItem>
      <ddeItem name="00717.TW-Price" advise="1">
        <values>
          <value>
            <val>16.54</val>
          </value>
        </values>
      </ddeItem>
      <ddeItem name="00717N.TW-Price" advise="1">
        <values>
          <value>
            <val>16.649999999999999</val>
          </value>
        </values>
      </ddeItem>
      <ddeItem name="00718B.TW-BestAsk1" advise="1">
        <values>
          <value>
            <val>19.670000000000002</val>
          </value>
        </values>
      </ddeItem>
      <ddeItem name="00718B.TW-BestBid1" advise="1">
        <values>
          <value>
            <val>19.66</val>
          </value>
        </values>
      </ddeItem>
      <ddeItem name="00718B.TW-Open" advise="1">
        <values>
          <value>
            <val>19.600000000000001</val>
          </value>
        </values>
      </ddeItem>
      <ddeItem name="00718B.TW-PreClose" advise="1">
        <values>
          <value>
            <val>19.600000000000001</val>
          </value>
        </values>
      </ddeItem>
      <ddeItem name="00718B.TW-Price" advise="1">
        <values>
          <value>
            <val>19.66</val>
          </value>
        </values>
      </ddeItem>
      <ddeItem name="00718BN.TW-Price" advise="1">
        <values>
          <value>
            <val>19.739999999999998</val>
          </value>
        </values>
      </ddeItem>
      <ddeItem name="00719B.TW-BestAsk1" advise="1">
        <values>
          <value>
            <val>30.2</val>
          </value>
        </values>
      </ddeItem>
      <ddeItem name="00719B.TW-BestBid1" advise="1">
        <values>
          <value>
            <val>30.12</val>
          </value>
        </values>
      </ddeItem>
      <ddeItem name="00719B.TW-Open" advise="1">
        <values>
          <value>
            <val>30.15</val>
          </value>
        </values>
      </ddeItem>
      <ddeItem name="00719B.TW-PreClose" advise="1">
        <values>
          <value>
            <val>30.16</val>
          </value>
        </values>
      </ddeItem>
      <ddeItem name="00719B.TW-Price" advise="1">
        <values>
          <value>
            <val>30.15</val>
          </value>
        </values>
      </ddeItem>
      <ddeItem name="00719BN.TW-Price" advise="1">
        <values>
          <value>
            <val>30.17</val>
          </value>
        </values>
      </ddeItem>
      <ddeItem name="00720B.TW-BestAsk1" advise="1">
        <values>
          <value>
            <val>41.8</val>
          </value>
        </values>
      </ddeItem>
      <ddeItem name="00720B.TW-BestBid1" advise="1">
        <values>
          <value>
            <val>41.79</val>
          </value>
        </values>
      </ddeItem>
      <ddeItem name="00720B.TW-Open" advise="1">
        <values>
          <value>
            <val>41.7</val>
          </value>
        </values>
      </ddeItem>
      <ddeItem name="00720B.TW-PreClose" advise="1">
        <values>
          <value>
            <val>41.67</val>
          </value>
        </values>
      </ddeItem>
      <ddeItem name="00720B.TW-Price" advise="1">
        <values>
          <value>
            <val>41.85</val>
          </value>
        </values>
      </ddeItem>
      <ddeItem name="00720BN.TW-Price" advise="1">
        <values>
          <value>
            <val>41.79</val>
          </value>
        </values>
      </ddeItem>
      <ddeItem name="00721B.TW-BestAsk1" advise="1">
        <values>
          <value>
            <val>45.05</val>
          </value>
        </values>
      </ddeItem>
      <ddeItem name="00721B.TW-BestBid1" advise="1">
        <values>
          <value>
            <val>45.02</val>
          </value>
        </values>
      </ddeItem>
      <ddeItem name="00721B.TW-Open" advise="1">
        <values>
          <value>
            <val>44.98</val>
          </value>
        </values>
      </ddeItem>
      <ddeItem name="00721B.TW-PreClose" advise="1">
        <values>
          <value>
            <val>45.14</val>
          </value>
        </values>
      </ddeItem>
      <ddeItem name="00721B.TW-Price" advise="1">
        <values>
          <value>
            <val>45.05</val>
          </value>
        </values>
      </ddeItem>
      <ddeItem name="00721BN.TW-Price" advise="1">
        <values>
          <value>
            <val>45.26</val>
          </value>
        </values>
      </ddeItem>
      <ddeItem name="00722B.TW-BestAsk1" advise="1">
        <values>
          <value>
            <val>44.3</val>
          </value>
        </values>
      </ddeItem>
      <ddeItem name="00722B.TW-BestBid1" advise="1">
        <values>
          <value>
            <val>44.27</val>
          </value>
        </values>
      </ddeItem>
      <ddeItem name="00722B.TW-Open" advise="1">
        <values>
          <value>
            <val>44.22</val>
          </value>
        </values>
      </ddeItem>
      <ddeItem name="00722B.TW-PreClose" advise="1">
        <values>
          <value>
            <val>44.16</val>
          </value>
        </values>
      </ddeItem>
      <ddeItem name="00722B.TW-Price" advise="1">
        <values>
          <value>
            <val>44.3</val>
          </value>
        </values>
      </ddeItem>
      <ddeItem name="00722BN.TW-Price" advise="1">
        <values>
          <value>
            <val>44.17</val>
          </value>
        </values>
      </ddeItem>
      <ddeItem name="00723B.TW-BestAsk1" advise="1">
        <values>
          <value>
            <val>40.299999999999997</val>
          </value>
        </values>
      </ddeItem>
      <ddeItem name="00723B.TW-BestBid1" advise="1">
        <values>
          <value>
            <val>40.22</val>
          </value>
        </values>
      </ddeItem>
      <ddeItem name="00723B.TW-Open" advise="1">
        <values>
          <value>
            <val>40.130000000000003</val>
          </value>
        </values>
      </ddeItem>
      <ddeItem name="00723B.TW-PreClose" advise="1">
        <values>
          <value>
            <val>40.090000000000003</val>
          </value>
        </values>
      </ddeItem>
      <ddeItem name="00723B.TW-Price" advise="1">
        <values>
          <value>
            <val>40.22</val>
          </value>
        </values>
      </ddeItem>
      <ddeItem name="00723BN.TW-Price" advise="1">
        <values>
          <value>
            <val>40.04</val>
          </value>
        </values>
      </ddeItem>
      <ddeItem name="00724B.TW-BestAsk1" advise="1">
        <values>
          <value>
            <val>40.299999999999997</val>
          </value>
        </values>
      </ddeItem>
      <ddeItem name="00724B.TW-BestBid1" advise="1">
        <values>
          <value>
            <val>40.28</val>
          </value>
        </values>
      </ddeItem>
      <ddeItem name="00724B.TW-Open" advise="1">
        <values>
          <value>
            <val>40.299999999999997</val>
          </value>
        </values>
      </ddeItem>
      <ddeItem name="00724B.TW-PreClose" advise="1">
        <values>
          <value>
            <val>40.01</val>
          </value>
        </values>
      </ddeItem>
      <ddeItem name="00724B.TW-Price" advise="1">
        <values>
          <value>
            <val>40.369999999999997</val>
          </value>
        </values>
      </ddeItem>
      <ddeItem name="00724BN.TW-Price" advise="1">
        <values>
          <value>
            <val>40.130000000000003</val>
          </value>
        </values>
      </ddeItem>
      <ddeItem name="00725B.TW-BestAsk1" advise="1">
        <values>
          <value>
            <val>42.3</val>
          </value>
        </values>
      </ddeItem>
      <ddeItem name="00725B.TW-BestBid1" advise="1">
        <values>
          <value>
            <val>42.28</val>
          </value>
        </values>
      </ddeItem>
      <ddeItem name="00725B.TW-Open" advise="1">
        <values>
          <value>
            <val>42.23</val>
          </value>
        </values>
      </ddeItem>
      <ddeItem name="00725B.TW-PreClose" advise="1">
        <values>
          <value>
            <val>42.16</val>
          </value>
        </values>
      </ddeItem>
      <ddeItem name="00725B.TW-Price" advise="1">
        <values>
          <value>
            <val>42.3</val>
          </value>
        </values>
      </ddeItem>
      <ddeItem name="00725BN.TW-Price" advise="1">
        <values>
          <value>
            <val>42.31</val>
          </value>
        </values>
      </ddeItem>
      <ddeItem name="00726B.TW-BestAsk1" advise="1">
        <values>
          <value>
            <val>41.33</val>
          </value>
        </values>
      </ddeItem>
      <ddeItem name="00726B.TW-BestBid1" advise="1">
        <values>
          <value>
            <val>41.22</val>
          </value>
        </values>
      </ddeItem>
      <ddeItem name="00726B.TW-Open" advise="1">
        <values>
          <value>
            <val>41.2</val>
          </value>
        </values>
      </ddeItem>
      <ddeItem name="00726B.TW-PreClose" advise="1">
        <values>
          <value>
            <val>41.35</val>
          </value>
        </values>
      </ddeItem>
      <ddeItem name="00726B.TW-Price" advise="1">
        <values>
          <value>
            <val>41.3</val>
          </value>
        </values>
      </ddeItem>
      <ddeItem name="00726BN.TW-Price" advise="1">
        <values>
          <value>
            <val>41.35</val>
          </value>
        </values>
      </ddeItem>
      <ddeItem name="00727B.TW-BestAsk1" advise="1">
        <values>
          <value>
            <val>38.35</val>
          </value>
        </values>
      </ddeItem>
      <ddeItem name="00727B.TW-BestBid1" advise="1">
        <values>
          <value>
            <val>38.340000000000003</val>
          </value>
        </values>
      </ddeItem>
      <ddeItem name="00727B.TW-Open" advise="1">
        <values>
          <value>
            <val>38.340000000000003</val>
          </value>
        </values>
      </ddeItem>
      <ddeItem name="00727B.TW-PreClose" advise="1">
        <values>
          <value>
            <val>38.340000000000003</val>
          </value>
        </values>
      </ddeItem>
      <ddeItem name="00727B.TW-Price" advise="1">
        <values>
          <value>
            <val>38.35</val>
          </value>
        </values>
      </ddeItem>
      <ddeItem name="00727BN.TW-Price" advise="1">
        <values>
          <value>
            <val>38.25</val>
          </value>
        </values>
      </ddeItem>
      <ddeItem name="00728.TW-BestAsk1" advise="1">
        <values>
          <value>
            <val>26.46</val>
          </value>
        </values>
      </ddeItem>
      <ddeItem name="00728.TW-BestBid1" advise="1">
        <values>
          <value>
            <val>26.45</val>
          </value>
        </values>
      </ddeItem>
      <ddeItem name="00728.TW-Open" advise="1">
        <values>
          <value>
            <val>26.5</val>
          </value>
        </values>
      </ddeItem>
      <ddeItem name="00728.TW-PreClose" advise="1">
        <values>
          <value>
            <val>26.07</val>
          </value>
        </values>
      </ddeItem>
      <ddeItem name="00728.TW-Price" advise="1">
        <values>
          <value>
            <val>26.45</val>
          </value>
        </values>
      </ddeItem>
      <ddeItem name="00728N.TW-Price" advise="1">
        <values>
          <value>
            <val>26.31</val>
          </value>
        </values>
      </ddeItem>
      <ddeItem name="00730.TW-BestAsk1" advise="1">
        <values>
          <value>
            <val>20.420000000000002</val>
          </value>
        </values>
      </ddeItem>
      <ddeItem name="00730.TW-BestBid1" advise="1">
        <values>
          <value>
            <val>20.399999999999999</val>
          </value>
        </values>
      </ddeItem>
      <ddeItem name="00730.TW-Open" advise="1">
        <values>
          <value>
            <val>20.3</val>
          </value>
        </values>
      </ddeItem>
      <ddeItem name="00730.TW-PreClose" advise="1">
        <values>
          <value>
            <val>20.29</val>
          </value>
        </values>
      </ddeItem>
      <ddeItem name="00730.TW-Price" advise="1">
        <values>
          <value>
            <val>20.399999999999999</val>
          </value>
        </values>
      </ddeItem>
      <ddeItem name="00730N.TW-Price" advise="1">
        <values>
          <value>
            <val>20.440000000000001</val>
          </value>
        </values>
      </ddeItem>
      <ddeItem name="00731.TW-BestAsk1" advise="1">
        <values>
          <value>
            <val>55.85</val>
          </value>
        </values>
      </ddeItem>
      <ddeItem name="00731.TW-BestBid1" advise="1">
        <values>
          <value>
            <val>55.7</val>
          </value>
        </values>
      </ddeItem>
      <ddeItem name="00731.TW-Open" advise="1">
        <values>
          <value>
            <val>55.35</val>
          </value>
        </values>
      </ddeItem>
      <ddeItem name="00731.TW-PreClose" advise="1">
        <values>
          <value>
            <val>55.35</val>
          </value>
        </values>
      </ddeItem>
      <ddeItem name="00731.TW-Price" advise="1">
        <values>
          <value>
            <val>55.85</val>
          </value>
        </values>
      </ddeItem>
      <ddeItem name="00731N.TW-Price" advise="1">
        <values>
          <value>
            <val>55.68</val>
          </value>
        </values>
      </ddeItem>
      <ddeItem name="00732.TW-BestAsk1" advise="1">
        <values>
          <value>
            <val>39.65</val>
          </value>
        </values>
      </ddeItem>
      <ddeItem name="00732.TW-BestBid1" advise="1">
        <values>
          <value>
            <val>39.590000000000003</val>
          </value>
        </values>
      </ddeItem>
      <ddeItem name="00732.TW-Open" advise="1">
        <values>
          <value>
            <val>39.69</val>
          </value>
        </values>
      </ddeItem>
      <ddeItem name="00732.TW-PreClose" advise="1">
        <values>
          <value>
            <val>39.75</val>
          </value>
        </values>
      </ddeItem>
      <ddeItem name="00732.TW-Price" advise="1">
        <values>
          <value>
            <val>39.69</val>
          </value>
        </values>
      </ddeItem>
      <ddeItem name="00732N.TW-Price" advise="1">
        <values>
          <value>
            <val>39.799999999999997</val>
          </value>
        </values>
      </ddeItem>
      <ddeItem name="00733.TW-BestAsk1" advise="1">
        <values>
          <value>
            <val>37.520000000000003</val>
          </value>
        </values>
      </ddeItem>
      <ddeItem name="00733.TW-BestBid1" advise="1">
        <values>
          <value>
            <val>37.5</val>
          </value>
        </values>
      </ddeItem>
      <ddeItem name="00733.TW-Open" advise="1">
        <values>
          <value>
            <val>38.46</val>
          </value>
        </values>
      </ddeItem>
      <ddeItem name="00733.TW-PreClose" advise="1">
        <values>
          <value>
            <val>37.72</val>
          </value>
        </values>
      </ddeItem>
      <ddeItem name="00733.TW-Price" advise="1">
        <values>
          <value>
            <val>37.5</val>
          </value>
        </values>
      </ddeItem>
      <ddeItem name="00733N.TW-Price" advise="1">
        <values>
          <value>
            <val>37.450000000000003</val>
          </value>
        </values>
      </ddeItem>
      <ddeItem name="00734B.TW-BestAsk1" advise="1">
        <values>
          <value>
            <val>19.239999999999998</val>
          </value>
        </values>
      </ddeItem>
      <ddeItem name="00734B.TW-BestBid1" advise="1">
        <values>
          <value>
            <val>19.21</val>
          </value>
        </values>
      </ddeItem>
      <ddeItem name="00734B.TW-Open" advise="1">
        <values>
          <value>
            <val>19.239999999999998</val>
          </value>
        </values>
      </ddeItem>
      <ddeItem name="00734B.TW-PreClose" advise="1">
        <values>
          <value>
            <val>19.21</val>
          </value>
        </values>
      </ddeItem>
      <ddeItem name="00734B.TW-Price" advise="1">
        <values>
          <value>
            <val>19.21</val>
          </value>
        </values>
      </ddeItem>
      <ddeItem name="00734BN.TW-Price" advise="1">
        <values>
          <value>
            <val>19.309999999999999</val>
          </value>
        </values>
      </ddeItem>
      <ddeItem name="00735.TW-BestAsk1" advise="1">
        <values>
          <value>
            <val>31.8</val>
          </value>
        </values>
      </ddeItem>
      <ddeItem name="00735.TW-BestBid1" advise="1">
        <values>
          <value>
            <val>31.75</val>
          </value>
        </values>
      </ddeItem>
      <ddeItem name="00735.TW-Open" advise="1">
        <values>
          <value>
            <val>31.64</val>
          </value>
        </values>
      </ddeItem>
      <ddeItem name="00735.TW-PreClose" advise="1">
        <values>
          <value>
            <val>31.6</val>
          </value>
        </values>
      </ddeItem>
      <ddeItem name="00735.TW-Price" advise="1">
        <values>
          <value>
            <val>31.69</val>
          </value>
        </values>
      </ddeItem>
      <ddeItem name="00735N.TW-Price" advise="1">
        <values>
          <value>
            <val>31.71</val>
          </value>
        </values>
      </ddeItem>
      <ddeItem name="00736.TW-BestAsk1" advise="1">
        <values>
          <value>
            <val>22.58</val>
          </value>
        </values>
      </ddeItem>
      <ddeItem name="00736.TW-BestBid1" advise="1">
        <values>
          <value>
            <val>22.57</val>
          </value>
        </values>
      </ddeItem>
      <ddeItem name="00736.TW-Open" advise="1">
        <values>
          <value>
            <val>22.56</val>
          </value>
        </values>
      </ddeItem>
      <ddeItem name="00736.TW-PreClose" advise="1">
        <values>
          <value>
            <val>22.55</val>
          </value>
        </values>
      </ddeItem>
      <ddeItem name="00736.TW-Price" advise="1">
        <values>
          <value>
            <val>22.58</val>
          </value>
        </values>
      </ddeItem>
      <ddeItem name="00736N.TW-Price" advise="1">
        <values>
          <value>
            <val>22.49</val>
          </value>
        </values>
      </ddeItem>
      <ddeItem name="00737.TW-BestAsk1" advise="1">
        <values>
          <value>
            <val>30.27</val>
          </value>
        </values>
      </ddeItem>
      <ddeItem name="00737.TW-BestBid1" advise="1">
        <values>
          <value>
            <val>30.23</val>
          </value>
        </values>
      </ddeItem>
      <ddeItem name="00737.TW-Open" advise="1">
        <values>
          <value>
            <val>30</val>
          </value>
        </values>
      </ddeItem>
      <ddeItem name="00737.TW-PreClose" advise="1">
        <values>
          <value>
            <val>30</val>
          </value>
        </values>
      </ddeItem>
      <ddeItem name="00737.TW-Price" advise="1">
        <values>
          <value>
            <val>30.27</val>
          </value>
        </values>
      </ddeItem>
      <ddeItem name="00737N.TW-Price" advise="1">
        <values>
          <value>
            <val>30.16</val>
          </value>
        </values>
      </ddeItem>
      <ddeItem name="00738U.TW-BestAsk1" advise="1">
        <values>
          <value>
            <val>27.93</val>
          </value>
        </values>
      </ddeItem>
      <ddeItem name="00738U.TW-BestBid1" advise="1">
        <values>
          <value>
            <val>27.91</val>
          </value>
        </values>
      </ddeItem>
      <ddeItem name="00738U.TW-Open" advise="1">
        <values>
          <value>
            <val>28.05</val>
          </value>
        </values>
      </ddeItem>
      <ddeItem name="00738U.TW-PreClose" advise="1">
        <values>
          <value>
            <val>27.96</val>
          </value>
        </values>
      </ddeItem>
      <ddeItem name="00738U.TW-Price" advise="1">
        <values>
          <value>
            <val>27.91</val>
          </value>
        </values>
      </ddeItem>
      <ddeItem name="00738UN.TW-Price" advise="1">
        <values>
          <value>
            <val>28.24</val>
          </value>
        </values>
      </ddeItem>
      <ddeItem name="00739.TW-BestAsk1" advise="1">
        <values>
          <value>
            <val>27.78</val>
          </value>
        </values>
      </ddeItem>
      <ddeItem name="00739.TW-BestBid1" advise="1">
        <values>
          <value>
            <val>27.77</val>
          </value>
        </values>
      </ddeItem>
      <ddeItem name="00739.TW-Open" advise="1">
        <values>
          <value>
            <val>27.35</val>
          </value>
        </values>
      </ddeItem>
      <ddeItem name="00739.TW-PreClose" advise="1">
        <values>
          <value>
            <val>27.1</val>
          </value>
        </values>
      </ddeItem>
      <ddeItem name="00739.TW-Price" advise="1">
        <values>
          <value>
            <val>27.77</val>
          </value>
        </values>
      </ddeItem>
      <ddeItem name="00739N.TW-Price" advise="1">
        <values>
          <value>
            <val>28.09</val>
          </value>
        </values>
      </ddeItem>
      <ddeItem name="00740B.TW-BestAsk1" advise="1">
        <values>
          <value>
            <val>45.33</val>
          </value>
        </values>
      </ddeItem>
      <ddeItem name="00740B.TW-BestBid1" advise="1">
        <values>
          <value>
            <val>45.25</val>
          </value>
        </values>
      </ddeItem>
      <ddeItem name="00740B.TW-Open" advise="1">
        <values>
          <value>
            <val>45.19</val>
          </value>
        </values>
      </ddeItem>
      <ddeItem name="00740B.TW-PreClose" advise="1">
        <values>
          <value>
            <val>45.15</val>
          </value>
        </values>
      </ddeItem>
      <ddeItem name="00740B.TW-Price" advise="1">
        <values>
          <value>
            <val>45.32</val>
          </value>
        </values>
      </ddeItem>
      <ddeItem name="00740BN.TW-Price" advise="1">
        <values>
          <value>
            <val>45.24</val>
          </value>
        </values>
      </ddeItem>
      <ddeItem name="00741B.TW-BestAsk1" advise="1">
        <values>
          <value>
            <val>37.46</val>
          </value>
        </values>
      </ddeItem>
      <ddeItem name="00741B.TW-BestBid1" advise="1">
        <values>
          <value>
            <val>37.39</val>
          </value>
        </values>
      </ddeItem>
      <ddeItem name="00741B.TW-Open" advise="1">
        <values>
          <value>
            <val>37.42</val>
          </value>
        </values>
      </ddeItem>
      <ddeItem name="00741B.TW-PreClose" advise="1">
        <values>
          <value>
            <val>37.450000000000003</val>
          </value>
        </values>
      </ddeItem>
      <ddeItem name="00741B.TW-Price" advise="1">
        <values>
          <value>
            <val>37.409999999999997</val>
          </value>
        </values>
      </ddeItem>
      <ddeItem name="00741BN.TW-Price" advise="1">
        <values>
          <value>
            <val>37.340000000000003</val>
          </value>
        </values>
      </ddeItem>
      <ddeItem name="00742.TW-BestAsk1" advise="1">
        <values>
          <value>
            <val>21.8</val>
          </value>
        </values>
      </ddeItem>
      <ddeItem name="00742.TW-BestBid1" advise="1">
        <values>
          <value>
            <val>21.72</val>
          </value>
        </values>
      </ddeItem>
      <ddeItem name="00742.TW-Open" advise="1">
        <values>
          <value>
            <val>21.82</val>
          </value>
        </values>
      </ddeItem>
      <ddeItem name="00742.TW-PreClose" advise="1">
        <values>
          <value>
            <val>21.6</val>
          </value>
        </values>
      </ddeItem>
      <ddeItem name="00742.TW-Price" advise="1">
        <values>
          <value>
            <val>21.75</val>
          </value>
        </values>
      </ddeItem>
      <ddeItem name="00742N.TW-Price" advise="1">
        <values>
          <value>
            <val>21.76</val>
          </value>
        </values>
      </ddeItem>
      <ddeItem name="00743.TW-BestAsk1" advise="1">
        <values>
          <value>
            <val>29.12</val>
          </value>
        </values>
      </ddeItem>
      <ddeItem name="00743.TW-BestBid1" advise="1">
        <values>
          <value>
            <val>29.05</val>
          </value>
        </values>
      </ddeItem>
      <ddeItem name="00743.TW-Open" advise="1">
        <values>
          <value>
            <val>28.49</val>
          </value>
        </values>
      </ddeItem>
      <ddeItem name="00743.TW-PreClose" advise="1">
        <values>
          <value>
            <val>28.49</val>
          </value>
        </values>
      </ddeItem>
      <ddeItem name="00743.TW-Price" advise="1">
        <values>
          <value>
            <val>29.05</val>
          </value>
        </values>
      </ddeItem>
      <ddeItem name="00743N.TW-Price" advise="1">
        <values>
          <value>
            <val>29.33</val>
          </value>
        </values>
      </ddeItem>
      <ddeItem name="00744B.TW-BestAsk1" advise="1">
        <values>
          <value>
            <val>41.45</val>
          </value>
        </values>
      </ddeItem>
      <ddeItem name="00744B.TW-BestBid1" advise="1">
        <values>
          <value>
            <val>41.43</val>
          </value>
        </values>
      </ddeItem>
      <ddeItem name="00744B.TW-Open" advise="1">
        <values>
          <value>
            <val>41.5</val>
          </value>
        </values>
      </ddeItem>
      <ddeItem name="00744B.TW-PreClose" advise="1">
        <values>
          <value>
            <val>41.44</val>
          </value>
        </values>
      </ddeItem>
      <ddeItem name="00744B.TW-Price" advise="1">
        <values>
          <value>
            <val>41.5</val>
          </value>
        </values>
      </ddeItem>
      <ddeItem name="00744BN.TW-Price" advise="1">
        <values>
          <value>
            <val>41.78</val>
          </value>
        </values>
      </ddeItem>
      <ddeItem name="00745B.TW-BestAsk1" advise="1">
        <values>
          <value>
            <val>40.65</val>
          </value>
        </values>
      </ddeItem>
      <ddeItem name="00745B.TW-BestBid1" advise="1">
        <values>
          <value>
            <val>40.479999999999997</val>
          </value>
        </values>
      </ddeItem>
      <ddeItem name="00745B.TW-Open" advise="1">
        <values>
          <value>
            <val>40.630000000000003</val>
          </value>
        </values>
      </ddeItem>
      <ddeItem name="00745B.TW-PreClose" advise="1">
        <values>
          <value>
            <val>40.57</val>
          </value>
        </values>
      </ddeItem>
      <ddeItem name="00745B.TW-Price" advise="1">
        <values>
          <value>
            <val>40.630000000000003</val>
          </value>
        </values>
      </ddeItem>
      <ddeItem name="00745BN.TW-Price" advise="1">
        <values>
          <value>
            <val>40.770000000000003</val>
          </value>
        </values>
      </ddeItem>
      <ddeItem name="00746B.TW-BestAsk1" advise="1">
        <values>
          <value>
            <val>42.45</val>
          </value>
        </values>
      </ddeItem>
      <ddeItem name="00746B.TW-BestBid1" advise="1">
        <values>
          <value>
            <val>42.41</val>
          </value>
        </values>
      </ddeItem>
      <ddeItem name="00746B.TW-Open" advise="1">
        <values>
          <value>
            <val>42.38</val>
          </value>
        </values>
      </ddeItem>
      <ddeItem name="00746B.TW-PreClose" advise="1">
        <values>
          <value>
            <val>42.38</val>
          </value>
        </values>
      </ddeItem>
      <ddeItem name="00746B.TW-Price" advise="1">
        <values>
          <value>
            <val>42.55</val>
          </value>
        </values>
      </ddeItem>
      <ddeItem name="00746BN.TW-Price" advise="1">
        <values>
          <value>
            <val>42.29</val>
          </value>
        </values>
      </ddeItem>
      <ddeItem name="00747B.TW-BestAsk1" advise="1">
        <values>
          <value>
            <val>50.8</val>
          </value>
        </values>
      </ddeItem>
      <ddeItem name="00747B.TW-BestBid1" advise="1">
        <values>
          <value>
            <val>50.7</val>
          </value>
        </values>
      </ddeItem>
      <ddeItem name="00747B.TW-Open" advise="1">
        <values>
          <value>
            <val>50.75</val>
          </value>
        </values>
      </ddeItem>
      <ddeItem name="00747B.TW-PreClose" advise="1">
        <values>
          <value>
            <val>50.8</val>
          </value>
        </values>
      </ddeItem>
      <ddeItem name="00747B.TW-Price" advise="1">
        <values>
          <value>
            <val>50.75</val>
          </value>
        </values>
      </ddeItem>
      <ddeItem name="00747BN.TW-Price" advise="1">
        <values>
          <value>
            <val>50.89</val>
          </value>
        </values>
      </ddeItem>
      <ddeItem name="00748B.TW-BestAsk1" advise="1">
        <values>
          <value>
            <val>41.55</val>
          </value>
        </values>
      </ddeItem>
      <ddeItem name="00748B.TW-BestBid1" advise="1">
        <values>
          <value>
            <val>41.54</val>
          </value>
        </values>
      </ddeItem>
      <ddeItem name="00748B.TW-Open" advise="1">
        <values>
          <value>
            <val>41.63</val>
          </value>
        </values>
      </ddeItem>
      <ddeItem name="00748B.TW-PreClose" advise="1">
        <values>
          <value>
            <val>41.63</val>
          </value>
        </values>
      </ddeItem>
      <ddeItem name="00748B.TW-Price" advise="1">
        <values>
          <value>
            <val>41.63</val>
          </value>
        </values>
      </ddeItem>
      <ddeItem name="00748BN.TW-Price" advise="1">
        <values>
          <value>
            <val>41.63</val>
          </value>
        </values>
      </ddeItem>
      <ddeItem name="00749B.TW-BestAsk1" advise="1">
        <values>
          <value>
            <val>41.65</val>
          </value>
        </values>
      </ddeItem>
      <ddeItem name="00749B.TW-BestBid1" advise="1">
        <values>
          <value>
            <val>41.6</val>
          </value>
        </values>
      </ddeItem>
      <ddeItem name="00749B.TW-Open" advise="1">
        <values>
          <value>
            <val>41.52</val>
          </value>
        </values>
      </ddeItem>
      <ddeItem name="00749B.TW-PreClose" advise="1">
        <values>
          <value>
            <val>41.63</val>
          </value>
        </values>
      </ddeItem>
      <ddeItem name="00749B.TW-Price" advise="1">
        <values>
          <value>
            <val>41.68</val>
          </value>
        </values>
      </ddeItem>
      <ddeItem name="00749BN.TW-Price" advise="1">
        <values>
          <value>
            <val>41.56</val>
          </value>
        </values>
      </ddeItem>
      <ddeItem name="00750B.TW-BestAsk1" advise="1">
        <values>
          <value>
            <val>41.25</val>
          </value>
        </values>
      </ddeItem>
      <ddeItem name="00750B.TW-BestBid1" advise="1">
        <values>
          <value>
            <val>41.21</val>
          </value>
        </values>
      </ddeItem>
      <ddeItem name="00750B.TW-Open" advise="1">
        <values>
          <value>
            <val>41.22</val>
          </value>
        </values>
      </ddeItem>
      <ddeItem name="00750B.TW-PreClose" advise="1">
        <values>
          <value>
            <val>41.22</val>
          </value>
        </values>
      </ddeItem>
      <ddeItem name="00750B.TW-Price" advise="1">
        <values>
          <value>
            <val>41.29</val>
          </value>
        </values>
      </ddeItem>
      <ddeItem name="00750BN.TW-Price" advise="1">
        <values>
          <value>
            <val>41.23</val>
          </value>
        </values>
      </ddeItem>
      <ddeItem name="00751B.TW-BestAsk1" advise="1">
        <values>
          <value>
            <val>42.53</val>
          </value>
        </values>
      </ddeItem>
      <ddeItem name="00751B.TW-BestBid1" advise="1">
        <values>
          <value>
            <val>42.46</val>
          </value>
        </values>
      </ddeItem>
      <ddeItem name="00751B.TW-Open" advise="1">
        <values>
          <value>
            <val>42.41</val>
          </value>
        </values>
      </ddeItem>
      <ddeItem name="00751B.TW-PreClose" advise="1">
        <values>
          <value>
            <val>42.41</val>
          </value>
        </values>
      </ddeItem>
      <ddeItem name="00751B.TW-Price" advise="1">
        <values>
          <value>
            <val>42.46</val>
          </value>
        </values>
      </ddeItem>
      <ddeItem name="00751BN.TW-Price" advise="1">
        <values>
          <value>
            <val>42.43</val>
          </value>
        </values>
      </ddeItem>
      <ddeItem name="00752.TW-BestAsk1" advise="1">
        <values>
          <value>
            <val>27.52</val>
          </value>
        </values>
      </ddeItem>
      <ddeItem name="00752.TW-BestBid1" advise="1">
        <values>
          <value>
            <val>27.51</val>
          </value>
        </values>
      </ddeItem>
      <ddeItem name="00752.TW-Open" advise="1">
        <values>
          <value>
            <val>27.69</val>
          </value>
        </values>
      </ddeItem>
      <ddeItem name="00752.TW-PreClose" advise="1">
        <values>
          <value>
            <val>27.85</val>
          </value>
        </values>
      </ddeItem>
      <ddeItem name="00752.TW-Price" advise="1">
        <values>
          <value>
            <val>27.52</val>
          </value>
        </values>
      </ddeItem>
      <ddeItem name="00752N.TW-Price" advise="1">
        <values>
          <value>
            <val>27.42</val>
          </value>
        </values>
      </ddeItem>
      <ddeItem name="00753L.TW-BestAsk1" advise="1">
        <values>
          <value>
            <val>33.39</val>
          </value>
        </values>
      </ddeItem>
      <ddeItem name="00753L.TW-BestBid1" advise="1">
        <values>
          <value>
            <val>33.35</val>
          </value>
        </values>
      </ddeItem>
      <ddeItem name="00753L.TW-Open" advise="1">
        <values>
          <value>
            <val>33.58</val>
          </value>
        </values>
      </ddeItem>
      <ddeItem name="00753L.TW-PreClose" advise="1">
        <values>
          <value>
            <val>33.99</val>
          </value>
        </values>
      </ddeItem>
      <ddeItem name="00753L.TW-Price" advise="1">
        <values>
          <value>
            <val>33.36</val>
          </value>
        </values>
      </ddeItem>
      <ddeItem name="00753LN.TW-Price" advise="1">
        <values>
          <value>
            <val>33.4</val>
          </value>
        </values>
      </ddeItem>
      <ddeItem name="00754B.TW-BestAsk1" advise="1">
        <values>
          <value>
            <val>43.86</val>
          </value>
        </values>
      </ddeItem>
      <ddeItem name="00754B.TW-BestBid1" advise="1">
        <values>
          <value>
            <val>43.79</val>
          </value>
        </values>
      </ddeItem>
      <ddeItem name="00754B.TW-Open" advise="1">
        <values>
          <value>
            <val>43.85</val>
          </value>
        </values>
      </ddeItem>
      <ddeItem name="00754B.TW-PreClose" advise="1">
        <values>
          <value>
            <val>43.66</val>
          </value>
        </values>
      </ddeItem>
      <ddeItem name="00754B.TW-Price" advise="1">
        <values>
          <value>
            <val>43.85</val>
          </value>
        </values>
      </ddeItem>
      <ddeItem name="00754BN.TW-Price" advise="1">
        <values>
          <value>
            <val>43.73</val>
          </value>
        </values>
      </ddeItem>
      <ddeItem name="00755B.TW-BestAsk1" advise="1">
        <values>
          <value>
            <val>42.2</val>
          </value>
        </values>
      </ddeItem>
      <ddeItem name="00755B.TW-BestBid1" advise="1">
        <values>
          <value>
            <val>42.1</val>
          </value>
        </values>
      </ddeItem>
      <ddeItem name="00755B.TW-Open" advise="1">
        <values>
          <value>
            <val>42.07</val>
          </value>
        </values>
      </ddeItem>
      <ddeItem name="00755B.TW-PreClose" advise="1">
        <values>
          <value>
            <val>42.07</val>
          </value>
        </values>
      </ddeItem>
      <ddeItem name="00755B.TW-Price" advise="1">
        <values>
          <value>
            <val>42.15</val>
          </value>
        </values>
      </ddeItem>
      <ddeItem name="00755BN.TW-Price" advise="1">
        <values>
          <value>
            <val>41.94</val>
          </value>
        </values>
      </ddeItem>
      <ddeItem name="00756B.TW-BestAsk1" advise="1">
        <values>
          <value>
            <val>43.58</val>
          </value>
        </values>
      </ddeItem>
      <ddeItem name="00756B.TW-BestBid1" advise="1">
        <values>
          <value>
            <val>43.46</val>
          </value>
        </values>
      </ddeItem>
      <ddeItem name="00756B.TW-Open" advise="1">
        <values>
          <value>
            <val>43.3</val>
          </value>
        </values>
      </ddeItem>
      <ddeItem name="00756B.TW-PreClose" advise="1">
        <values>
          <value>
            <val>43.52</val>
          </value>
        </values>
      </ddeItem>
      <ddeItem name="00756B.TW-Price" advise="1">
        <values>
          <value>
            <val>43.55</val>
          </value>
        </values>
      </ddeItem>
      <ddeItem name="00756BN.TW-Price" advise="1">
        <values>
          <value>
            <val>43.31</val>
          </value>
        </values>
      </ddeItem>
      <ddeItem name="00757.TW-BestAsk1" advise="1">
        <values>
          <value>
            <val>43.26</val>
          </value>
        </values>
      </ddeItem>
      <ddeItem name="00757.TW-BestBid1" advise="1">
        <values>
          <value>
            <val>43.24</val>
          </value>
        </values>
      </ddeItem>
      <ddeItem name="00757.TW-Open" advise="1">
        <values>
          <value>
            <val>43.2</val>
          </value>
        </values>
      </ddeItem>
      <ddeItem name="00757.TW-PreClose" advise="1">
        <values>
          <value>
            <val>43.01</val>
          </value>
        </values>
      </ddeItem>
      <ddeItem name="00757.TW-Price" advise="1">
        <values>
          <value>
            <val>43.24</val>
          </value>
        </values>
      </ddeItem>
      <ddeItem name="00757N.TW-Price" advise="1">
        <values>
          <value>
            <val>42.74</val>
          </value>
        </values>
      </ddeItem>
      <ddeItem name="00758B.TW-BestAsk1" advise="1">
        <values>
          <value>
            <val>60.25</val>
          </value>
        </values>
      </ddeItem>
      <ddeItem name="00758B.TW-BestBid1" advise="1">
        <values>
          <value>
            <val>60.05</val>
          </value>
        </values>
      </ddeItem>
      <ddeItem name="00758B.TW-Open" advise="1">
        <values>
          <value>
            <val>60.1</val>
          </value>
        </values>
      </ddeItem>
      <ddeItem name="00758B.TW-PreClose" advise="1">
        <values>
          <value>
            <val>60.05</val>
          </value>
        </values>
      </ddeItem>
      <ddeItem name="00758B.TW-Price" advise="1">
        <values>
          <value>
            <val>60.15</val>
          </value>
        </values>
      </ddeItem>
      <ddeItem name="00758BN.TW-Price" advise="1">
        <values>
          <value>
            <val>60.07</val>
          </value>
        </values>
      </ddeItem>
      <ddeItem name="00759B.TW-BestAsk1" advise="1">
        <values>
          <value>
            <val>67.05</val>
          </value>
        </values>
      </ddeItem>
      <ddeItem name="00759B.TW-BestBid1" advise="1">
        <values>
          <value>
            <val>66.900000000000006</val>
          </value>
        </values>
      </ddeItem>
      <ddeItem name="00759B.TW-Open" advise="1">
        <values>
          <value>
            <val>67.05</val>
          </value>
        </values>
      </ddeItem>
      <ddeItem name="00759B.TW-PreClose" advise="1">
        <values>
          <value>
            <val>66.95</val>
          </value>
        </values>
      </ddeItem>
      <ddeItem name="00759B.TW-Price" advise="1">
        <values>
          <value>
            <val>67.05</val>
          </value>
        </values>
      </ddeItem>
      <ddeItem name="00759BN.TW-Price" advise="1">
        <values>
          <value>
            <val>66.989999999999995</val>
          </value>
        </values>
      </ddeItem>
      <ddeItem name="00760B.TW-BestAsk1" advise="1">
        <values>
          <value>
            <val>64.150000000000006</val>
          </value>
        </values>
      </ddeItem>
      <ddeItem name="00760B.TW-BestBid1" advise="1">
        <values>
          <value>
            <val>64</val>
          </value>
        </values>
      </ddeItem>
      <ddeItem name="00760B.TW-Open" advise="1">
        <values>
          <value>
            <val>64.099999999999994</val>
          </value>
        </values>
      </ddeItem>
      <ddeItem name="00760B.TW-PreClose" advise="1">
        <values>
          <value>
            <val>64.25</val>
          </value>
        </values>
      </ddeItem>
      <ddeItem name="00760B.TW-Price" advise="1">
        <values>
          <value>
            <val>64.150000000000006</val>
          </value>
        </values>
      </ddeItem>
      <ddeItem name="00760BN.TW-Price" advise="1">
        <values>
          <value>
            <val>63.9</val>
          </value>
        </values>
      </ddeItem>
      <ddeItem name="00761B.TW-BestAsk1" advise="1">
        <values>
          <value>
            <val>43.5</val>
          </value>
        </values>
      </ddeItem>
      <ddeItem name="00761B.TW-BestBid1" advise="1">
        <values>
          <value>
            <val>43.47</val>
          </value>
        </values>
      </ddeItem>
      <ddeItem name="00761B.TW-Open" advise="1">
        <values>
          <value>
            <val>43.46</val>
          </value>
        </values>
      </ddeItem>
      <ddeItem name="00761B.TW-PreClose" advise="1">
        <values>
          <value>
            <val>43.24</val>
          </value>
        </values>
      </ddeItem>
      <ddeItem name="00761B.TW-Price" advise="1">
        <values>
          <value>
            <val>43.47</val>
          </value>
        </values>
      </ddeItem>
      <ddeItem name="00761BN.TW-Price" advise="1">
        <values>
          <value>
            <val>43.55</val>
          </value>
        </values>
      </ddeItem>
      <ddeItem name="00762.TW-BestAsk1" advise="1">
        <values>
          <value>
            <val>34.869999999999997</val>
          </value>
        </values>
      </ddeItem>
      <ddeItem name="00762.TW-BestBid1" advise="1">
        <values>
          <value>
            <val>34.85</val>
          </value>
        </values>
      </ddeItem>
      <ddeItem name="00762.TW-Open" advise="1">
        <values>
          <value>
            <val>34.72</val>
          </value>
        </values>
      </ddeItem>
      <ddeItem name="00762.TW-PreClose" advise="1">
        <values>
          <value>
            <val>34.6</val>
          </value>
        </values>
      </ddeItem>
      <ddeItem name="00762.TW-Price" advise="1">
        <values>
          <value>
            <val>34.83</val>
          </value>
        </values>
      </ddeItem>
      <ddeItem name="00762N.TW-Price" advise="1">
        <values>
          <value>
            <val>34.72</val>
          </value>
        </values>
      </ddeItem>
      <ddeItem name="00763U.TW-BestAsk1" advise="1">
        <values>
          <value>
            <val>30.24</val>
          </value>
        </values>
      </ddeItem>
      <ddeItem name="00763U.TW-BestBid1" advise="1">
        <values>
          <value>
            <val>30.23</val>
          </value>
        </values>
      </ddeItem>
      <ddeItem name="00763U.TW-Open" advise="1">
        <values>
          <value>
            <val>30.72</val>
          </value>
        </values>
      </ddeItem>
      <ddeItem name="00763U.TW-PreClose" advise="1">
        <values>
          <value>
            <val>30.79</val>
          </value>
        </values>
      </ddeItem>
      <ddeItem name="00763U.TW-Price" advise="1">
        <values>
          <value>
            <val>30.24</val>
          </value>
        </values>
      </ddeItem>
      <ddeItem name="00763UN.TW-Price" advise="1">
        <values>
          <value>
            <val>30.29</val>
          </value>
        </values>
      </ddeItem>
      <ddeItem name="00764B.TW-BestAsk1" advise="1">
        <values>
          <value>
            <val>40.299999999999997</val>
          </value>
        </values>
      </ddeItem>
      <ddeItem name="00764B.TW-BestBid1" advise="1">
        <values>
          <value>
            <val>40.29</val>
          </value>
        </values>
      </ddeItem>
      <ddeItem name="00764B.TW-Open" advise="1">
        <values>
          <value>
            <val>40.22</val>
          </value>
        </values>
      </ddeItem>
      <ddeItem name="00764B.TW-PreClose" advise="1">
        <values>
          <value>
            <val>40.22</val>
          </value>
        </values>
      </ddeItem>
      <ddeItem name="00764B.TW-Price" advise="1">
        <values>
          <value>
            <val>40.340000000000003</val>
          </value>
        </values>
      </ddeItem>
      <ddeItem name="00764BN.TW-Price" advise="1">
        <values>
          <value>
            <val>40.369999999999997</val>
          </value>
        </values>
      </ddeItem>
      <ddeItem name="00765B.TW-BestAsk1" advise="1">
        <values>
          <value>
            <val>40.01</val>
          </value>
        </values>
      </ddeItem>
      <ddeItem name="00765B.TW-BestBid1" advise="1">
        <values>
          <value>
            <val>39.9</val>
          </value>
        </values>
      </ddeItem>
      <ddeItem name="00765B.TW-Open" advise="1">
        <values>
          <value>
            <val>39.799999999999997</val>
          </value>
        </values>
      </ddeItem>
      <ddeItem name="00765B.TW-PreClose" advise="1">
        <values>
          <value>
            <val>39.92</val>
          </value>
        </values>
      </ddeItem>
      <ddeItem name="00765B.TW-Price" advise="1">
        <values>
          <value>
            <val>39.97</val>
          </value>
        </values>
      </ddeItem>
      <ddeItem name="00765BN.TW-Price" advise="1">
        <values>
          <value>
            <val>39.950000000000003</val>
          </value>
        </values>
      </ddeItem>
      <ddeItem name="00768B.TW-BestAsk1" advise="1">
        <values>
          <value>
            <val>64.45</val>
          </value>
        </values>
      </ddeItem>
      <ddeItem name="00768B.TW-BestBid1" advise="1">
        <values>
          <value>
            <val>64.3</val>
          </value>
        </values>
      </ddeItem>
      <ddeItem name="00768B.TW-Open" advise="1">
        <values>
          <value>
            <val>64.400000000000006</val>
          </value>
        </values>
      </ddeItem>
      <ddeItem name="00768B.TW-PreClose" advise="1">
        <values>
          <value>
            <val>64.599999999999994</val>
          </value>
        </values>
      </ddeItem>
      <ddeItem name="00768B.TW-Price" advise="1">
        <values>
          <value>
            <val>64.3</val>
          </value>
        </values>
      </ddeItem>
      <ddeItem name="00768BN.TW-Price" advise="1">
        <values>
          <value>
            <val>64.45</val>
          </value>
        </values>
      </ddeItem>
      <ddeItem name="00770.TW-BestAsk1" advise="1">
        <values>
          <value>
            <val>33.369999999999997</val>
          </value>
        </values>
      </ddeItem>
      <ddeItem name="00770.TW-BestBid1" advise="1">
        <values>
          <value>
            <val>33.33</val>
          </value>
        </values>
      </ddeItem>
      <ddeItem name="00770.TW-Open" advise="1">
        <values>
          <value>
            <val>33.200000000000003</val>
          </value>
        </values>
      </ddeItem>
      <ddeItem name="00770.TW-PreClose" advise="1">
        <values>
          <value>
            <val>32.9</val>
          </value>
        </values>
      </ddeItem>
      <ddeItem name="00770.TW-Price" advise="1">
        <values>
          <value>
            <val>33.340000000000003</val>
          </value>
        </values>
      </ddeItem>
      <ddeItem name="00770N.TW-Price" advise="1">
        <values>
          <value>
            <val>33.159999999999997</val>
          </value>
        </values>
      </ddeItem>
      <ddeItem name="00771.TW-BestAsk1" advise="1">
        <values>
          <value>
            <val>19.02</val>
          </value>
        </values>
      </ddeItem>
      <ddeItem name="00771.TW-BestBid1" advise="1">
        <values>
          <value>
            <val>18.98</val>
          </value>
        </values>
      </ddeItem>
      <ddeItem name="00771.TW-Open" advise="1">
        <values>
          <value>
            <val>18.97</val>
          </value>
        </values>
      </ddeItem>
      <ddeItem name="00771.TW-PreClose" advise="1">
        <values>
          <value>
            <val>18.940000000000001</val>
          </value>
        </values>
      </ddeItem>
      <ddeItem name="00771.TW-Price" advise="1">
        <values>
          <value>
            <val>19</val>
          </value>
        </values>
      </ddeItem>
      <ddeItem name="00771N.TW-Price" advise="1">
        <values>
          <value>
            <val>19.16</val>
          </value>
        </values>
      </ddeItem>
      <ddeItem name="00772B.TW-BestAsk1" advise="1">
        <values>
          <value>
            <val>42.29</val>
          </value>
        </values>
      </ddeItem>
      <ddeItem name="00772B.TW-BestBid1" advise="1">
        <values>
          <value>
            <val>42.25</val>
          </value>
        </values>
      </ddeItem>
      <ddeItem name="00772B.TW-Open" advise="1">
        <values>
          <value>
            <val>42.27</val>
          </value>
        </values>
      </ddeItem>
      <ddeItem name="00772B.TW-PreClose" advise="1">
        <values>
          <value>
            <val>42.25</val>
          </value>
        </values>
      </ddeItem>
      <ddeItem name="00772B.TW-Price" advise="1">
        <values>
          <value>
            <val>42.25</val>
          </value>
        </values>
      </ddeItem>
      <ddeItem name="00772BN.TW-Price" advise="1">
        <values>
          <value>
            <val>42.38</val>
          </value>
        </values>
      </ddeItem>
      <ddeItem name="00773B.TW-BestAsk1" advise="1">
        <values>
          <value>
            <val>43.05</val>
          </value>
        </values>
      </ddeItem>
      <ddeItem name="00773B.TW-BestBid1" advise="1">
        <values>
          <value>
            <val>43</val>
          </value>
        </values>
      </ddeItem>
      <ddeItem name="00773B.TW-Open" advise="1">
        <values>
          <value>
            <val>42.93</val>
          </value>
        </values>
      </ddeItem>
      <ddeItem name="00773B.TW-PreClose" advise="1">
        <values>
          <value>
            <val>42.83</val>
          </value>
        </values>
      </ddeItem>
      <ddeItem name="00773B.TW-Price" advise="1">
        <values>
          <value>
            <val>43.03</val>
          </value>
        </values>
      </ddeItem>
      <ddeItem name="00773BN.TW-Price" advise="1">
        <values>
          <value>
            <val>43.06</val>
          </value>
        </values>
      </ddeItem>
      <ddeItem name="00774B.TW-BestAsk1" advise="1">
        <values>
          <value>
            <val>39.19</val>
          </value>
        </values>
      </ddeItem>
      <ddeItem name="00774B.TW-BestBid1" advise="1">
        <values>
          <value>
            <val>38.79</val>
          </value>
        </values>
      </ddeItem>
      <ddeItem name="00774B.TW-Open" advise="1">
        <values>
          <value>
            <val>38.979999999999997</val>
          </value>
        </values>
      </ddeItem>
      <ddeItem name="00774B.TW-PreClose" advise="1">
        <values>
          <value>
            <val>39</val>
          </value>
        </values>
      </ddeItem>
      <ddeItem name="00774B.TW-Price" advise="1">
        <values>
          <value>
            <val>38.979999999999997</val>
          </value>
        </values>
      </ddeItem>
      <ddeItem name="00774BN.TW-Price" advise="1">
        <values>
          <value>
            <val>39.06</val>
          </value>
        </values>
      </ddeItem>
      <ddeItem name="00774C.TW-BestAsk1" advise="1">
        <values>
          <value>
            <val>9.1300000000000008</val>
          </value>
        </values>
      </ddeItem>
      <ddeItem name="00774C.TW-BestBid1" advise="1">
        <values>
          <value>
            <val>8.94</val>
          </value>
        </values>
      </ddeItem>
      <ddeItem name="00774C.TW-Open" advise="1">
        <values>
          <value t="str">
            <val>--</val>
          </value>
        </values>
      </ddeItem>
      <ddeItem name="00774C.TW-PreClose" advise="1">
        <values>
          <value>
            <val>9.11</val>
          </value>
        </values>
      </ddeItem>
      <ddeItem name="00774C.TW-Price" advise="1">
        <values>
          <value t="str">
            <val>--</val>
          </value>
        </values>
      </ddeItem>
      <ddeItem name="00774CN.TW-Price" advise="1">
        <values>
          <value>
            <val>8.99</val>
          </value>
        </values>
      </ddeItem>
      <ddeItem name="00775B.TW-BestAsk1" advise="1">
        <values>
          <value>
            <val>40.71</val>
          </value>
        </values>
      </ddeItem>
      <ddeItem name="00775B.TW-BestBid1" advise="1">
        <values>
          <value>
            <val>40.520000000000003</val>
          </value>
        </values>
      </ddeItem>
      <ddeItem name="00775B.TW-Open" advise="1">
        <values>
          <value>
            <val>40.520000000000003</val>
          </value>
        </values>
      </ddeItem>
      <ddeItem name="00775B.TW-PreClose" advise="1">
        <values>
          <value>
            <val>40.5</val>
          </value>
        </values>
      </ddeItem>
      <ddeItem name="00775B.TW-Price" advise="1">
        <values>
          <value>
            <val>40.520000000000003</val>
          </value>
        </values>
      </ddeItem>
      <ddeItem name="00775BN.TW-Price" advise="1">
        <values>
          <value>
            <val>40.450000000000003</val>
          </value>
        </values>
      </ddeItem>
      <ddeItem name="00777B.TW-BestAsk1" advise="1">
        <values>
          <value>
            <val>41.3</val>
          </value>
        </values>
      </ddeItem>
      <ddeItem name="00777B.TW-BestBid1" advise="1">
        <values>
          <value>
            <val>41.26</val>
          </value>
        </values>
      </ddeItem>
      <ddeItem name="00777B.TW-Open" advise="1">
        <values>
          <value>
            <val>41.3</val>
          </value>
        </values>
      </ddeItem>
      <ddeItem name="00777B.TW-PreClose" advise="1">
        <values>
          <value>
            <val>41.3</val>
          </value>
        </values>
      </ddeItem>
      <ddeItem name="00777B.TW-Price" advise="1">
        <values>
          <value>
            <val>41.42</val>
          </value>
        </values>
      </ddeItem>
      <ddeItem name="00777BN.TW-Price" advise="1">
        <values>
          <value>
            <val>41.34</val>
          </value>
        </values>
      </ddeItem>
      <ddeItem name="00778B.TW-BestAsk1" advise="1">
        <values>
          <value>
            <val>42.5</val>
          </value>
        </values>
      </ddeItem>
      <ddeItem name="00778B.TW-BestBid1" advise="1">
        <values>
          <value>
            <val>42.48</val>
          </value>
        </values>
      </ddeItem>
      <ddeItem name="00778B.TW-Open" advise="1">
        <values>
          <value>
            <val>42.47</val>
          </value>
        </values>
      </ddeItem>
      <ddeItem name="00778B.TW-PreClose" advise="1">
        <values>
          <value>
            <val>42.55</val>
          </value>
        </values>
      </ddeItem>
      <ddeItem name="00778B.TW-Price" advise="1">
        <values>
          <value>
            <val>42.48</val>
          </value>
        </values>
      </ddeItem>
      <ddeItem name="00778BN.TW-Price" advise="1">
        <values>
          <value>
            <val>42.8</val>
          </value>
        </values>
      </ddeItem>
      <ddeItem name="00779B.TW-BestAsk1" advise="1">
        <values>
          <value>
            <val>40.5</val>
          </value>
        </values>
      </ddeItem>
      <ddeItem name="00779B.TW-BestBid1" advise="1">
        <values>
          <value>
            <val>40.39</val>
          </value>
        </values>
      </ddeItem>
      <ddeItem name="00779B.TW-Open" advise="1">
        <values>
          <value>
            <val>40.49</val>
          </value>
        </values>
      </ddeItem>
      <ddeItem name="00779B.TW-PreClose" advise="1">
        <values>
          <value>
            <val>40.520000000000003</val>
          </value>
        </values>
      </ddeItem>
      <ddeItem name="00779B.TW-Price" advise="1">
        <values>
          <value>
            <val>40.5</val>
          </value>
        </values>
      </ddeItem>
      <ddeItem name="00779BN.TW-Price" advise="1">
        <values>
          <value>
            <val>40.47</val>
          </value>
        </values>
      </ddeItem>
      <ddeItem name="00780B.TW-BestAsk1" advise="1">
        <values>
          <value>
            <val>40.25</val>
          </value>
        </values>
      </ddeItem>
      <ddeItem name="00780B.TW-BestBid1" advise="1">
        <values>
          <value>
            <val>40.24</val>
          </value>
        </values>
      </ddeItem>
      <ddeItem name="00780B.TW-Open" advise="1">
        <values>
          <value>
            <val>40.299999999999997</val>
          </value>
        </values>
      </ddeItem>
      <ddeItem name="00780B.TW-PreClose" advise="1">
        <values>
          <value>
            <val>40.299999999999997</val>
          </value>
        </values>
      </ddeItem>
      <ddeItem name="00780B.TW-Price" advise="1">
        <values>
          <value>
            <val>40.299999999999997</val>
          </value>
        </values>
      </ddeItem>
      <ddeItem name="00780BN.TW-Price" advise="1">
        <values>
          <value>
            <val>40.44</val>
          </value>
        </values>
      </ddeItem>
      <ddeItem name="00781B.TW-BestAsk1" advise="1">
        <values>
          <value>
            <val>40.369999999999997</val>
          </value>
        </values>
      </ddeItem>
      <ddeItem name="00781B.TW-BestBid1" advise="1">
        <values>
          <value>
            <val>40.299999999999997</val>
          </value>
        </values>
      </ddeItem>
      <ddeItem name="00781B.TW-Open" advise="1">
        <values>
          <value>
            <val>40.31</val>
          </value>
        </values>
      </ddeItem>
      <ddeItem name="00781B.TW-PreClose" advise="1">
        <values>
          <value>
            <val>40.25</val>
          </value>
        </values>
      </ddeItem>
      <ddeItem name="00781B.TW-Price" advise="1">
        <values>
          <value>
            <val>40.31</val>
          </value>
        </values>
      </ddeItem>
      <ddeItem name="00781BN.TW-Price" advise="1">
        <values>
          <value>
            <val>40.36</val>
          </value>
        </values>
      </ddeItem>
      <ddeItem name="00782B.TW-BestAsk1" advise="1">
        <values>
          <value>
            <val>40.6</val>
          </value>
        </values>
      </ddeItem>
      <ddeItem name="00782B.TW-BestBid1" advise="1">
        <values>
          <value>
            <val>40.57</val>
          </value>
        </values>
      </ddeItem>
      <ddeItem name="00782B.TW-Open" advise="1">
        <values>
          <value>
            <val>40.6</val>
          </value>
        </values>
      </ddeItem>
      <ddeItem name="00782B.TW-PreClose" advise="1">
        <values>
          <value>
            <val>40.6</val>
          </value>
        </values>
      </ddeItem>
      <ddeItem name="00782B.TW-Price" advise="1">
        <values>
          <value>
            <val>40.700000000000003</val>
          </value>
        </values>
      </ddeItem>
      <ddeItem name="00782BN.TW-Price" advise="1">
        <values>
          <value>
            <val>40.659999999999997</val>
          </value>
        </values>
      </ddeItem>
      <ddeItem name="00783.TW-BestAsk1" advise="1">
        <values>
          <value>
            <val>22.15</val>
          </value>
        </values>
      </ddeItem>
      <ddeItem name="00783.TW-BestBid1" advise="1">
        <values>
          <value>
            <val>22.13</val>
          </value>
        </values>
      </ddeItem>
      <ddeItem name="00783.TW-Open" advise="1">
        <values>
          <value>
            <val>21.84</val>
          </value>
        </values>
      </ddeItem>
      <ddeItem name="00783.TW-PreClose" advise="1">
        <values>
          <value>
            <val>21.84</val>
          </value>
        </values>
      </ddeItem>
      <ddeItem name="00783.TW-Price" advise="1">
        <values>
          <value>
            <val>22.15</val>
          </value>
        </values>
      </ddeItem>
      <ddeItem name="00783N.TW-Price" advise="1">
        <values>
          <value>
            <val>22.35</val>
          </value>
        </values>
      </ddeItem>
      <ddeItem name="00784B.TW-BestAsk1" advise="1">
        <values>
          <value>
            <val>37.380000000000003</val>
          </value>
        </values>
      </ddeItem>
      <ddeItem name="00784B.TW-BestBid1" advise="1">
        <values>
          <value>
            <val>37.31</val>
          </value>
        </values>
      </ddeItem>
      <ddeItem name="00784B.TW-Open" advise="1">
        <values>
          <value>
            <val>37.369999999999997</val>
          </value>
        </values>
      </ddeItem>
      <ddeItem name="00784B.TW-PreClose" advise="1">
        <values>
          <value>
            <val>37.35</val>
          </value>
        </values>
      </ddeItem>
      <ddeItem name="00784B.TW-Price" advise="1">
        <values>
          <value>
            <val>37.369999999999997</val>
          </value>
        </values>
      </ddeItem>
      <ddeItem name="00784BN.TW-Price" advise="1">
        <values>
          <value>
            <val>37.32</val>
          </value>
        </values>
      </ddeItem>
      <ddeItem name="00785B.TW-BestAsk1" advise="1">
        <values>
          <value>
            <val>41.22</val>
          </value>
        </values>
      </ddeItem>
      <ddeItem name="00785B.TW-BestBid1" advise="1">
        <values>
          <value>
            <val>41.13</val>
          </value>
        </values>
      </ddeItem>
      <ddeItem name="00785B.TW-Open" advise="1">
        <values>
          <value>
            <val>41.13</val>
          </value>
        </values>
      </ddeItem>
      <ddeItem name="00785B.TW-PreClose" advise="1">
        <values>
          <value>
            <val>40.97</val>
          </value>
        </values>
      </ddeItem>
      <ddeItem name="00785B.TW-Price" advise="1">
        <values>
          <value>
            <val>41.15</val>
          </value>
        </values>
      </ddeItem>
      <ddeItem name="00785BN.TW-Price" advise="1">
        <values>
          <value>
            <val>41.07</val>
          </value>
        </values>
      </ddeItem>
      <ddeItem name="00786B.TW-BestAsk1" advise="1">
        <values>
          <value>
            <val>40.21</val>
          </value>
        </values>
      </ddeItem>
      <ddeItem name="00786B.TW-BestBid1" advise="1">
        <values>
          <value>
            <val>40.1</val>
          </value>
        </values>
      </ddeItem>
      <ddeItem name="00786B.TW-Open" advise="1">
        <values>
          <value>
            <val>40.119999999999997</val>
          </value>
        </values>
      </ddeItem>
      <ddeItem name="00786B.TW-PreClose" advise="1">
        <values>
          <value>
            <val>40.159999999999997</val>
          </value>
        </values>
      </ddeItem>
      <ddeItem name="00786B.TW-Price" advise="1">
        <values>
          <value>
            <val>40.200000000000003</val>
          </value>
        </values>
      </ddeItem>
      <ddeItem name="00786BN.TW-Price" advise="1">
        <values>
          <value>
            <val>40.26</val>
          </value>
        </values>
      </ddeItem>
      <ddeItem name="00787B.TW-BestAsk1" advise="1">
        <values>
          <value>
            <val>41.22</val>
          </value>
        </values>
      </ddeItem>
      <ddeItem name="00787B.TW-BestBid1" advise="1">
        <values>
          <value>
            <val>41.1</val>
          </value>
        </values>
      </ddeItem>
      <ddeItem name="00787B.TW-Open" advise="1">
        <values>
          <value>
            <val>41.12</val>
          </value>
        </values>
      </ddeItem>
      <ddeItem name="00787B.TW-PreClose" advise="1">
        <values>
          <value>
            <val>41.15</val>
          </value>
        </values>
      </ddeItem>
      <ddeItem name="00787B.TW-Price" advise="1">
        <values>
          <value>
            <val>41.13</val>
          </value>
        </values>
      </ddeItem>
      <ddeItem name="00787BN.TW-Price" advise="1">
        <values>
          <value>
            <val>41.26</val>
          </value>
        </values>
      </ddeItem>
      <ddeItem name="00788B.TW-BestAsk1" advise="1">
        <values>
          <value>
            <val>39.19</val>
          </value>
        </values>
      </ddeItem>
      <ddeItem name="00788B.TW-BestBid1" advise="1">
        <values>
          <value>
            <val>39.119999999999997</val>
          </value>
        </values>
      </ddeItem>
      <ddeItem name="00788B.TW-Open" advise="1">
        <values>
          <value>
            <val>39.11</val>
          </value>
        </values>
      </ddeItem>
      <ddeItem name="00788B.TW-PreClose" advise="1">
        <values>
          <value>
            <val>39.130000000000003</val>
          </value>
        </values>
      </ddeItem>
      <ddeItem name="00788B.TW-Price" advise="1">
        <values>
          <value>
            <val>39.119999999999997</val>
          </value>
        </values>
      </ddeItem>
      <ddeItem name="00788BN.TW-Price" advise="1">
        <values>
          <value>
            <val>38.93</val>
          </value>
        </values>
      </ddeItem>
      <ddeItem name="00789B.TW-BestAsk1" advise="1">
        <values>
          <value>
            <val>61.6</val>
          </value>
        </values>
      </ddeItem>
      <ddeItem name="00789B.TW-BestBid1" advise="1">
        <values>
          <value>
            <val>61.5</val>
          </value>
        </values>
      </ddeItem>
      <ddeItem name="00789B.TW-Open" advise="1">
        <values>
          <value>
            <val>61.65</val>
          </value>
        </values>
      </ddeItem>
      <ddeItem name="00789B.TW-PreClose" advise="1">
        <values>
          <value>
            <val>61.85</val>
          </value>
        </values>
      </ddeItem>
      <ddeItem name="00789B.TW-Price" advise="1">
        <values>
          <value>
            <val>61.65</val>
          </value>
        </values>
      </ddeItem>
      <ddeItem name="00789BN.TW-Price" advise="1">
        <values>
          <value>
            <val>61.9</val>
          </value>
        </values>
      </ddeItem>
      <ddeItem name="00790B.TW-BestAsk1" advise="1">
        <values>
          <value>
            <val>61.65</val>
          </value>
        </values>
      </ddeItem>
      <ddeItem name="00790B.TW-BestBid1" advise="1">
        <values>
          <value>
            <val>61.45</val>
          </value>
        </values>
      </ddeItem>
      <ddeItem name="00790B.TW-Open" advise="1">
        <values>
          <value>
            <val>61.6</val>
          </value>
        </values>
      </ddeItem>
      <ddeItem name="00790B.TW-PreClose" advise="1">
        <values>
          <value>
            <val>61.6</val>
          </value>
        </values>
      </ddeItem>
      <ddeItem name="00790B.TW-Price" advise="1">
        <values>
          <value>
            <val>61.6</val>
          </value>
        </values>
      </ddeItem>
      <ddeItem name="00790BN.TW-Price" advise="1">
        <values>
          <value>
            <val>61.68</val>
          </value>
        </values>
      </ddeItem>
      <ddeItem name="00791B.TW-BestAsk1" advise="1">
        <values>
          <value>
            <val>55.8</val>
          </value>
        </values>
      </ddeItem>
      <ddeItem name="00791B.TW-BestBid1" advise="1">
        <values>
          <value>
            <val>55.7</val>
          </value>
        </values>
      </ddeItem>
      <ddeItem name="00791B.TW-Open" advise="1">
        <values>
          <value>
            <val>55.85</val>
          </value>
        </values>
      </ddeItem>
      <ddeItem name="00791B.TW-PreClose" advise="1">
        <values>
          <value>
            <val>56.15</val>
          </value>
        </values>
      </ddeItem>
      <ddeItem name="00791B.TW-Price" advise="1">
        <values>
          <value>
            <val>55.85</val>
          </value>
        </values>
      </ddeItem>
      <ddeItem name="00791BN.TW-Price" advise="1">
        <values>
          <value>
            <val>56.04</val>
          </value>
        </values>
      </ddeItem>
      <ddeItem name="00792B.TW-BestAsk1" advise="1">
        <values>
          <value>
            <val>40.6</val>
          </value>
        </values>
      </ddeItem>
      <ddeItem name="00792B.TW-BestBid1" advise="1">
        <values>
          <value>
            <val>40.54</val>
          </value>
        </values>
      </ddeItem>
      <ddeItem name="00792B.TW-Open" advise="1">
        <values>
          <value>
            <val>40.5</val>
          </value>
        </values>
      </ddeItem>
      <ddeItem name="00792B.TW-PreClose" advise="1">
        <values>
          <value>
            <val>40.44</val>
          </value>
        </values>
      </ddeItem>
      <ddeItem name="00792B.TW-Price" advise="1">
        <values>
          <value>
            <val>40.65</val>
          </value>
        </values>
      </ddeItem>
      <ddeItem name="00792BN.TW-Price" advise="1">
        <values>
          <value>
            <val>40.450000000000003</val>
          </value>
        </values>
      </ddeItem>
      <ddeItem name="00793B.TW-BestAsk1" advise="1">
        <values>
          <value>
            <val>40.14</val>
          </value>
        </values>
      </ddeItem>
      <ddeItem name="00793B.TW-BestBid1" advise="1">
        <values>
          <value>
            <val>40.01</val>
          </value>
        </values>
      </ddeItem>
      <ddeItem name="00793B.TW-Open" advise="1">
        <values>
          <value>
            <val>40</val>
          </value>
        </values>
      </ddeItem>
      <ddeItem name="00793B.TW-PreClose" advise="1">
        <values>
          <value>
            <val>39.85</val>
          </value>
        </values>
      </ddeItem>
      <ddeItem name="00793B.TW-Price" advise="1">
        <values>
          <value>
            <val>40</val>
          </value>
        </values>
      </ddeItem>
      <ddeItem name="00793BN.TW-Price" advise="1">
        <values>
          <value>
            <val>40.299999999999997</val>
          </value>
        </values>
      </ddeItem>
      <ddeItem name="00794B.TW-BestAsk1" advise="1">
        <values>
          <value>
            <val>39.75</val>
          </value>
        </values>
      </ddeItem>
      <ddeItem name="00794B.TW-BestBid1" advise="1">
        <values>
          <value>
            <val>39.630000000000003</val>
          </value>
        </values>
      </ddeItem>
      <ddeItem name="00794B.TW-Open" advise="1">
        <values>
          <value>
            <val>39.76</val>
          </value>
        </values>
      </ddeItem>
      <ddeItem name="00794B.TW-PreClose" advise="1">
        <values>
          <value>
            <val>39.75</val>
          </value>
        </values>
      </ddeItem>
      <ddeItem name="00794B.TW-Price" advise="1">
        <values>
          <value>
            <val>39.76</val>
          </value>
        </values>
      </ddeItem>
      <ddeItem name="00794BN.TW-Price" advise="1">
        <values>
          <value>
            <val>39.869999999999997</val>
          </value>
        </values>
      </ddeItem>
      <ddeItem name="00795B.TW-BestAsk1" advise="1">
        <values>
          <value>
            <val>39.08</val>
          </value>
        </values>
      </ddeItem>
      <ddeItem name="00795B.TW-BestBid1" advise="1">
        <values>
          <value>
            <val>39.06</val>
          </value>
        </values>
      </ddeItem>
      <ddeItem name="00795B.TW-Open" advise="1">
        <values>
          <value>
            <val>39</val>
          </value>
        </values>
      </ddeItem>
      <ddeItem name="00795B.TW-PreClose" advise="1">
        <values>
          <value>
            <val>38.979999999999997</val>
          </value>
        </values>
      </ddeItem>
      <ddeItem name="00795B.TW-Price" advise="1">
        <values>
          <value>
            <val>39.06</val>
          </value>
        </values>
      </ddeItem>
      <ddeItem name="00795BN.TW-Price" advise="1">
        <values>
          <value>
            <val>39.119999999999997</val>
          </value>
        </values>
      </ddeItem>
      <ddeItem name="00796B.TW-BestAsk1" advise="1">
        <values>
          <value>
            <val>39.35</val>
          </value>
        </values>
      </ddeItem>
      <ddeItem name="00796B.TW-BestBid1" advise="1">
        <values>
          <value>
            <val>39.340000000000003</val>
          </value>
        </values>
      </ddeItem>
      <ddeItem name="00796B.TW-Open" advise="1">
        <values>
          <value>
            <val>39.35</val>
          </value>
        </values>
      </ddeItem>
      <ddeItem name="00796B.TW-PreClose" advise="1">
        <values>
          <value>
            <val>39.39</val>
          </value>
        </values>
      </ddeItem>
      <ddeItem name="00796B.TW-Price" advise="1">
        <values>
          <value>
            <val>39.380000000000003</val>
          </value>
        </values>
      </ddeItem>
      <ddeItem name="00796BN.TW-Price" advise="1">
        <values>
          <value>
            <val>39.53</val>
          </value>
        </values>
      </ddeItem>
      <ddeItem name="00799B.TW-BestAsk1" advise="1">
        <values>
          <value>
            <val>40.159999999999997</val>
          </value>
        </values>
      </ddeItem>
      <ddeItem name="00799B.TW-BestBid1" advise="1">
        <values>
          <value>
            <val>40.08</val>
          </value>
        </values>
      </ddeItem>
      <ddeItem name="00799B.TW-Open" advise="1">
        <values>
          <value>
            <val>40.18</val>
          </value>
        </values>
      </ddeItem>
      <ddeItem name="00799B.TW-PreClose" advise="1">
        <values>
          <value>
            <val>40.299999999999997</val>
          </value>
        </values>
      </ddeItem>
      <ddeItem name="00799B.TW-Price" advise="1">
        <values>
          <value>
            <val>40.17</val>
          </value>
        </values>
      </ddeItem>
      <ddeItem name="00799BN.TW-Price" advise="1">
        <values>
          <value>
            <val>40.6</val>
          </value>
        </values>
      </ddeItem>
      <ddeItem name="008201.TW-BestAsk1" advise="1">
        <values>
          <value>
            <val>124</val>
          </value>
        </values>
      </ddeItem>
      <ddeItem name="008201.TW-BestBid1" advise="1">
        <values>
          <value>
            <val>91.2</val>
          </value>
        </values>
      </ddeItem>
      <ddeItem name="008201.TW-Open" advise="1">
        <values>
          <value t="str">
            <val>--</val>
          </value>
        </values>
      </ddeItem>
      <ddeItem name="008201.TW-PreClose" advise="1">
        <values>
          <value>
            <val>122.5</val>
          </value>
        </values>
      </ddeItem>
      <ddeItem name="008201.TW-Price" advise="1">
        <values>
          <value t="str">
            <val>--</val>
          </value>
        </values>
      </ddeItem>
      <ddeItem name="008201N.TW-Price" advise="1">
        <values>
          <value>
            <val>125.55</val>
          </value>
        </values>
      </ddeItem>
      <ddeItem name="00830.TW-BestAsk1" advise="1">
        <values>
          <value>
            <val>25.75</val>
          </value>
        </values>
      </ddeItem>
      <ddeItem name="00830.TW-BestBid1" advise="1">
        <values>
          <value>
            <val>25.74</val>
          </value>
        </values>
      </ddeItem>
      <ddeItem name="00830.TW-Open" advise="1">
        <values>
          <value>
            <val>25.68</val>
          </value>
        </values>
      </ddeItem>
      <ddeItem name="00830.TW-PreClose" advise="1">
        <values>
          <value>
            <val>25.29</val>
          </value>
        </values>
      </ddeItem>
      <ddeItem name="00830.TW-Price" advise="1">
        <values>
          <value>
            <val>25.75</val>
          </value>
        </values>
      </ddeItem>
      <ddeItem name="00830N.TW-Price" advise="1">
        <values>
          <value>
            <val>25.6</val>
          </value>
        </values>
      </ddeItem>
      <ddeItem name="00831B.TW-BestAsk1" advise="1">
        <values>
          <value>
            <val>36.72</val>
          </value>
        </values>
      </ddeItem>
      <ddeItem name="00831B.TW-BestBid1" advise="1">
        <values>
          <value>
            <val>36.53</val>
          </value>
        </values>
      </ddeItem>
      <ddeItem name="00831B.TW-Open" advise="1">
        <values>
          <value>
            <val>36.700000000000003</val>
          </value>
        </values>
      </ddeItem>
      <ddeItem name="00831B.TW-PreClose" advise="1">
        <values>
          <value>
            <val>36.700000000000003</val>
          </value>
        </values>
      </ddeItem>
      <ddeItem name="00831B.TW-Price" advise="1">
        <values>
          <value>
            <val>36.700000000000003</val>
          </value>
        </values>
      </ddeItem>
      <ddeItem name="00831BN.TW-Price" advise="1">
        <values>
          <value>
            <val>36.64</val>
          </value>
        </values>
      </ddeItem>
      <ddeItem name="00832B.TW-BestAsk1" advise="1">
        <values>
          <value>
            <val>39.840000000000003</val>
          </value>
        </values>
      </ddeItem>
      <ddeItem name="00832B.TW-BestBid1" advise="1">
        <values>
          <value>
            <val>39.79</val>
          </value>
        </values>
      </ddeItem>
      <ddeItem name="00832B.TW-Open" advise="1">
        <values>
          <value>
            <val>39.840000000000003</val>
          </value>
        </values>
      </ddeItem>
      <ddeItem name="00832B.TW-PreClose" advise="1">
        <values>
          <value>
            <val>39.869999999999997</val>
          </value>
        </values>
      </ddeItem>
      <ddeItem name="00832B.TW-Price" advise="1">
        <values>
          <value>
            <val>39.840000000000003</val>
          </value>
        </values>
      </ddeItem>
      <ddeItem name="00832BN.TW-Price" advise="1">
        <values>
          <value>
            <val>39.82</val>
          </value>
        </values>
      </ddeItem>
      <ddeItem name="00834B.TW-BestAsk1" advise="1">
        <values>
          <value>
            <val>40.4</val>
          </value>
        </values>
      </ddeItem>
      <ddeItem name="00834B.TW-BestBid1" advise="1">
        <values>
          <value>
            <val>40.39</val>
          </value>
        </values>
      </ddeItem>
      <ddeItem name="00834B.TW-Open" advise="1">
        <values>
          <value>
            <val>40.369999999999997</val>
          </value>
        </values>
      </ddeItem>
      <ddeItem name="00834B.TW-PreClose" advise="1">
        <values>
          <value>
            <val>40.299999999999997</val>
          </value>
        </values>
      </ddeItem>
      <ddeItem name="00834B.TW-Price" advise="1">
        <values>
          <value>
            <val>40.43</val>
          </value>
        </values>
      </ddeItem>
      <ddeItem name="00834BN.TW-Price" advise="1">
        <values>
          <value>
            <val>40.44</val>
          </value>
        </values>
      </ddeItem>
      <ddeItem name="00836B.TW-BestAsk1" advise="1">
        <values>
          <value>
            <val>37.950000000000003</val>
          </value>
        </values>
      </ddeItem>
      <ddeItem name="00836B.TW-BestBid1" advise="1">
        <values>
          <value>
            <val>37.9</val>
          </value>
        </values>
      </ddeItem>
      <ddeItem name="00836B.TW-Open" advise="1">
        <values>
          <value>
            <val>37.909999999999997</val>
          </value>
        </values>
      </ddeItem>
      <ddeItem name="00836B.TW-PreClose" advise="1">
        <values>
          <value>
            <val>37.9</val>
          </value>
        </values>
      </ddeItem>
      <ddeItem name="00836B.TW-Price" advise="1">
        <values>
          <value>
            <val>37.909999999999997</val>
          </value>
        </values>
      </ddeItem>
      <ddeItem name="00836BN.TW-Price" advise="1">
        <values>
          <value>
            <val>37.92</val>
          </value>
        </values>
      </ddeItem>
      <ddeItem name="00838B.TW-BestAsk1" advise="1">
        <values>
          <value>
            <val>39.07</val>
          </value>
        </values>
      </ddeItem>
      <ddeItem name="00838B.TW-BestBid1" advise="1">
        <values>
          <value>
            <val>39.01</val>
          </value>
        </values>
      </ddeItem>
      <ddeItem name="00838B.TW-Open" advise="1">
        <values>
          <value>
            <val>39.04</val>
          </value>
        </values>
      </ddeItem>
      <ddeItem name="00838B.TW-PreClose" advise="1">
        <values>
          <value>
            <val>39.1</val>
          </value>
        </values>
      </ddeItem>
      <ddeItem name="00838B.TW-Price" advise="1">
        <values>
          <value>
            <val>39.04</val>
          </value>
        </values>
      </ddeItem>
      <ddeItem name="00838BN.TW-Price" advise="1">
        <values>
          <value>
            <val>39.18</val>
          </value>
        </values>
      </ddeItem>
      <ddeItem name="00839B.TW-BestAsk1" advise="1">
        <values>
          <value>
            <val>39.85</val>
          </value>
        </values>
      </ddeItem>
      <ddeItem name="00839B.TW-BestBid1" advise="1">
        <values>
          <value>
            <val>39.81</val>
          </value>
        </values>
      </ddeItem>
      <ddeItem name="00839B.TW-Open" advise="1">
        <values>
          <value>
            <val>39.93</val>
          </value>
        </values>
      </ddeItem>
      <ddeItem name="00839B.TW-PreClose" advise="1">
        <values>
          <value>
            <val>39.85</val>
          </value>
        </values>
      </ddeItem>
      <ddeItem name="00839B.TW-Price" advise="1">
        <values>
          <value>
            <val>39.93</val>
          </value>
        </values>
      </ddeItem>
      <ddeItem name="00839BN.TW-Price" advise="1">
        <values>
          <value>
            <val>39.85</val>
          </value>
        </values>
      </ddeItem>
      <ddeItem name="00840B.TW-BestAsk1" advise="1">
        <values>
          <value>
            <val>38.04</val>
          </value>
        </values>
      </ddeItem>
      <ddeItem name="00840B.TW-BestBid1" advise="1">
        <values>
          <value>
            <val>37.92</val>
          </value>
        </values>
      </ddeItem>
      <ddeItem name="00840B.TW-Open" advise="1">
        <values>
          <value>
            <val>37.99</val>
          </value>
        </values>
      </ddeItem>
      <ddeItem name="00840B.TW-PreClose" advise="1">
        <values>
          <value>
            <val>37.92</val>
          </value>
        </values>
      </ddeItem>
      <ddeItem name="00840B.TW-Price" advise="1">
        <values>
          <value>
            <val>37.99</val>
          </value>
        </values>
      </ddeItem>
      <ddeItem name="00840BN.TW-Price" advise="1">
        <values>
          <value>
            <val>37.96</val>
          </value>
        </values>
      </ddeItem>
      <ddeItem name="00841B.TW-BestAsk1" advise="1">
        <values>
          <value>
            <val>38.159999999999997</val>
          </value>
        </values>
      </ddeItem>
      <ddeItem name="00841B.TW-BestBid1" advise="1">
        <values>
          <value>
            <val>38.049999999999997</val>
          </value>
        </values>
      </ddeItem>
      <ddeItem name="00841B.TW-Open" advise="1">
        <values>
          <value>
            <val>38.1</val>
          </value>
        </values>
      </ddeItem>
      <ddeItem name="00841B.TW-PreClose" advise="1">
        <values>
          <value>
            <val>37.92</val>
          </value>
        </values>
      </ddeItem>
      <ddeItem name="00841B.TW-Price" advise="1">
        <values>
          <value>
            <val>38.1</val>
          </value>
        </values>
      </ddeItem>
      <ddeItem name="00841BN.TW-Price" advise="1">
        <values>
          <value>
            <val>38.090000000000003</val>
          </value>
        </values>
      </ddeItem>
      <ddeItem name="00842B.TW-BestAsk1" advise="1">
        <values>
          <value>
            <val>39.11</val>
          </value>
        </values>
      </ddeItem>
      <ddeItem name="00842B.TW-BestBid1" advise="1">
        <values>
          <value>
            <val>39.020000000000003</val>
          </value>
        </values>
      </ddeItem>
      <ddeItem name="00842B.TW-Open" advise="1">
        <values>
          <value>
            <val>39.1</val>
          </value>
        </values>
      </ddeItem>
      <ddeItem name="00842B.TW-PreClose" advise="1">
        <values>
          <value>
            <val>38.9</val>
          </value>
        </values>
      </ddeItem>
      <ddeItem name="00842B.TW-Price" advise="1">
        <values>
          <value>
            <val>39.1</val>
          </value>
        </values>
      </ddeItem>
      <ddeItem name="00842BN.TW-Price" advise="1">
        <values>
          <value>
            <val>39.130000000000003</val>
          </value>
        </values>
      </ddeItem>
      <ddeItem name="00843B.TW-BestAsk1" advise="1">
        <values>
          <value>
            <val>39.26</val>
          </value>
        </values>
      </ddeItem>
      <ddeItem name="00843B.TW-BestBid1" advise="1">
        <values>
          <value>
            <val>39.18</val>
          </value>
        </values>
      </ddeItem>
      <ddeItem name="00843B.TW-Open" advise="1">
        <values>
          <value>
            <val>39.130000000000003</val>
          </value>
        </values>
      </ddeItem>
      <ddeItem name="00843B.TW-PreClose" advise="1">
        <values>
          <value>
            <val>39.17</val>
          </value>
        </values>
      </ddeItem>
      <ddeItem name="00843B.TW-Price" advise="1">
        <values>
          <value>
            <val>39.229999999999997</val>
          </value>
        </values>
      </ddeItem>
      <ddeItem name="00843BN.TW-Price" advise="1">
        <values>
          <value>
            <val>39.369999999999997</val>
          </value>
        </values>
      </ddeItem>
      <ddeItem name="00844B.TW-BestAsk1" advise="1">
        <values>
          <value>
            <val>38.409999999999997</val>
          </value>
        </values>
      </ddeItem>
      <ddeItem name="00844B.TW-BestBid1" advise="1">
        <values>
          <value>
            <val>38.32</val>
          </value>
        </values>
      </ddeItem>
      <ddeItem name="00844B.TW-Open" advise="1">
        <values>
          <value>
            <val>38.380000000000003</val>
          </value>
        </values>
      </ddeItem>
      <ddeItem name="00844B.TW-PreClose" advise="1">
        <values>
          <value>
            <val>38.26</val>
          </value>
        </values>
      </ddeItem>
      <ddeItem name="00844B.TW-Price" advise="1">
        <values>
          <value>
            <val>38.380000000000003</val>
          </value>
        </values>
      </ddeItem>
      <ddeItem name="00844BN.TW-Price" advise="1">
        <values>
          <value>
            <val>38.32</val>
          </value>
        </values>
      </ddeItem>
      <ddeItem name="00845B.TW-BestAsk1" advise="1">
        <values>
          <value>
            <val>36.81</val>
          </value>
        </values>
      </ddeItem>
      <ddeItem name="00845B.TW-BestBid1" advise="1">
        <values>
          <value>
            <val>36.71</val>
          </value>
        </values>
      </ddeItem>
      <ddeItem name="00845B.TW-Open" advise="1">
        <values>
          <value>
            <val>36.78</val>
          </value>
        </values>
      </ddeItem>
      <ddeItem name="00845B.TW-PreClose" advise="1">
        <values>
          <value>
            <val>36.85</val>
          </value>
        </values>
      </ddeItem>
      <ddeItem name="00845B.TW-Price" advise="1">
        <values>
          <value>
            <val>36.78</val>
          </value>
        </values>
      </ddeItem>
      <ddeItem name="00845BN.TW-Price" advise="1">
        <values>
          <value>
            <val>36.729999999999997</val>
          </value>
        </values>
      </ddeItem>
      <ddeItem name="00846B.TW-BestAsk1" advise="1">
        <values>
          <value>
            <val>37.200000000000003</val>
          </value>
        </values>
      </ddeItem>
      <ddeItem name="00846B.TW-BestBid1" advise="1">
        <values>
          <value>
            <val>37.18</val>
          </value>
        </values>
      </ddeItem>
      <ddeItem name="00846B.TW-Open" advise="1">
        <values>
          <value>
            <val>37.229999999999997</val>
          </value>
        </values>
      </ddeItem>
      <ddeItem name="00846B.TW-PreClose" advise="1">
        <values>
          <value>
            <val>37.049999999999997</val>
          </value>
        </values>
      </ddeItem>
      <ddeItem name="00846B.TW-Price" advise="1">
        <values>
          <value>
            <val>37.229999999999997</val>
          </value>
        </values>
      </ddeItem>
      <ddeItem name="00846BN.TW-Price" advise="1">
        <values>
          <value>
            <val>37.380000000000003</val>
          </value>
        </values>
      </ddeItem>
      <ddeItem name="00847B.TW-BestAsk1" advise="1">
        <values>
          <value>
            <val>33.93</val>
          </value>
        </values>
      </ddeItem>
      <ddeItem name="00847B.TW-BestBid1" advise="1">
        <values>
          <value>
            <val>33.92</val>
          </value>
        </values>
      </ddeItem>
      <ddeItem name="00847B.TW-Open" advise="1">
        <values>
          <value>
            <val>33.9</val>
          </value>
        </values>
      </ddeItem>
      <ddeItem name="00847B.TW-PreClose" advise="1">
        <values>
          <value>
            <val>33.86</val>
          </value>
        </values>
      </ddeItem>
      <ddeItem name="00847B.TW-Price" advise="1">
        <values>
          <value>
            <val>33.92</val>
          </value>
        </values>
      </ddeItem>
      <ddeItem name="00847BN.TW-Price" advise="1">
        <values>
          <value>
            <val>33.950000000000003</val>
          </value>
        </values>
      </ddeItem>
      <ddeItem name="00848B.TW-BestAsk1" advise="1">
        <values>
          <value>
            <val>36.85</val>
          </value>
        </values>
      </ddeItem>
      <ddeItem name="00848B.TW-BestBid1" advise="1">
        <values>
          <value>
            <val>36.79</val>
          </value>
        </values>
      </ddeItem>
      <ddeItem name="00848B.TW-Open" advise="1">
        <values>
          <value>
            <val>36.799999999999997</val>
          </value>
        </values>
      </ddeItem>
      <ddeItem name="00848B.TW-PreClose" advise="1">
        <values>
          <value>
            <val>36.880000000000003</val>
          </value>
        </values>
      </ddeItem>
      <ddeItem name="00848B.TW-Price" advise="1">
        <values>
          <value>
            <val>36.799999999999997</val>
          </value>
        </values>
      </ddeItem>
      <ddeItem name="00848BN.TW-Price" advise="1">
        <values>
          <value>
            <val>36.92</val>
          </value>
        </values>
      </ddeItem>
      <ddeItem name="00849B.TW-BestAsk1" advise="1">
        <values>
          <value>
            <val>36.770000000000003</val>
          </value>
        </values>
      </ddeItem>
      <ddeItem name="00849B.TW-BestBid1" advise="1">
        <values>
          <value>
            <val>36.71</val>
          </value>
        </values>
      </ddeItem>
      <ddeItem name="00849B.TW-Open" advise="1">
        <values>
          <value>
            <val>36.729999999999997</val>
          </value>
        </values>
      </ddeItem>
      <ddeItem name="00849B.TW-PreClose" advise="1">
        <values>
          <value>
            <val>36.659999999999997</val>
          </value>
        </values>
      </ddeItem>
      <ddeItem name="00849B.TW-Price" advise="1">
        <values>
          <value>
            <val>36.71</val>
          </value>
        </values>
      </ddeItem>
      <ddeItem name="00849BN.TW-Price" advise="1">
        <values>
          <value>
            <val>36.770000000000003</val>
          </value>
        </values>
      </ddeItem>
      <ddeItem name="00850.TW-BestAsk1" advise="1">
        <values>
          <value>
            <val>32</val>
          </value>
        </values>
      </ddeItem>
      <ddeItem name="00850.TW-BestBid1" advise="1">
        <values>
          <value>
            <val>31.99</val>
          </value>
        </values>
      </ddeItem>
      <ddeItem name="00850.TW-Open" advise="1">
        <values>
          <value>
            <val>31.95</val>
          </value>
        </values>
      </ddeItem>
      <ddeItem name="00850.TW-PreClose" advise="1">
        <values>
          <value>
            <val>31.55</val>
          </value>
        </values>
      </ddeItem>
      <ddeItem name="00850.TW-Price" advise="1">
        <values>
          <value>
            <val>32</val>
          </value>
        </values>
      </ddeItem>
      <ddeItem name="00850N.TW-Price" advise="1">
        <values>
          <value>
            <val>32.03</val>
          </value>
        </values>
      </ddeItem>
      <ddeItem name="00851.TW-BestAsk1" advise="1">
        <values>
          <value>
            <val>28.42</val>
          </value>
        </values>
      </ddeItem>
      <ddeItem name="00851.TW-BestBid1" advise="1">
        <values>
          <value>
            <val>28.39</val>
          </value>
        </values>
      </ddeItem>
      <ddeItem name="00851.TW-Open" advise="1">
        <values>
          <value>
            <val>28.35</val>
          </value>
        </values>
      </ddeItem>
      <ddeItem name="00851.TW-PreClose" advise="1">
        <values>
          <value>
            <val>28.25</val>
          </value>
        </values>
      </ddeItem>
      <ddeItem name="00851.TW-Price" advise="1">
        <values>
          <value>
            <val>28.38</val>
          </value>
        </values>
      </ddeItem>
      <ddeItem name="00851N.TW-Price" advise="1">
        <values>
          <value>
            <val>28.36</val>
          </value>
        </values>
      </ddeItem>
      <ddeItem name="00852L.TW-BestAsk1" advise="1">
        <values>
          <value>
            <val>20.399999999999999</val>
          </value>
        </values>
      </ddeItem>
      <ddeItem name="00852L.TW-BestBid1" advise="1">
        <values>
          <value>
            <val>20.36</val>
          </value>
        </values>
      </ddeItem>
      <ddeItem name="00852L.TW-Open" advise="1">
        <values>
          <value>
            <val>20.28</val>
          </value>
        </values>
      </ddeItem>
      <ddeItem name="00852L.TW-PreClose" advise="1">
        <values>
          <value>
            <val>19.7</val>
          </value>
        </values>
      </ddeItem>
      <ddeItem name="00852L.TW-Price" advise="1">
        <values>
          <value>
            <val>20.36</val>
          </value>
        </values>
      </ddeItem>
      <ddeItem name="00852LN.TW-Price" advise="1">
        <values>
          <value>
            <val>20.420000000000002</val>
          </value>
        </values>
      </ddeItem>
      <ddeItem name="00853B.TW-BestAsk1" advise="1">
        <values>
          <value>
            <val>34.200000000000003</val>
          </value>
        </values>
      </ddeItem>
      <ddeItem name="00853B.TW-BestBid1" advise="1">
        <values>
          <value>
            <val>33.840000000000003</val>
          </value>
        </values>
      </ddeItem>
      <ddeItem name="00853B.TW-Open" advise="1">
        <values>
          <value t="str">
            <val>--</val>
          </value>
        </values>
      </ddeItem>
      <ddeItem name="00853B.TW-PreClose" advise="1">
        <values>
          <value>
            <val>34.14</val>
          </value>
        </values>
      </ddeItem>
      <ddeItem name="00853B.TW-Price" advise="1">
        <values>
          <value t="str">
            <val>--</val>
          </value>
        </values>
      </ddeItem>
      <ddeItem name="00853BN.TW-Price" advise="1">
        <values>
          <value>
            <val>34.39</val>
          </value>
        </values>
      </ddeItem>
      <ddeItem name="00856B.TW-BestAsk1" advise="1">
        <values>
          <value>
            <val>36.520000000000003</val>
          </value>
        </values>
      </ddeItem>
      <ddeItem name="00856B.TW-BestBid1" advise="1">
        <values>
          <value>
            <val>36.46</val>
          </value>
        </values>
      </ddeItem>
      <ddeItem name="00856B.TW-Open" advise="1">
        <values>
          <value>
            <val>36.49</val>
          </value>
        </values>
      </ddeItem>
      <ddeItem name="00856B.TW-PreClose" advise="1">
        <values>
          <value>
            <val>36.549999999999997</val>
          </value>
        </values>
      </ddeItem>
      <ddeItem name="00856B.TW-Price" advise="1">
        <values>
          <value>
            <val>36.49</val>
          </value>
        </values>
      </ddeItem>
      <ddeItem name="00856BN.TW-Price" advise="1">
        <values>
          <value>
            <val>36.57</val>
          </value>
        </values>
      </ddeItem>
      <ddeItem name="00857B.TW-BestAsk1" advise="1">
        <values>
          <value>
            <val>34.78</val>
          </value>
        </values>
      </ddeItem>
      <ddeItem name="00857B.TW-BestBid1" advise="1">
        <values>
          <value>
            <val>34.72</val>
          </value>
        </values>
      </ddeItem>
      <ddeItem name="00857B.TW-Open" advise="1">
        <values>
          <value>
            <val>34.72</val>
          </value>
        </values>
      </ddeItem>
      <ddeItem name="00857B.TW-PreClose" advise="1">
        <values>
          <value>
            <val>34.67</val>
          </value>
        </values>
      </ddeItem>
      <ddeItem name="00857B.TW-Price" advise="1">
        <values>
          <value>
            <val>34.729999999999997</val>
          </value>
        </values>
      </ddeItem>
      <ddeItem name="00857BN.TW-Price" advise="1">
        <values>
          <value>
            <val>34.659999999999997</val>
          </value>
        </values>
      </ddeItem>
      <ddeItem name="00858.TW-BestAsk1" advise="1">
        <values>
          <value>
            <val>26.49</val>
          </value>
        </values>
      </ddeItem>
      <ddeItem name="00858.TW-BestBid1" advise="1">
        <values>
          <value>
            <val>26.46</val>
          </value>
        </values>
      </ddeItem>
      <ddeItem name="00858.TW-Open" advise="1">
        <values>
          <value>
            <val>26.22</val>
          </value>
        </values>
      </ddeItem>
      <ddeItem name="00858.TW-PreClose" advise="1">
        <values>
          <value>
            <val>26.15</val>
          </value>
        </values>
      </ddeItem>
      <ddeItem name="00858.TW-Price" advise="1">
        <values>
          <value>
            <val>26.44</val>
          </value>
        </values>
      </ddeItem>
      <ddeItem name="00858N.TW-Price" advise="1">
        <values>
          <value>
            <val>26.35</val>
          </value>
        </values>
      </ddeItem>
      <ddeItem name="00859B.TW-BestAsk1" advise="1">
        <values>
          <value>
            <val>36.28</val>
          </value>
        </values>
      </ddeItem>
      <ddeItem name="00859B.TW-BestBid1" advise="1">
        <values>
          <value>
            <val>36.18</val>
          </value>
        </values>
      </ddeItem>
      <ddeItem name="00859B.TW-Open" advise="1">
        <values>
          <value>
            <val>36.229999999999997</val>
          </value>
        </values>
      </ddeItem>
      <ddeItem name="00859B.TW-PreClose" advise="1">
        <values>
          <value>
            <val>36.200000000000003</val>
          </value>
        </values>
      </ddeItem>
      <ddeItem name="00859B.TW-Price" advise="1">
        <values>
          <value>
            <val>36.18</val>
          </value>
        </values>
      </ddeItem>
      <ddeItem name="00859BN.TW-Price" advise="1">
        <values>
          <value>
            <val>36.26</val>
          </value>
        </values>
      </ddeItem>
      <ddeItem name="00860B.TW-BestAsk1" advise="1">
        <values>
          <value>
            <val>37.53</val>
          </value>
        </values>
      </ddeItem>
      <ddeItem name="00860B.TW-BestBid1" advise="1">
        <values>
          <value>
            <val>37.450000000000003</val>
          </value>
        </values>
      </ddeItem>
      <ddeItem name="00860B.TW-Open" advise="1">
        <values>
          <value>
            <val>37.49</val>
          </value>
        </values>
      </ddeItem>
      <ddeItem name="00860B.TW-PreClose" advise="1">
        <values>
          <value>
            <val>37.42</val>
          </value>
        </values>
      </ddeItem>
      <ddeItem name="00860B.TW-Price" advise="1">
        <values>
          <value>
            <val>37.49</val>
          </value>
        </values>
      </ddeItem>
      <ddeItem name="00860BN.TW-Price" advise="1">
        <values>
          <value>
            <val>37.549999999999997</val>
          </value>
        </values>
      </ddeItem>
      <ddeItem name="00861.TW-BestAsk1" advise="1">
        <values>
          <value>
            <val>27.62</val>
          </value>
        </values>
      </ddeItem>
      <ddeItem name="00861.TW-BestBid1" advise="1">
        <values>
          <value>
            <val>27.61</val>
          </value>
        </values>
      </ddeItem>
      <ddeItem name="00861.TW-Open" advise="1">
        <values>
          <value>
            <val>27.12</val>
          </value>
        </values>
      </ddeItem>
      <ddeItem name="00861.TW-PreClose" advise="1">
        <values>
          <value>
            <val>27.12</val>
          </value>
        </values>
      </ddeItem>
      <ddeItem name="00861.TW-Price" advise="1">
        <values>
          <value>
            <val>27.61</val>
          </value>
        </values>
      </ddeItem>
      <ddeItem name="00861N.TW-Price" advise="1">
        <values>
          <value>
            <val>27.59</val>
          </value>
        </values>
      </ddeItem>
      <ddeItem name="00862B.TW-BestAsk1" advise="1">
        <values>
          <value>
            <val>37.65</val>
          </value>
        </values>
      </ddeItem>
      <ddeItem name="00862B.TW-BestBid1" advise="1">
        <values>
          <value>
            <val>37.630000000000003</val>
          </value>
        </values>
      </ddeItem>
      <ddeItem name="00862B.TW-Open" advise="1">
        <values>
          <value>
            <val>37.619999999999997</val>
          </value>
        </values>
      </ddeItem>
      <ddeItem name="00862B.TW-PreClose" advise="1">
        <values>
          <value>
            <val>37.51</val>
          </value>
        </values>
      </ddeItem>
      <ddeItem name="00862B.TW-Price" advise="1">
        <values>
          <value>
            <val>37.65</val>
          </value>
        </values>
      </ddeItem>
      <ddeItem name="00862BN.TW-Price" advise="1">
        <values>
          <value>
            <val>37.799999999999997</val>
          </value>
        </values>
      </ddeItem>
      <ddeItem name="00863B.TW-BestAsk1" advise="1">
        <values>
          <value>
            <val>37.86</val>
          </value>
        </values>
      </ddeItem>
      <ddeItem name="00863B.TW-BestBid1" advise="1">
        <values>
          <value>
            <val>37.81</val>
          </value>
        </values>
      </ddeItem>
      <ddeItem name="00863B.TW-Open" advise="1">
        <values>
          <value>
            <val>37.799999999999997</val>
          </value>
        </values>
      </ddeItem>
      <ddeItem name="00863B.TW-PreClose" advise="1">
        <values>
          <value>
            <val>37.659999999999997</val>
          </value>
        </values>
      </ddeItem>
      <ddeItem name="00863B.TW-Price" advise="1">
        <values>
          <value>
            <val>37.82</val>
          </value>
        </values>
      </ddeItem>
      <ddeItem name="00863BN.TW-Price" advise="1">
        <values>
          <value>
            <val>37.799999999999997</val>
          </value>
        </values>
      </ddeItem>
      <ddeItem name="00864B.TW-BestAsk1" advise="1">
        <values>
          <value>
            <val>36.79</val>
          </value>
        </values>
      </ddeItem>
      <ddeItem name="00864B.TW-BestBid1" advise="1">
        <values>
          <value>
            <val>36.75</val>
          </value>
        </values>
      </ddeItem>
      <ddeItem name="00864B.TW-Open" advise="1">
        <values>
          <value>
            <val>36.799999999999997</val>
          </value>
        </values>
      </ddeItem>
      <ddeItem name="00864B.TW-PreClose" advise="1">
        <values>
          <value>
            <val>36.770000000000003</val>
          </value>
        </values>
      </ddeItem>
      <ddeItem name="00864B.TW-Price" advise="1">
        <values>
          <value>
            <val>36.79</val>
          </value>
        </values>
      </ddeItem>
      <ddeItem name="00864BN.TW-Price" advise="1">
        <values>
          <value>
            <val>36.86</val>
          </value>
        </values>
      </ddeItem>
      <ddeItem name="00865B.TW-BestAsk1" advise="1">
        <values>
          <value>
            <val>36.54</val>
          </value>
        </values>
      </ddeItem>
      <ddeItem name="00865B.TW-BestBid1" advise="1">
        <values>
          <value>
            <val>36.409999999999997</val>
          </value>
        </values>
      </ddeItem>
      <ddeItem name="00865B.TW-Open" advise="1">
        <values>
          <value>
            <val>36.5</val>
          </value>
        </values>
      </ddeItem>
      <ddeItem name="00865B.TW-PreClose" advise="1">
        <values>
          <value>
            <val>36.6</val>
          </value>
        </values>
      </ddeItem>
      <ddeItem name="00865B.TW-Price" advise="1">
        <values>
          <value>
            <val>36.54</val>
          </value>
        </values>
      </ddeItem>
      <ddeItem name="00865BN.TW-Price" advise="1">
        <values>
          <value>
            <val>36.93</val>
          </value>
        </values>
      </ddeItem>
      <ddeItem name="00867B.TW-BestAsk1" advise="1">
        <values>
          <value>
            <val>37.97</val>
          </value>
        </values>
      </ddeItem>
      <ddeItem name="00867B.TW-BestBid1" advise="1">
        <values>
          <value>
            <val>37.770000000000003</val>
          </value>
        </values>
      </ddeItem>
      <ddeItem name="00867B.TW-Open" advise="1">
        <values>
          <value>
            <val>37.93</val>
          </value>
        </values>
      </ddeItem>
      <ddeItem name="00867B.TW-PreClose" advise="1">
        <values>
          <value>
            <val>37.85</val>
          </value>
        </values>
      </ddeItem>
      <ddeItem name="00867B.TW-Price" advise="1">
        <values>
          <value>
            <val>37.93</val>
          </value>
        </values>
      </ddeItem>
      <ddeItem name="00867BN.TW-Price" advise="1">
        <values>
          <value>
            <val>37.83</val>
          </value>
        </values>
      </ddeItem>
      <ddeItem name="00868B.TW-BestAsk1" advise="1"/>
      <ddeItem name="00868B.TW-BestBid1" advise="1"/>
      <ddeItem name="00868B.TW-Open" advise="1"/>
      <ddeItem name="00868B.TW-PreClose" advise="1"/>
      <ddeItem name="00868B.TW-Price" advise="1"/>
      <ddeItem name="00868BN.TW-Price" advise="1"/>
      <ddeItem name="00869B.TW-BestAsk1" advise="1">
        <values>
          <value>
            <val>36.49</val>
          </value>
        </values>
      </ddeItem>
      <ddeItem name="00869B.TW-BestBid1" advise="1">
        <values>
          <value>
            <val>36.380000000000003</val>
          </value>
        </values>
      </ddeItem>
      <ddeItem name="00869B.TW-Open" advise="1">
        <values>
          <value>
            <val>36.42</val>
          </value>
        </values>
      </ddeItem>
      <ddeItem name="00869B.TW-PreClose" advise="1">
        <values>
          <value>
            <val>36.44</val>
          </value>
        </values>
      </ddeItem>
      <ddeItem name="00869B.TW-Price" advise="1">
        <values>
          <value>
            <val>36.44</val>
          </value>
        </values>
      </ddeItem>
      <ddeItem name="00869BN.TW-Price" advise="1">
        <values>
          <value>
            <val>36.450000000000003</val>
          </value>
        </values>
      </ddeItem>
      <ddeItem name="00870B.TW-BestAsk1" advise="1">
        <values>
          <value>
            <val>36.97</val>
          </value>
        </values>
      </ddeItem>
      <ddeItem name="00870B.TW-BestBid1" advise="1">
        <values>
          <value>
            <val>36.880000000000003</val>
          </value>
        </values>
      </ddeItem>
      <ddeItem name="00870B.TW-Open" advise="1">
        <values>
          <value>
            <val>37</val>
          </value>
        </values>
      </ddeItem>
      <ddeItem name="00870B.TW-PreClose" advise="1">
        <values>
          <value>
            <val>37.090000000000003</val>
          </value>
        </values>
      </ddeItem>
      <ddeItem name="00870B.TW-Price" advise="1">
        <values>
          <value>
            <val>36.97</val>
          </value>
        </values>
      </ddeItem>
      <ddeItem name="00870BN.TW-Price" advise="1">
        <values>
          <value>
            <val>37.03</val>
          </value>
        </values>
      </ddeItem>
      <ddeItem name="00872B.TW-BestAsk1" advise="1">
        <values>
          <value>
            <val>37.6</val>
          </value>
        </values>
      </ddeItem>
      <ddeItem name="00872B.TW-BestBid1" advise="1">
        <values>
          <value>
            <val>37.49</val>
          </value>
        </values>
      </ddeItem>
      <ddeItem name="00872B.TW-Open" advise="1">
        <values>
          <value>
            <val>37.6</val>
          </value>
        </values>
      </ddeItem>
      <ddeItem name="00872B.TW-PreClose" advise="1">
        <values>
          <value>
            <val>37.53</val>
          </value>
        </values>
      </ddeItem>
      <ddeItem name="00872B.TW-Price" advise="1">
        <values>
          <value>
            <val>37.6</val>
          </value>
        </values>
      </ddeItem>
      <ddeItem name="00872BN.TW-Price" advise="1">
        <values>
          <value>
            <val>37.56</val>
          </value>
        </values>
      </ddeItem>
      <ddeItem name="00875.TW-BestAsk1" advise="1">
        <values>
          <value>
            <val>29.48</val>
          </value>
        </values>
      </ddeItem>
      <ddeItem name="00875.TW-BestBid1" advise="1">
        <values>
          <value>
            <val>29.45</val>
          </value>
        </values>
      </ddeItem>
      <ddeItem name="00875.TW-Open" advise="1">
        <values>
          <value>
            <val>29.3</val>
          </value>
        </values>
      </ddeItem>
      <ddeItem name="00875.TW-PreClose" advise="1">
        <values>
          <value>
            <val>29.29</val>
          </value>
        </values>
      </ddeItem>
      <ddeItem name="00875.TW-Price" advise="1">
        <values>
          <value>
            <val>29.48</val>
          </value>
        </values>
      </ddeItem>
      <ddeItem name="00875N.TW-Price" advise="1">
        <values>
          <value>
            <val>29.4</val>
          </value>
        </values>
      </ddeItem>
      <ddeItem name="00876.TW-BestAsk1" advise="1">
        <values>
          <value>
            <val>26.96</val>
          </value>
        </values>
      </ddeItem>
      <ddeItem name="00876.TW-BestBid1" advise="1">
        <values>
          <value>
            <val>26.95</val>
          </value>
        </values>
      </ddeItem>
      <ddeItem name="00876.TW-Open" advise="1">
        <values>
          <value>
            <val>26.73</val>
          </value>
        </values>
      </ddeItem>
      <ddeItem name="00876.TW-PreClose" advise="1">
        <values>
          <value>
            <val>26.55</val>
          </value>
        </values>
      </ddeItem>
      <ddeItem name="00876.TW-Price" advise="1">
        <values>
          <value>
            <val>26.96</val>
          </value>
        </values>
      </ddeItem>
      <ddeItem name="00876N.TW-Price" advise="1">
        <values>
          <value>
            <val>26.94</val>
          </value>
        </values>
      </ddeItem>
      <ddeItem name="00877.TW-BestAsk1" advise="1">
        <values>
          <value>
            <val>11.26</val>
          </value>
        </values>
      </ddeItem>
      <ddeItem name="00877.TW-BestBid1" advise="1">
        <values>
          <value>
            <val>11.25</val>
          </value>
        </values>
      </ddeItem>
      <ddeItem name="00877.TW-Open" advise="1">
        <values>
          <value>
            <val>11.12</val>
          </value>
        </values>
      </ddeItem>
      <ddeItem name="00877.TW-PreClose" advise="1">
        <values>
          <value>
            <val>11.12</val>
          </value>
        </values>
      </ddeItem>
      <ddeItem name="00877.TW-Price" advise="1">
        <values>
          <value>
            <val>11.25</val>
          </value>
        </values>
      </ddeItem>
      <ddeItem name="00877N.TW-Price" advise="1">
        <values>
          <value>
            <val>11.42</val>
          </value>
        </values>
      </ddeItem>
      <ddeItem name="00878.TW-BestAsk1" advise="1">
        <values>
          <value>
            <val>18.05</val>
          </value>
        </values>
      </ddeItem>
      <ddeItem name="00878.TW-BestBid1" advise="1">
        <values>
          <value>
            <val>18.04</val>
          </value>
        </values>
      </ddeItem>
      <ddeItem name="00878.TW-Open" advise="1">
        <values>
          <value>
            <val>18</val>
          </value>
        </values>
      </ddeItem>
      <ddeItem name="00878.TW-PreClose" advise="1">
        <values>
          <value>
            <val>17.829999999999998</val>
          </value>
        </values>
      </ddeItem>
      <ddeItem name="00878.TW-Price" advise="1">
        <values>
          <value>
            <val>18.05</val>
          </value>
        </values>
      </ddeItem>
      <ddeItem name="00878N.TW-Price" advise="1">
        <values>
          <value>
            <val>17.940000000000001</val>
          </value>
        </values>
      </ddeItem>
      <ddeItem name="00879B.TW-BestAsk1" advise="1">
        <values>
          <value>
            <val>36.9</val>
          </value>
        </values>
      </ddeItem>
      <ddeItem name="00879B.TW-BestBid1" advise="1">
        <values>
          <value>
            <val>36.630000000000003</val>
          </value>
        </values>
      </ddeItem>
      <ddeItem name="00879B.TW-Open" advise="1">
        <values>
          <value>
            <val>36.799999999999997</val>
          </value>
        </values>
      </ddeItem>
      <ddeItem name="00879B.TW-PreClose" advise="1">
        <values>
          <value>
            <val>36.799999999999997</val>
          </value>
        </values>
      </ddeItem>
      <ddeItem name="00879B.TW-Price" advise="1">
        <values>
          <value>
            <val>36.799999999999997</val>
          </value>
        </values>
      </ddeItem>
      <ddeItem name="00879BN.TW-Price" advise="1">
        <values>
          <value>
            <val>37.229999999999997</val>
          </value>
        </values>
      </ddeItem>
      <ddeItem name="00880B.TW-BestAsk1" advise="1">
        <values>
          <value>
            <val>34.409999999999997</val>
          </value>
        </values>
      </ddeItem>
      <ddeItem name="00880B.TW-BestBid1" advise="1">
        <values>
          <value>
            <val>33.9</val>
          </value>
        </values>
      </ddeItem>
      <ddeItem name="00880B.TW-Open" advise="1">
        <values>
          <value>
            <val>34.200000000000003</val>
          </value>
        </values>
      </ddeItem>
      <ddeItem name="00880B.TW-PreClose" advise="1">
        <values>
          <value>
            <val>34.200000000000003</val>
          </value>
        </values>
      </ddeItem>
      <ddeItem name="00880B.TW-Price" advise="1">
        <values>
          <value>
            <val>34</val>
          </value>
        </values>
      </ddeItem>
      <ddeItem name="00880BN.TW-Price" advise="1">
        <values>
          <value>
            <val>34.42</val>
          </value>
        </values>
      </ddeItem>
      <ddeItem name="00881.TW-BestAsk1" advise="1">
        <values>
          <value>
            <val>16.39</val>
          </value>
        </values>
      </ddeItem>
      <ddeItem name="00881.TW-BestBid1" advise="1">
        <values>
          <value>
            <val>16.38</val>
          </value>
        </values>
      </ddeItem>
      <ddeItem name="00881.TW-Open" advise="1">
        <values>
          <value>
            <val>16.440000000000001</val>
          </value>
        </values>
      </ddeItem>
      <ddeItem name="00881.TW-PreClose" advise="1">
        <values>
          <value>
            <val>16.22</val>
          </value>
        </values>
      </ddeItem>
      <ddeItem name="00881.TW-Price" advise="1">
        <values>
          <value>
            <val>16.38</val>
          </value>
        </values>
      </ddeItem>
      <ddeItem name="00881N.TW-Price" advise="1">
        <values>
          <value>
            <val>16.329999999999998</val>
          </value>
        </values>
      </ddeItem>
      <ddeItem name="00882.TW-BestAsk1" advise="1">
        <values>
          <value>
            <val>15.91</val>
          </value>
        </values>
      </ddeItem>
      <ddeItem name="00882.TW-BestBid1" advise="1">
        <values>
          <value>
            <val>15.9</val>
          </value>
        </values>
      </ddeItem>
      <ddeItem name="00882.TW-Open" advise="1">
        <values>
          <value>
            <val>15.98</val>
          </value>
        </values>
      </ddeItem>
      <ddeItem name="00882.TW-PreClose" advise="1">
        <values>
          <value>
            <val>15.92</val>
          </value>
        </values>
      </ddeItem>
      <ddeItem name="00882.TW-Price" advise="1">
        <values>
          <value>
            <val>15.9</val>
          </value>
        </values>
      </ddeItem>
      <ddeItem name="00882N.TW-Price" advise="1">
        <values>
          <value>
            <val>15.91</val>
          </value>
        </values>
      </ddeItem>
      <ddeItem name="00883B.TW-BestAsk1" advise="1">
        <values>
          <value>
            <val>37.450000000000003</val>
          </value>
        </values>
      </ddeItem>
      <ddeItem name="00883B.TW-BestBid1" advise="1">
        <values>
          <value>
            <val>37.42</val>
          </value>
        </values>
      </ddeItem>
      <ddeItem name="00883B.TW-Open" advise="1">
        <values>
          <value>
            <val>37.409999999999997</val>
          </value>
        </values>
      </ddeItem>
      <ddeItem name="00883B.TW-PreClose" advise="1">
        <values>
          <value>
            <val>37.21</val>
          </value>
        </values>
      </ddeItem>
      <ddeItem name="00883B.TW-Price" advise="1">
        <values>
          <value>
            <val>37.42</val>
          </value>
        </values>
      </ddeItem>
      <ddeItem name="00883BN.TW-Price" advise="1">
        <values>
          <value>
            <val>37.49</val>
          </value>
        </values>
      </ddeItem>
      <ddeItem name="00884B.TW-BestAsk1" advise="1">
        <values>
          <value>
            <val>37.5</val>
          </value>
        </values>
      </ddeItem>
      <ddeItem name="00884B.TW-BestBid1" advise="1">
        <values>
          <value>
            <val>37.49</val>
          </value>
        </values>
      </ddeItem>
      <ddeItem name="00884B.TW-Open" advise="1">
        <values>
          <value>
            <val>37.51</val>
          </value>
        </values>
      </ddeItem>
      <ddeItem name="00884B.TW-PreClose" advise="1">
        <values>
          <value>
            <val>37.4</val>
          </value>
        </values>
      </ddeItem>
      <ddeItem name="00884B.TW-Price" advise="1">
        <values>
          <value>
            <val>37.49</val>
          </value>
        </values>
      </ddeItem>
      <ddeItem name="00884BN.TW-Price" advise="1">
        <values>
          <value>
            <val>37.57</val>
          </value>
        </values>
      </ddeItem>
      <ddeItem name="00885.TW-BestAsk1" advise="1">
        <values>
          <value>
            <val>15.24</val>
          </value>
        </values>
      </ddeItem>
      <ddeItem name="00885.TW-BestBid1" advise="1">
        <values>
          <value>
            <val>15.23</val>
          </value>
        </values>
      </ddeItem>
      <ddeItem name="00885.TW-Open" advise="1">
        <values>
          <value>
            <val>15.28</val>
          </value>
        </values>
      </ddeItem>
      <ddeItem name="00885.TW-PreClose" advise="1">
        <values>
          <value>
            <val>15.26</val>
          </value>
        </values>
      </ddeItem>
      <ddeItem name="00885.TW-Price" advise="1">
        <values>
          <value>
            <val>15.24</val>
          </value>
        </values>
      </ddeItem>
      <ddeItem name="00885N.TW-Price" advise="1">
        <values>
          <value>
            <val>15.14</val>
          </value>
        </values>
      </ddeItem>
      <ddeItem name="00886.TW-BestAsk1" advise="1">
        <values>
          <value>
            <val>19.73</val>
          </value>
        </values>
      </ddeItem>
      <ddeItem name="00886.TW-BestBid1" advise="1">
        <values>
          <value>
            <val>19.72</val>
          </value>
        </values>
      </ddeItem>
      <ddeItem name="00886.TW-Open" advise="1">
        <values>
          <value>
            <val>19.670000000000002</val>
          </value>
        </values>
      </ddeItem>
      <ddeItem name="00886.TW-PreClose" advise="1">
        <values>
          <value>
            <val>19.53</val>
          </value>
        </values>
      </ddeItem>
      <ddeItem name="00886.TW-Price" advise="1">
        <values>
          <value>
            <val>19.73</val>
          </value>
        </values>
      </ddeItem>
      <ddeItem name="00886N.TW-Price" advise="1">
        <values>
          <value>
            <val>19.62</val>
          </value>
        </values>
      </ddeItem>
      <ddeItem name="00887.TW-BestAsk1" advise="1">
        <values>
          <value>
            <val>20.82</val>
          </value>
        </values>
      </ddeItem>
      <ddeItem name="00887.TW-BestBid1" advise="1">
        <values>
          <value>
            <val>20.81</val>
          </value>
        </values>
      </ddeItem>
      <ddeItem name="00887.TW-Open" advise="1">
        <values>
          <value>
            <val>20.7</val>
          </value>
        </values>
      </ddeItem>
      <ddeItem name="00887.TW-PreClose" advise="1">
        <values>
          <value>
            <val>20.45</val>
          </value>
        </values>
      </ddeItem>
      <ddeItem name="00887.TW-Price" advise="1">
        <values>
          <value>
            <val>20.81</val>
          </value>
        </values>
      </ddeItem>
      <ddeItem name="00887N.TW-Price" advise="1">
        <values>
          <value>
            <val>21.12</val>
          </value>
        </values>
      </ddeItem>
      <ddeItem name="00888.TW-BestAsk1" advise="1">
        <values>
          <value>
            <val>14.28</val>
          </value>
        </values>
      </ddeItem>
      <ddeItem name="00888.TW-BestBid1" advise="1">
        <values>
          <value>
            <val>14.27</val>
          </value>
        </values>
      </ddeItem>
      <ddeItem name="00888.TW-Open" advise="1">
        <values>
          <value>
            <val>14.5</val>
          </value>
        </values>
      </ddeItem>
      <ddeItem name="00888.TW-PreClose" advise="1">
        <values>
          <value>
            <val>14.16</val>
          </value>
        </values>
      </ddeItem>
      <ddeItem name="00888.TW-Price" advise="1">
        <values>
          <value>
            <val>14.27</val>
          </value>
        </values>
      </ddeItem>
      <ddeItem name="00888N.TW-Price" advise="1">
        <values>
          <value>
            <val>14.23</val>
          </value>
        </values>
      </ddeItem>
      <ddeItem name="StdDocumentName" ole="1" advise="1"/>
    </ddeItems>
  </ddeLin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DFS" ddeTopic="quote">
    <ddeItems>
      <ddeItem name="StdDocumentName" ole="1" advise="1"/>
      <ddeItem name="TAIFEX,CDFE1,ADJUST_CLS" advise="1">
        <values>
          <value>
            <val>544</val>
          </value>
        </values>
      </ddeItem>
      <ddeItem name="TAIFEX,CDFE1,ASK" advise="1">
        <values>
          <value>
            <val>555</val>
          </value>
        </values>
      </ddeItem>
      <ddeItem name="TAIFEX,CDFE1,BID" advise="1">
        <values>
          <value>
            <val>554</val>
          </value>
        </values>
      </ddeItem>
      <ddeItem name="TAIFEX,CDFE1,DSPLY_NMLL" advise="1">
        <values>
          <value t="str">
            <val>台積電期貨E1</val>
          </value>
        </values>
      </ddeItem>
      <ddeItem name="TAIFEX,CDFE1,HIGH_1" advise="1">
        <values>
          <value>
            <val>560</val>
          </value>
        </values>
      </ddeItem>
      <ddeItem name="TAIFEX,CDFE1,HST_CLOSE" advise="1">
        <values>
          <value>
            <val>0</val>
          </value>
        </values>
      </ddeItem>
      <ddeItem name="TAIFEX,CDFE1,LOW_1" advise="1">
        <values>
          <value>
            <val>549</val>
          </value>
        </values>
      </ddeItem>
      <ddeItem name="TAIFEX,CDFE1,OPEN_PRC" advise="1">
        <values>
          <value>
            <val>552</val>
          </value>
        </values>
      </ddeItem>
      <ddeItem name="TAIFEX,CDFE1,SYMBOL" advise="1">
        <values>
          <value t="str">
            <val>CDFE1</val>
          </value>
        </values>
      </ddeItem>
      <ddeItem name="TAIFEX,CDFE1,TRDPRC_1" advise="1">
        <values>
          <value>
            <val>555</val>
          </value>
        </values>
      </ddeItem>
      <ddeItem name="TAIFEX,CDFF1,ADLUST_CLS" advise="1">
        <values>
          <value>
            <val>0</val>
          </value>
        </values>
      </ddeItem>
      <ddeItem name="TAIFEX,CDFF1,ASK" advise="1">
        <values>
          <value>
            <val>554</val>
          </value>
        </values>
      </ddeItem>
      <ddeItem name="TAIFEX,CDFF1,BID" advise="1">
        <values>
          <value>
            <val>553</val>
          </value>
        </values>
      </ddeItem>
      <ddeItem name="TAIFEX,CDFF1,DSPLY_NMLL" advise="1">
        <values>
          <value t="str">
            <val>台積電期貨F1</val>
          </value>
        </values>
      </ddeItem>
      <ddeItem name="TAIFEX,CDFF1,HIGH_1" advise="1">
        <values>
          <value>
            <val>558</val>
          </value>
        </values>
      </ddeItem>
      <ddeItem name="TAIFEX,CDFF1,HST_CLOSE" advise="1">
        <values>
          <value>
            <val>0</val>
          </value>
        </values>
      </ddeItem>
      <ddeItem name="TAIFEX,CDFF1,LOW_1" advise="1">
        <values>
          <value>
            <val>547</val>
          </value>
        </values>
      </ddeItem>
      <ddeItem name="TAIFEX,CDFF1,OPEN_PRC" advise="1">
        <values>
          <value>
            <val>550</val>
          </value>
        </values>
      </ddeItem>
      <ddeItem name="TAIFEX,CDFF1,SYMBOL" advise="1">
        <values>
          <value t="str">
            <val>CDFF1</val>
          </value>
        </values>
      </ddeItem>
      <ddeItem name="TAIFEX,CDFF1,TRDPRC_1" advise="1">
        <values>
          <value>
            <val>554</val>
          </value>
        </values>
      </ddeItem>
      <ddeItem name="TAIFEX,EXFE1,ADJUST_CLS" advise="1">
        <values>
          <value>
            <val>758.3</val>
          </value>
        </values>
      </ddeItem>
      <ddeItem name="TAIFEX,EXFE1,ASK" advise="1">
        <values>
          <value>
            <val>756.2</val>
          </value>
        </values>
      </ddeItem>
      <ddeItem name="TAIFEX,EXFE1,BID" advise="1">
        <values>
          <value>
            <val>755.55</val>
          </value>
        </values>
      </ddeItem>
      <ddeItem name="TAIFEX,EXFE1,DSPLY_NMLL" advise="1">
        <values>
          <value t="str">
            <val>電子期貨E1</val>
          </value>
        </values>
      </ddeItem>
      <ddeItem name="TAIFEX,EXFE1,HIGH_1" advise="1">
        <values>
          <value>
            <val>770.95</val>
          </value>
        </values>
      </ddeItem>
      <ddeItem name="TAIFEX,EXFE1,HST_CLOSE" advise="1">
        <values>
          <value>
            <val>0</val>
          </value>
        </values>
      </ddeItem>
      <ddeItem name="TAIFEX,EXFE1,LOW_1" advise="1">
        <values>
          <value>
            <val>751.75</val>
          </value>
        </values>
      </ddeItem>
      <ddeItem name="TAIFEX,EXFE1,OPEN_PRC" advise="1">
        <values>
          <value>
            <val>755.1</val>
          </value>
        </values>
      </ddeItem>
      <ddeItem name="TAIFEX,EXFE1,SYMBOL" advise="1">
        <values>
          <value t="str">
            <val>EXFE1</val>
          </value>
        </values>
      </ddeItem>
      <ddeItem name="TAIFEX,EXFE1,TRDPRC_1" advise="1">
        <values>
          <value>
            <val>756</val>
          </value>
        </values>
      </ddeItem>
      <ddeItem name="TAIFEX,EXFF1,ADJUST_CLS" advise="1">
        <values>
          <value>
            <val>753.7</val>
          </value>
        </values>
      </ddeItem>
      <ddeItem name="TAIFEX,EXFF1,ASK" advise="1">
        <values>
          <value>
            <val>755.7</val>
          </value>
        </values>
      </ddeItem>
      <ddeItem name="TAIFEX,EXFF1,BID" advise="1">
        <values>
          <value>
            <val>745.15</val>
          </value>
        </values>
      </ddeItem>
      <ddeItem name="TAIFEX,EXFF1,DSPLY_NMLL" advise="1">
        <values>
          <value t="str">
            <val>電子期貨F1</val>
          </value>
        </values>
      </ddeItem>
      <ddeItem name="TAIFEX,EXFF1,HIGH_1" advise="1">
        <values>
          <value>
            <val>766.55</val>
          </value>
        </values>
      </ddeItem>
      <ddeItem name="TAIFEX,EXFF1,HST_CLOSE" advise="1">
        <values>
          <value>
            <val>0</val>
          </value>
        </values>
      </ddeItem>
      <ddeItem name="TAIFEX,EXFF1,LOW_1" advise="1">
        <values>
          <value>
            <val>748</val>
          </value>
        </values>
      </ddeItem>
      <ddeItem name="TAIFEX,EXFF1,OPEN_PRC" advise="1">
        <values>
          <value>
            <val>754.45</val>
          </value>
        </values>
      </ddeItem>
      <ddeItem name="TAIFEX,EXFF1,SYMBOL" advise="1">
        <values>
          <value t="str">
            <val>EXFF1</val>
          </value>
        </values>
      </ddeItem>
      <ddeItem name="TAIFEX,EXFF1,TRDPRC_1" advise="1">
        <values>
          <value>
            <val>753.7</val>
          </value>
        </values>
      </ddeItem>
      <ddeItem name="TAIFEX,FXFE1,ADJUST_CLS" advise="1">
        <values>
          <value>
            <val>1429.4</val>
          </value>
        </values>
      </ddeItem>
      <ddeItem name="TAIFEX,FXFE1,ASK" advise="1">
        <values>
          <value>
            <val>1446.8</val>
          </value>
        </values>
      </ddeItem>
      <ddeItem name="TAIFEX,FXFE1,BID" advise="1">
        <values>
          <value>
            <val>1445.6</val>
          </value>
        </values>
      </ddeItem>
      <ddeItem name="TAIFEX,FXFE1,DSPLY_NMLL" advise="1">
        <values>
          <value t="str">
            <val>金融期貨E1</val>
          </value>
        </values>
      </ddeItem>
      <ddeItem name="TAIFEX,FXFE1,HIGH_1" advise="1">
        <values>
          <value>
            <val>1468.2</val>
          </value>
        </values>
      </ddeItem>
      <ddeItem name="TAIFEX,FXFE1,HST_CLOSE" advise="1">
        <values>
          <value>
            <val>0</val>
          </value>
        </values>
      </ddeItem>
      <ddeItem name="TAIFEX,FXFE1,LOW_1" advise="1">
        <values>
          <value>
            <val>1434.8</val>
          </value>
        </values>
      </ddeItem>
      <ddeItem name="TAIFEX,FXFE1,OPEN_PRC" advise="1">
        <values>
          <value>
            <val>1448.8</val>
          </value>
        </values>
      </ddeItem>
      <ddeItem name="TAIFEX,FXFE1,SYMBOL" advise="1">
        <values>
          <value t="str">
            <val>FXFE1</val>
          </value>
        </values>
      </ddeItem>
      <ddeItem name="TAIFEX,FXFE1,TRDPRC_1" advise="1">
        <values>
          <value>
            <val>1445.6</val>
          </value>
        </values>
      </ddeItem>
      <ddeItem name="TAIFEX,FXFF1,ADJUST_CLS" advise="1">
        <values>
          <value>
            <val>1427.2</val>
          </value>
        </values>
      </ddeItem>
      <ddeItem name="TAIFEX,FXFF1,ASK" advise="1">
        <values>
          <value>
            <val>1453.8</val>
          </value>
        </values>
      </ddeItem>
      <ddeItem name="TAIFEX,FXFF1,BID" advise="1">
        <values>
          <value>
            <val>1438</val>
          </value>
        </values>
      </ddeItem>
      <ddeItem name="TAIFEX,FXFF1,DSPLY_NMLL" advise="1">
        <values>
          <value t="str">
            <val>金融期貨F1</val>
          </value>
        </values>
      </ddeItem>
      <ddeItem name="TAIFEX,FXFF1,HIGH_1" advise="1">
        <values>
          <value>
            <val>1458</val>
          </value>
        </values>
      </ddeItem>
      <ddeItem name="TAIFEX,FXFF1,HST_CLOSE" advise="1">
        <values>
          <value>
            <val>0</val>
          </value>
        </values>
      </ddeItem>
      <ddeItem name="TAIFEX,FXFF1,LOW_1" advise="1">
        <values>
          <value>
            <val>1432</val>
          </value>
        </values>
      </ddeItem>
      <ddeItem name="TAIFEX,FXFF1,OPEN_PRC" advise="1">
        <values>
          <value>
            <val>1454</val>
          </value>
        </values>
      </ddeItem>
      <ddeItem name="TAIFEX,FXFF1,SYMBOL" advise="1">
        <values>
          <value t="str">
            <val>FXFF1</val>
          </value>
        </values>
      </ddeItem>
      <ddeItem name="TAIFEX,FXFF1,TRDPRC_1" advise="1">
        <values>
          <value>
            <val>1442.4</val>
          </value>
        </values>
      </ddeItem>
      <ddeItem name="TAIFEX,KDFE1,ADJUST_CLS" advise="1">
        <values>
          <value>
            <val>161</val>
          </value>
        </values>
      </ddeItem>
      <ddeItem name="TAIFEX,KDFE1,ASK" advise="1">
        <values>
          <value>
            <val>162</val>
          </value>
        </values>
      </ddeItem>
      <ddeItem name="TAIFEX,KDFE1,BID" advise="1">
        <values>
          <value>
            <val>159</val>
          </value>
        </values>
      </ddeItem>
      <ddeItem name="TAIFEX,KDFE1,DSPLY_NMLL" advise="1">
        <values>
          <value t="str">
            <val>同欣電期貨E1</val>
          </value>
        </values>
      </ddeItem>
      <ddeItem name="TAIFEX,KDFE1,HIGH_1" advise="1">
        <values>
          <value>
            <val>168</val>
          </value>
        </values>
      </ddeItem>
      <ddeItem name="TAIFEX,KDFE1,HST_CLOSE" advise="1">
        <values>
          <value>
            <val>0</val>
          </value>
        </values>
      </ddeItem>
      <ddeItem name="TAIFEX,KDFE1,LOW_1" advise="1">
        <values>
          <value>
            <val>157.5</val>
          </value>
        </values>
      </ddeItem>
      <ddeItem name="TAIFEX,KDFE1,OPEN_PRC" advise="1">
        <values>
          <value>
            <val>163.5</val>
          </value>
        </values>
      </ddeItem>
      <ddeItem name="TAIFEX,KDFE1,SYMBOL" advise="1">
        <values>
          <value t="str">
            <val>KDFE1</val>
          </value>
        </values>
      </ddeItem>
      <ddeItem name="TAIFEX,KDFE1,TRDPRC_1" advise="1">
        <values>
          <value>
            <val>161.5</val>
          </value>
        </values>
      </ddeItem>
      <ddeItem name="TAIFEX,KDFF1,ADLUST_CLS" advise="1">
        <values>
          <value>
            <val>0</val>
          </value>
        </values>
      </ddeItem>
      <ddeItem name="TAIFEX,KDFF1,ASK" advise="1">
        <values>
          <value>
            <val>162.5</val>
          </value>
        </values>
      </ddeItem>
      <ddeItem name="TAIFEX,KDFF1,BID" advise="1">
        <values>
          <value>
            <val>157</val>
          </value>
        </values>
      </ddeItem>
      <ddeItem name="TAIFEX,KDFF1,DSPLY_NMLL" advise="1">
        <values>
          <value t="str">
            <val>同欣電期貨F1</val>
          </value>
        </values>
      </ddeItem>
      <ddeItem name="TAIFEX,KDFF1,HIGH_1" advise="1">
        <values>
          <value>
            <val>164.5</val>
          </value>
        </values>
      </ddeItem>
      <ddeItem name="TAIFEX,KDFF1,HST_CLOSE" advise="1">
        <values>
          <value>
            <val>0</val>
          </value>
        </values>
      </ddeItem>
      <ddeItem name="TAIFEX,KDFF1,LOW_1" advise="1">
        <values>
          <value>
            <val>158</val>
          </value>
        </values>
      </ddeItem>
      <ddeItem name="TAIFEX,KDFF1,OPEN_PRC" advise="1">
        <values>
          <value>
            <val>163.5</val>
          </value>
        </values>
      </ddeItem>
      <ddeItem name="TAIFEX,KDFF1,SYMBOL" advise="1">
        <values>
          <value t="str">
            <val>KDFF1</val>
          </value>
        </values>
      </ddeItem>
      <ddeItem name="TAIFEX,KDFF1,TRDPRC_1" advise="1">
        <values>
          <value>
            <val>158</val>
          </value>
        </values>
      </ddeItem>
      <ddeItem name="TAIFEX,NYFE1,ADJUST_CLS" advise="1">
        <values>
          <value>
            <val>126.3</val>
          </value>
        </values>
      </ddeItem>
      <ddeItem name="TAIFEX,NYFE1,ASK" advise="1">
        <values>
          <value>
            <val>128.44999999999999</val>
          </value>
        </values>
      </ddeItem>
      <ddeItem name="TAIFEX,NYFE1,BID" advise="1">
        <values>
          <value>
            <val>128.4</val>
          </value>
        </values>
      </ddeItem>
      <ddeItem name="TAIFEX,NYFE1,DSPLY_NMLL" advise="1">
        <values>
          <value t="str">
            <val>元大台灣50ETF期貨E1</val>
          </value>
        </values>
      </ddeItem>
      <ddeItem name="TAIFEX,NYFE1,HIGH_1" advise="1">
        <values>
          <value>
            <val>130</val>
          </value>
        </values>
      </ddeItem>
      <ddeItem name="TAIFEX,NYFE1,HST_CLOSE" advise="1">
        <values>
          <value>
            <val>0</val>
          </value>
        </values>
      </ddeItem>
      <ddeItem name="TAIFEX,NYFE1,LOW_1" advise="1">
        <values>
          <value>
            <val>127.65</val>
          </value>
        </values>
      </ddeItem>
      <ddeItem name="TAIFEX,NYFE1,OPEN_PRC" advise="1">
        <values>
          <value>
            <val>128.30000000000001</val>
          </value>
        </values>
      </ddeItem>
      <ddeItem name="TAIFEX,NYFE1,SYMBOL" advise="1">
        <values>
          <value t="str">
            <val>NYFE1</val>
          </value>
        </values>
      </ddeItem>
      <ddeItem name="TAIFEX,NYFE1,TRDPRC_1" advise="1">
        <values>
          <value>
            <val>128.44999999999999</val>
          </value>
        </values>
      </ddeItem>
      <ddeItem name="TAIFEX,NYFF1,ADLUST_CLS" advise="1">
        <values>
          <value>
            <val>0</val>
          </value>
        </values>
      </ddeItem>
      <ddeItem name="TAIFEX,NYFF1,ASK" advise="1">
        <values>
          <value>
            <val>128.5</val>
          </value>
        </values>
      </ddeItem>
      <ddeItem name="TAIFEX,NYFF1,BID" advise="1">
        <values>
          <value>
            <val>128.15</val>
          </value>
        </values>
      </ddeItem>
      <ddeItem name="TAIFEX,NYFF1,DSPLY_NMLL" advise="1">
        <values>
          <value t="str">
            <val>元大台灣50ETF期貨F1</val>
          </value>
        </values>
      </ddeItem>
      <ddeItem name="TAIFEX,NYFF1,HIGH_1" advise="1">
        <values>
          <value>
            <val>129.80000000000001</val>
          </value>
        </values>
      </ddeItem>
      <ddeItem name="TAIFEX,NYFF1,HST_CLOSE" advise="1">
        <values>
          <value>
            <val>0</val>
          </value>
        </values>
      </ddeItem>
      <ddeItem name="TAIFEX,NYFF1,LOW_1" advise="1">
        <values>
          <value>
            <val>127.65</val>
          </value>
        </values>
      </ddeItem>
      <ddeItem name="TAIFEX,NYFF1,OPEN_PRC" advise="1">
        <values>
          <value>
            <val>128.05000000000001</val>
          </value>
        </values>
      </ddeItem>
      <ddeItem name="TAIFEX,NYFF1,SYMBOL" advise="1">
        <values>
          <value t="str">
            <val>NYFF1</val>
          </value>
        </values>
      </ddeItem>
      <ddeItem name="TAIFEX,NYFF1,TRDPRC_1" advise="1">
        <values>
          <value>
            <val>128.25</val>
          </value>
        </values>
      </ddeItem>
      <ddeItem name="TAIFEX,OAFE1,ADJUST_CLS" advise="1">
        <values>
          <value>
            <val>37.14</val>
          </value>
        </values>
      </ddeItem>
      <ddeItem name="TAIFEX,OAFE1,ASK" advise="1">
        <values>
          <value>
            <val>38.18</val>
          </value>
        </values>
      </ddeItem>
      <ddeItem name="TAIFEX,OAFE1,BID" advise="1">
        <values>
          <value>
            <val>38.1</val>
          </value>
        </values>
      </ddeItem>
      <ddeItem name="TAIFEX,OAFE1,DSPLY_NMLL" advise="1">
        <values>
          <value t="str">
            <val>富邦上証ETF期貨E1</val>
          </value>
        </values>
      </ddeItem>
      <ddeItem name="TAIFEX,OAFE1,HIGH_1" advise="1">
        <values>
          <value>
            <val>38.17</val>
          </value>
        </values>
      </ddeItem>
      <ddeItem name="TAIFEX,OAFE1,HST_CLOSE" advise="1">
        <values>
          <value>
            <val>0</val>
          </value>
        </values>
      </ddeItem>
      <ddeItem name="TAIFEX,OAFE1,LOW_1" advise="1">
        <values>
          <value>
            <val>37.17</val>
          </value>
        </values>
      </ddeItem>
      <ddeItem name="TAIFEX,OAFE1,OPEN_PRC" advise="1">
        <values>
          <value>
            <val>37.36</val>
          </value>
        </values>
      </ddeItem>
      <ddeItem name="TAIFEX,OAFE1,SYMBOL" advise="1">
        <values>
          <value t="str">
            <val>OAFE1</val>
          </value>
        </values>
      </ddeItem>
      <ddeItem name="TAIFEX,OAFE1,TRDPRC_1" advise="1">
        <values>
          <value>
            <val>38.17</val>
          </value>
        </values>
      </ddeItem>
      <ddeItem name="TAIFEX,OAFF1,ADLUST_CLS" advise="1">
        <values>
          <value>
            <val>0</val>
          </value>
        </values>
      </ddeItem>
      <ddeItem name="TAIFEX,OAFF1,ASK" advise="1">
        <values>
          <value>
            <val>38.14</val>
          </value>
        </values>
      </ddeItem>
      <ddeItem name="TAIFEX,OAFF1,BID" advise="1">
        <values>
          <value>
            <val>38.1</val>
          </value>
        </values>
      </ddeItem>
      <ddeItem name="TAIFEX,OAFF1,DSPLY_NMLL" advise="1">
        <values>
          <value t="str">
            <val>富邦上証ETF期貨F1</val>
          </value>
        </values>
      </ddeItem>
      <ddeItem name="TAIFEX,OAFF1,HIGH_1" advise="1">
        <values>
          <value>
            <val>38.159999999999997</val>
          </value>
        </values>
      </ddeItem>
      <ddeItem name="TAIFEX,OAFF1,HST_CLOSE" advise="1">
        <values>
          <value>
            <val>0</val>
          </value>
        </values>
      </ddeItem>
      <ddeItem name="TAIFEX,OAFF1,LOW_1" advise="1">
        <values>
          <value>
            <val>37.32</val>
          </value>
        </values>
      </ddeItem>
      <ddeItem name="TAIFEX,OAFF1,OPEN_PRC" advise="1">
        <values>
          <value>
            <val>37.33</val>
          </value>
        </values>
      </ddeItem>
      <ddeItem name="TAIFEX,OAFF1,SYMBOL" advise="1">
        <values>
          <value t="str">
            <val>OAFF1</val>
          </value>
        </values>
      </ddeItem>
      <ddeItem name="TAIFEX,OAFF1,TRDPRC_1" advise="1">
        <values>
          <value>
            <val>38.159999999999997</val>
          </value>
        </values>
      </ddeItem>
      <ddeItem name="TAIFEX,PFFE1,ADJUST_CLS" advise="1">
        <values>
          <value>
            <val>33.33</val>
          </value>
        </values>
      </ddeItem>
      <ddeItem name="TAIFEX,PFFE1,ASK" advise="1">
        <values>
          <value>
            <val>33.619999999999997</val>
          </value>
        </values>
      </ddeItem>
      <ddeItem name="TAIFEX,PFFE1,BID" advise="1">
        <values>
          <value>
            <val>33</val>
          </value>
        </values>
      </ddeItem>
      <ddeItem name="TAIFEX,PFFE1,DSPLY_NMLL" advise="1">
        <values>
          <value t="str">
            <val>元大高股息ETF期貨E1</val>
          </value>
        </values>
      </ddeItem>
      <ddeItem name="TAIFEX,PFFE1,HIGH_1" advise="1">
        <values>
          <value>
            <val>33.79</val>
          </value>
        </values>
      </ddeItem>
      <ddeItem name="TAIFEX,PFFE1,HST_CLOSE" advise="1">
        <values>
          <value>
            <val>0</val>
          </value>
        </values>
      </ddeItem>
      <ddeItem name="TAIFEX,PFFE1,LOW_1" advise="1">
        <values>
          <value>
            <val>33.5</val>
          </value>
        </values>
      </ddeItem>
      <ddeItem name="TAIFEX,PFFE1,OPEN_PRC" advise="1">
        <values>
          <value>
            <val>33.72</val>
          </value>
        </values>
      </ddeItem>
      <ddeItem name="TAIFEX,PFFE1,SYMBOL" advise="1">
        <values>
          <value t="str">
            <val>PFFE1</val>
          </value>
        </values>
      </ddeItem>
      <ddeItem name="TAIFEX,PFFE1,TRDPRC_1" advise="1">
        <values>
          <value>
            <val>33.5</val>
          </value>
        </values>
      </ddeItem>
      <ddeItem name="TAIFEX,PFFF1,ADLUST_CLS" advise="1">
        <values>
          <value>
            <val>0</val>
          </value>
        </values>
      </ddeItem>
      <ddeItem name="TAIFEX,PFFF1,ASK" advise="1">
        <values>
          <value>
            <val>33.79</val>
          </value>
        </values>
      </ddeItem>
      <ddeItem name="TAIFEX,PFFF1,BID" advise="1">
        <values>
          <value>
            <val>0</val>
          </value>
        </values>
      </ddeItem>
      <ddeItem name="TAIFEX,PFFF1,DSPLY_NMLL" advise="1">
        <values>
          <value t="str">
            <val>元大高股息ETF期貨F1</val>
          </value>
        </values>
      </ddeItem>
      <ddeItem name="TAIFEX,PFFF1,HIGH_1" advise="1">
        <values>
          <value>
            <val>33.65</val>
          </value>
        </values>
      </ddeItem>
      <ddeItem name="TAIFEX,PFFF1,HST_CLOSE" advise="1">
        <values>
          <value>
            <val>0</val>
          </value>
        </values>
      </ddeItem>
      <ddeItem name="TAIFEX,PFFF1,LOW_1" advise="1">
        <values>
          <value>
            <val>33.65</val>
          </value>
        </values>
      </ddeItem>
      <ddeItem name="TAIFEX,PFFF1,OPEN_PRC" advise="1">
        <values>
          <value>
            <val>33.65</val>
          </value>
        </values>
      </ddeItem>
      <ddeItem name="TAIFEX,PFFF1,SYMBOL" advise="1">
        <values>
          <value t="str">
            <val>PFFF1</val>
          </value>
        </values>
      </ddeItem>
      <ddeItem name="TAIFEX,PFFF1,TRDPRC_1" advise="1">
        <values>
          <value>
            <val>33.65</val>
          </value>
        </values>
      </ddeItem>
      <ddeItem name="TAIFEX,TXFE1,ADJUST_CLS" advise="1">
        <values>
          <value>
            <val>15766</val>
          </value>
        </values>
      </ddeItem>
      <ddeItem name="TAIFEX,TXFE1,ASK" advise="1">
        <values>
          <value>
            <val>15719</val>
          </value>
        </values>
      </ddeItem>
      <ddeItem name="TAIFEX,TXFE1,BID" advise="1">
        <values>
          <value>
            <val>15717</val>
          </value>
        </values>
      </ddeItem>
      <ddeItem name="TAIFEX,TXFE1,DSPLY_NMLL" advise="1">
        <values>
          <value t="str">
            <val>臺股期貨E1</val>
          </value>
        </values>
      </ddeItem>
      <ddeItem name="TAIFEX,TXFE1,HIGH_1" advise="1">
        <values>
          <value>
            <val>16021</val>
          </value>
        </values>
      </ddeItem>
      <ddeItem name="TAIFEX,TXFE1,HST_CLOSE" advise="1">
        <values>
          <value>
            <val>0</val>
          </value>
        </values>
      </ddeItem>
      <ddeItem name="TAIFEX,TXFE1,LOW_1" advise="1">
        <values>
          <value>
            <val>15653</val>
          </value>
        </values>
      </ddeItem>
      <ddeItem name="TAIFEX,TXFE1,OPEN_PRC" advise="1">
        <values>
          <value>
            <val>15800</val>
          </value>
        </values>
      </ddeItem>
      <ddeItem name="TAIFEX,TXFE1,SYMBOL" advise="1">
        <values>
          <value t="str">
            <val>TXFE1</val>
          </value>
        </values>
      </ddeItem>
      <ddeItem name="TAIFEX,TXFE1,TRDPRC_1" advise="1">
        <values>
          <value>
            <val>15718</val>
          </value>
        </values>
      </ddeItem>
      <ddeItem name="TAIFEX,TXFF1,ADJUST_CLS" advise="1">
        <values>
          <value>
            <val>15698</val>
          </value>
        </values>
      </ddeItem>
      <ddeItem name="TAIFEX,TXFF1,ASK" advise="1">
        <values>
          <value>
            <val>15655</val>
          </value>
        </values>
      </ddeItem>
      <ddeItem name="TAIFEX,TXFF1,BID" advise="1">
        <values>
          <value>
            <val>15642</val>
          </value>
        </values>
      </ddeItem>
      <ddeItem name="TAIFEX,TXFF1,DSPLY_NMLL" advise="1">
        <values>
          <value t="str">
            <val>臺股期貨F1</val>
          </value>
        </values>
      </ddeItem>
      <ddeItem name="TAIFEX,TXFF1,HIGH_1" advise="1">
        <values>
          <value>
            <val>15950</val>
          </value>
        </values>
      </ddeItem>
      <ddeItem name="TAIFEX,TXFF1,HST_CLOSE" advise="1">
        <values>
          <value>
            <val>0</val>
          </value>
        </values>
      </ddeItem>
      <ddeItem name="TAIFEX,TXFF1,LOW_1" advise="1">
        <values>
          <value>
            <val>15583</val>
          </value>
        </values>
      </ddeItem>
      <ddeItem name="TAIFEX,TXFF1,OPEN_PRC" advise="1">
        <values>
          <value>
            <val>15720</val>
          </value>
        </values>
      </ddeItem>
      <ddeItem name="TAIFEX,TXFF1,SYMBOL" advise="1">
        <values>
          <value t="str">
            <val>TXFF1</val>
          </value>
        </values>
      </ddeItem>
      <ddeItem name="TAIFEX,TXFF1,TRDPRC_1" advise="1">
        <values>
          <value>
            <val>15650</val>
          </value>
        </values>
      </ddeItem>
      <ddeItem name="TSE,0050,ADJUST_CLS" advise="1">
        <values>
          <value>
            <val>127.5</val>
          </value>
        </values>
      </ddeItem>
      <ddeItem name="TSE,0050,ASK" advise="1">
        <values>
          <value>
            <val>128.94999999999999</val>
          </value>
        </values>
      </ddeItem>
      <ddeItem name="TSE,0050,BID" advise="1">
        <values>
          <value>
            <val>128.9</val>
          </value>
        </values>
      </ddeItem>
      <ddeItem name="TSE,0050,HIGH_1" advise="1">
        <values>
          <value>
            <val>130.25</val>
          </value>
        </values>
      </ddeItem>
      <ddeItem name="TSE,0050,HST_CLOSE" advise="1">
        <values>
          <value>
            <val>0</val>
          </value>
        </values>
      </ddeItem>
      <ddeItem name="TSE,0050,LOW_1" advise="1">
        <values>
          <value>
            <val>127.85</val>
          </value>
        </values>
      </ddeItem>
      <ddeItem name="TSE,0050,OPEN_PRC" advise="1">
        <values>
          <value>
            <val>128.5</val>
          </value>
        </values>
      </ddeItem>
      <ddeItem name="TSE,0050,TRDPRC_1" advise="1">
        <values>
          <value>
            <val>128.94999999999999</val>
          </value>
        </values>
      </ddeItem>
      <ddeItem name="TSE,0051,ADJUST_CLS" advise="1">
        <values>
          <value>
            <val>48.79</val>
          </value>
        </values>
      </ddeItem>
      <ddeItem name="TSE,0051,ASK" advise="1">
        <values>
          <value>
            <val>49</val>
          </value>
        </values>
      </ddeItem>
      <ddeItem name="TSE,0051,BID" advise="1">
        <values>
          <value>
            <val>48.82</val>
          </value>
        </values>
      </ddeItem>
      <ddeItem name="TSE,0051,HIGH_1" advise="1">
        <values>
          <value>
            <val>50</val>
          </value>
        </values>
      </ddeItem>
      <ddeItem name="TSE,0051,HST_CLOSE" advise="1">
        <values>
          <value>
            <val>0</val>
          </value>
        </values>
      </ddeItem>
      <ddeItem name="TSE,0051,LOW_1" advise="1">
        <values>
          <value>
            <val>48.5</val>
          </value>
        </values>
      </ddeItem>
      <ddeItem name="TSE,0051,OPEN_PRC" advise="1">
        <values>
          <value>
            <val>49.3</val>
          </value>
        </values>
      </ddeItem>
      <ddeItem name="TSE,0051,TRDPRC_1" advise="1">
        <values>
          <value>
            <val>48.82</val>
          </value>
        </values>
      </ddeItem>
      <ddeItem name="TSE,0052,ADJUST_CLS" advise="1">
        <values>
          <value>
            <val>114.4</val>
          </value>
        </values>
      </ddeItem>
      <ddeItem name="TSE,0052,ASK" advise="1">
        <values>
          <value>
            <val>116.15</val>
          </value>
        </values>
      </ddeItem>
      <ddeItem name="TSE,0052,BID" advise="1">
        <values>
          <value>
            <val>116</val>
          </value>
        </values>
      </ddeItem>
      <ddeItem name="TSE,0052,HIGH_1" advise="1">
        <values>
          <value>
            <val>117.55</val>
          </value>
        </values>
      </ddeItem>
      <ddeItem name="TSE,0052,HST_CLOSE" advise="1">
        <values>
          <value>
            <val>0</val>
          </value>
        </values>
      </ddeItem>
      <ddeItem name="TSE,0052,LOW_1" advise="1">
        <values>
          <value>
            <val>115.2</val>
          </value>
        </values>
      </ddeItem>
      <ddeItem name="TSE,0052,OPEN_PRC" advise="1">
        <values>
          <value>
            <val>116.5</val>
          </value>
        </values>
      </ddeItem>
      <ddeItem name="TSE,0052,TRDPRC_1" advise="1">
        <values>
          <value>
            <val>116.15</val>
          </value>
        </values>
      </ddeItem>
      <ddeItem name="TSE,0053,ADJUST_CLS" advise="1">
        <values>
          <value>
            <val>60</val>
          </value>
        </values>
      </ddeItem>
      <ddeItem name="TSE,0053,ASK" advise="1">
        <values>
          <value>
            <val>61.2</val>
          </value>
        </values>
      </ddeItem>
      <ddeItem name="TSE,0053,BID" advise="1">
        <values>
          <value>
            <val>60.85</val>
          </value>
        </values>
      </ddeItem>
      <ddeItem name="TSE,0053,HIGH_1" advise="1">
        <values>
          <value>
            <val>61.95</val>
          </value>
        </values>
      </ddeItem>
      <ddeItem name="TSE,0053,HST_CLOSE" advise="1">
        <values>
          <value>
            <val>0</val>
          </value>
        </values>
      </ddeItem>
      <ddeItem name="TSE,0053,LOW_1" advise="1">
        <values>
          <value>
            <val>60.9</val>
          </value>
        </values>
      </ddeItem>
      <ddeItem name="TSE,0053,OPEN_PRC" advise="1">
        <values>
          <value>
            <val>61.3</val>
          </value>
        </values>
      </ddeItem>
      <ddeItem name="TSE,0053,TRDPRC_1" advise="1">
        <values>
          <value>
            <val>61.1</val>
          </value>
        </values>
      </ddeItem>
      <ddeItem name="TSE,0054,ADJUST_CLS" advise="1">
        <values>
          <value>
            <val>28.74</val>
          </value>
        </values>
      </ddeItem>
      <ddeItem name="TSE,0054,ASK" advise="1">
        <values>
          <value>
            <val>29.25</val>
          </value>
        </values>
      </ddeItem>
      <ddeItem name="TSE,0054,BID" advise="1">
        <values>
          <value>
            <val>29.12</val>
          </value>
        </values>
      </ddeItem>
      <ddeItem name="TSE,0054,HIGH_1" advise="1">
        <values>
          <value>
            <val>29.33</val>
          </value>
        </values>
      </ddeItem>
      <ddeItem name="TSE,0054,HST_CLOSE" advise="1">
        <values>
          <value>
            <val>0</val>
          </value>
        </values>
      </ddeItem>
      <ddeItem name="TSE,0054,LOW_1" advise="1">
        <values>
          <value>
            <val>28.88</val>
          </value>
        </values>
      </ddeItem>
      <ddeItem name="TSE,0054,OPEN_PRC" advise="1">
        <values>
          <value>
            <val>28.88</val>
          </value>
        </values>
      </ddeItem>
      <ddeItem name="TSE,0054,TRDPRC_1" advise="1">
        <values>
          <value>
            <val>29.12</val>
          </value>
        </values>
      </ddeItem>
      <ddeItem name="TSE,0055,ADJUST_CLS" advise="1">
        <values>
          <value>
            <val>20.28</val>
          </value>
        </values>
      </ddeItem>
      <ddeItem name="TSE,0055,ASK" advise="1">
        <values>
          <value>
            <val>20.39</val>
          </value>
        </values>
      </ddeItem>
      <ddeItem name="TSE,0055,BID" advise="1">
        <values>
          <value>
            <val>20.38</val>
          </value>
        </values>
      </ddeItem>
      <ddeItem name="TSE,0055,HIGH_1" advise="1">
        <values>
          <value>
            <val>20.6</val>
          </value>
        </values>
      </ddeItem>
      <ddeItem name="TSE,0055,HST_CLOSE" advise="1">
        <values>
          <value>
            <val>0</val>
          </value>
        </values>
      </ddeItem>
      <ddeItem name="TSE,0055,LOW_1" advise="1">
        <values>
          <value>
            <val>20.23</val>
          </value>
        </values>
      </ddeItem>
      <ddeItem name="TSE,0055,OPEN_PRC" advise="1">
        <values>
          <value>
            <val>20.41</val>
          </value>
        </values>
      </ddeItem>
      <ddeItem name="TSE,0055,TRDPRC_1" advise="1">
        <values>
          <value>
            <val>20.38</val>
          </value>
        </values>
      </ddeItem>
      <ddeItem name="TSE,0056,ADJUST_CLS" advise="1">
        <values>
          <value>
            <val>33.4</val>
          </value>
        </values>
      </ddeItem>
      <ddeItem name="TSE,0056,ASK" advise="1">
        <values>
          <value>
            <val>33.65</val>
          </value>
        </values>
      </ddeItem>
      <ddeItem name="TSE,0056,BID" advise="1">
        <values>
          <value>
            <val>33.64</val>
          </value>
        </values>
      </ddeItem>
      <ddeItem name="TSE,0056,HIGH_1" advise="1">
        <values>
          <value>
            <val>34.020000000000003</val>
          </value>
        </values>
      </ddeItem>
      <ddeItem name="TSE,0056,HST_CLOSE" advise="1">
        <values>
          <value>
            <val>0</val>
          </value>
        </values>
      </ddeItem>
      <ddeItem name="TSE,0056,LOW_1" advise="1">
        <values>
          <value>
            <val>33.450000000000003</val>
          </value>
        </values>
      </ddeItem>
      <ddeItem name="TSE,0056,OPEN_PRC" advise="1">
        <values>
          <value>
            <val>33.5</val>
          </value>
        </values>
      </ddeItem>
      <ddeItem name="TSE,0056,TRDPRC_1" advise="1">
        <values>
          <value>
            <val>33.65</val>
          </value>
        </values>
      </ddeItem>
      <ddeItem name="TSE,0057,ADJUST_CLS" advise="1">
        <values>
          <value>
            <val>86</val>
          </value>
        </values>
      </ddeItem>
      <ddeItem name="TSE,0057,ASK" advise="1">
        <values>
          <value>
            <val>87.15</val>
          </value>
        </values>
      </ddeItem>
      <ddeItem name="TSE,0057,BID" advise="1">
        <values>
          <value>
            <val>86.75</val>
          </value>
        </values>
      </ddeItem>
      <ddeItem name="TSE,0057,HIGH_1" advise="1">
        <values>
          <value>
            <val>87</val>
          </value>
        </values>
      </ddeItem>
      <ddeItem name="TSE,0057,HST_CLOSE" advise="1">
        <values>
          <value>
            <val>0</val>
          </value>
        </values>
      </ddeItem>
      <ddeItem name="TSE,0057,LOW_1" advise="1">
        <values>
          <value>
            <val>86.8</val>
          </value>
        </values>
      </ddeItem>
      <ddeItem name="TSE,0057,OPEN_PRC" advise="1">
        <values>
          <value>
            <val>87</val>
          </value>
        </values>
      </ddeItem>
      <ddeItem name="TSE,0057,TRDPRC_1" advise="1">
        <values>
          <value>
            <val>86.8</val>
          </value>
        </values>
      </ddeItem>
      <ddeItem name="TSE,0061,ADJUST_CLS" advise="1">
        <values>
          <value>
            <val>22.98</val>
          </value>
        </values>
      </ddeItem>
      <ddeItem name="TSE,0061,ASK" advise="1">
        <values>
          <value>
            <val>23.37</val>
          </value>
        </values>
      </ddeItem>
      <ddeItem name="TSE,0061,BID" advise="1">
        <values>
          <value>
            <val>23.35</val>
          </value>
        </values>
      </ddeItem>
      <ddeItem name="TSE,0061,HIGH_1" advise="1">
        <values>
          <value>
            <val>23.37</val>
          </value>
        </values>
      </ddeItem>
      <ddeItem name="TSE,0061,HST_CLOSE" advise="1">
        <values>
          <value>
            <val>0</val>
          </value>
        </values>
      </ddeItem>
      <ddeItem name="TSE,0061,LOW_1" advise="1">
        <values>
          <value>
            <val>22.91</val>
          </value>
        </values>
      </ddeItem>
      <ddeItem name="TSE,0061,OPEN_PRC" advise="1">
        <values>
          <value>
            <val>22.98</val>
          </value>
        </values>
      </ddeItem>
      <ddeItem name="TSE,0061,TRDPRC_1" advise="1">
        <values>
          <value>
            <val>23.37</val>
          </value>
        </values>
      </ddeItem>
      <ddeItem name="TSE,006201,ADJUST_CLS" advise="1">
        <values>
          <value>
            <val>17.64</val>
          </value>
        </values>
      </ddeItem>
      <ddeItem name="TSE,006201,ASK" advise="1">
        <values>
          <value>
            <val>17.690000000000001</val>
          </value>
        </values>
      </ddeItem>
      <ddeItem name="TSE,006201,BID" advise="1">
        <values>
          <value>
            <val>17.63</val>
          </value>
        </values>
      </ddeItem>
      <ddeItem name="TSE,006201,HIGH_1" advise="1">
        <values>
          <value>
            <val>18.02</val>
          </value>
        </values>
      </ddeItem>
      <ddeItem name="TSE,006201,HST_CLOSE" advise="1">
        <values>
          <value>
            <val>0</val>
          </value>
        </values>
      </ddeItem>
      <ddeItem name="TSE,006201,LOW_1" advise="1">
        <values>
          <value>
            <val>17.39</val>
          </value>
        </values>
      </ddeItem>
      <ddeItem name="TSE,006201,OPEN_PRC" advise="1">
        <values>
          <value>
            <val>17.760000000000002</val>
          </value>
        </values>
      </ddeItem>
      <ddeItem name="TSE,006201,TRDPRC_1" advise="1">
        <values>
          <value>
            <val>17.63</val>
          </value>
        </values>
      </ddeItem>
      <ddeItem name="TSE,006203,ADJUST_CLS" advise="1">
        <values>
          <value>
            <val>60.15</val>
          </value>
        </values>
      </ddeItem>
      <ddeItem name="TSE,006203,ASK" advise="1">
        <values>
          <value>
            <val>60.7</val>
          </value>
        </values>
      </ddeItem>
      <ddeItem name="TSE,006203,BID" advise="1">
        <values>
          <value>
            <val>60.45</val>
          </value>
        </values>
      </ddeItem>
      <ddeItem name="TSE,006203,HIGH_1" advise="1">
        <values>
          <value>
            <val>60.9</val>
          </value>
        </values>
      </ddeItem>
      <ddeItem name="TSE,006203,HST_CLOSE" advise="1">
        <values>
          <value>
            <val>0</val>
          </value>
        </values>
      </ddeItem>
      <ddeItem name="TSE,006203,LOW_1" advise="1">
        <values>
          <value>
            <val>60.25</val>
          </value>
        </values>
      </ddeItem>
      <ddeItem name="TSE,006203,OPEN_PRC" advise="1">
        <values>
          <value>
            <val>60.9</val>
          </value>
        </values>
      </ddeItem>
      <ddeItem name="TSE,006203,TRDPRC_1" advise="1">
        <values>
          <value>
            <val>60.4</val>
          </value>
        </values>
      </ddeItem>
      <ddeItem name="TSE,006204,ADJUST_CLS" advise="1">
        <values>
          <value>
            <val>81</val>
          </value>
        </values>
      </ddeItem>
      <ddeItem name="TSE,006204,ASK" advise="1">
        <values>
          <value>
            <val>80.45</val>
          </value>
        </values>
      </ddeItem>
      <ddeItem name="TSE,006204,BID" advise="1">
        <values>
          <value>
            <val>80.150000000000006</val>
          </value>
        </values>
      </ddeItem>
      <ddeItem name="TSE,006204,HIGH_1" advise="1">
        <values>
          <value>
            <val>81.150000000000006</val>
          </value>
        </values>
      </ddeItem>
      <ddeItem name="TSE,006204,HST_CLOSE" advise="1">
        <values>
          <value>
            <val>0</val>
          </value>
        </values>
      </ddeItem>
      <ddeItem name="TSE,006204,LOW_1" advise="1">
        <values>
          <value>
            <val>80.2</val>
          </value>
        </values>
      </ddeItem>
      <ddeItem name="TSE,006204,OPEN_PRC" advise="1">
        <values>
          <value>
            <val>81</val>
          </value>
        </values>
      </ddeItem>
      <ddeItem name="TSE,006204,TRDPRC_1" advise="1">
        <values>
          <value>
            <val>80.2</val>
          </value>
        </values>
      </ddeItem>
      <ddeItem name="TSE,006205,ADJUST_CLS" advise="1">
        <values>
          <value>
            <val>37.15</val>
          </value>
        </values>
      </ddeItem>
      <ddeItem name="TSE,006205,ASK" advise="1">
        <values>
          <value>
            <val>37.96</val>
          </value>
        </values>
      </ddeItem>
      <ddeItem name="TSE,006205,BID" advise="1">
        <values>
          <value>
            <val>37.950000000000003</val>
          </value>
        </values>
      </ddeItem>
      <ddeItem name="TSE,006205,HIGH_1" advise="1">
        <values>
          <value>
            <val>37.96</val>
          </value>
        </values>
      </ddeItem>
      <ddeItem name="TSE,006205,HST_CLOSE" advise="1">
        <values>
          <value>
            <val>0</val>
          </value>
        </values>
      </ddeItem>
      <ddeItem name="TSE,006205,LOW_1" advise="1">
        <values>
          <value>
            <val>37.25</val>
          </value>
        </values>
      </ddeItem>
      <ddeItem name="TSE,006205,OPEN_PRC" advise="1">
        <values>
          <value>
            <val>37.299999999999997</val>
          </value>
        </values>
      </ddeItem>
      <ddeItem name="TSE,006205,TRDPRC_1" advise="1">
        <values>
          <value>
            <val>37.950000000000003</val>
          </value>
        </values>
      </ddeItem>
      <ddeItem name="TSE,006206,ADJUST_CLS" advise="1">
        <values>
          <value>
            <val>37.15</val>
          </value>
        </values>
      </ddeItem>
      <ddeItem name="TSE,006206,ASK" advise="1">
        <values>
          <value>
            <val>38.06</val>
          </value>
        </values>
      </ddeItem>
      <ddeItem name="TSE,006206,BID" advise="1">
        <values>
          <value>
            <val>38.049999999999997</val>
          </value>
        </values>
      </ddeItem>
      <ddeItem name="TSE,006206,HIGH_1" advise="1">
        <values>
          <value>
            <val>38.090000000000003</val>
          </value>
        </values>
      </ddeItem>
      <ddeItem name="TSE,006206,HST_CLOSE" advise="1">
        <values>
          <value>
            <val>0</val>
          </value>
        </values>
      </ddeItem>
      <ddeItem name="TSE,006206,LOW_1" advise="1">
        <values>
          <value>
            <val>37.299999999999997</val>
          </value>
        </values>
      </ddeItem>
      <ddeItem name="TSE,006206,OPEN_PRC" advise="1">
        <values>
          <value>
            <val>37.31</val>
          </value>
        </values>
      </ddeItem>
      <ddeItem name="TSE,006206,TRDPRC_1" advise="1">
        <values>
          <value>
            <val>38.049999999999997</val>
          </value>
        </values>
      </ddeItem>
      <ddeItem name="TSE,006207,ADJUST_CLS" advise="1">
        <values>
          <value>
            <val>30.03</val>
          </value>
        </values>
      </ddeItem>
      <ddeItem name="TSE,006207,ASK" advise="1">
        <values>
          <value>
            <val>30.64</val>
          </value>
        </values>
      </ddeItem>
      <ddeItem name="TSE,006207,BID" advise="1">
        <values>
          <value>
            <val>30.61</val>
          </value>
        </values>
      </ddeItem>
      <ddeItem name="TSE,006207,HIGH_1" advise="1">
        <values>
          <value>
            <val>30.62</val>
          </value>
        </values>
      </ddeItem>
      <ddeItem name="TSE,006207,HST_CLOSE" advise="1">
        <values>
          <value>
            <val>0</val>
          </value>
        </values>
      </ddeItem>
      <ddeItem name="TSE,006207,LOW_1" advise="1">
        <values>
          <value>
            <val>29.98</val>
          </value>
        </values>
      </ddeItem>
      <ddeItem name="TSE,006207,OPEN_PRC" advise="1">
        <values>
          <value>
            <val>30.05</val>
          </value>
        </values>
      </ddeItem>
      <ddeItem name="TSE,006207,TRDPRC_1" advise="1">
        <values>
          <value>
            <val>30.62</val>
          </value>
        </values>
      </ddeItem>
      <ddeItem name="TSE,006208,ADJUST_CLS" advise="1">
        <values>
          <value>
            <val>73.099999999999994</val>
          </value>
        </values>
      </ddeItem>
      <ddeItem name="TSE,006208,ASK" advise="1">
        <values>
          <value>
            <val>74.099999999999994</val>
          </value>
        </values>
      </ddeItem>
      <ddeItem name="TSE,006208,BID" advise="1">
        <values>
          <value>
            <val>74.05</val>
          </value>
        </values>
      </ddeItem>
      <ddeItem name="TSE,006208,HIGH_1" advise="1">
        <values>
          <value>
            <val>74.849999999999994</val>
          </value>
        </values>
      </ddeItem>
      <ddeItem name="TSE,006208,HST_CLOSE" advise="1">
        <values>
          <value>
            <val>0</val>
          </value>
        </values>
      </ddeItem>
      <ddeItem name="TSE,006208,LOW_1" advise="1">
        <values>
          <value>
            <val>73.5</val>
          </value>
        </values>
      </ddeItem>
      <ddeItem name="TSE,006208,OPEN_PRC" advise="1">
        <values>
          <value>
            <val>73.5</val>
          </value>
        </values>
      </ddeItem>
      <ddeItem name="TSE,006208,TRDPRC_1" advise="1">
        <values>
          <value>
            <val>74.099999999999994</val>
          </value>
        </values>
      </ddeItem>
      <ddeItem name="TSE,00625K,ADJUST_CLS" advise="1">
        <values>
          <value>
            <val>8.7100000000000009</val>
          </value>
        </values>
      </ddeItem>
      <ddeItem name="TSE,00625K,ASK" advise="1">
        <values>
          <value>
            <val>8.8800000000000008</val>
          </value>
        </values>
      </ddeItem>
      <ddeItem name="TSE,00625K,BID" advise="1">
        <values>
          <value>
            <val>8.69</val>
          </value>
        </values>
      </ddeItem>
      <ddeItem name="TSE,00625K,HIGH_1" advise="1">
        <values>
          <value>
            <val>0</val>
          </value>
        </values>
      </ddeItem>
      <ddeItem name="TSE,00625K,HST_CLOSE" advise="1">
        <values>
          <value>
            <val>0</val>
          </value>
        </values>
      </ddeItem>
      <ddeItem name="TSE,00625K,LOW_1" advise="1">
        <values>
          <value>
            <val>0</val>
          </value>
        </values>
      </ddeItem>
      <ddeItem name="TSE,00625K,OPEN_PRC" advise="1">
        <values>
          <value>
            <val>0</val>
          </value>
        </values>
      </ddeItem>
      <ddeItem name="TSE,00625K,TRDPRC_1" advise="1">
        <values>
          <value>
            <val>0</val>
          </value>
        </values>
      </ddeItem>
      <ddeItem name="TSE,00631L,ADJUST_CLS" advise="1">
        <values>
          <value>
            <val>102.6</val>
          </value>
        </values>
      </ddeItem>
      <ddeItem name="TSE,00631L,ASK" advise="1">
        <values>
          <value>
            <val>105.2</val>
          </value>
        </values>
      </ddeItem>
      <ddeItem name="TSE,00631L,BID" advise="1">
        <values>
          <value>
            <val>105.15</val>
          </value>
        </values>
      </ddeItem>
      <ddeItem name="TSE,00631L,HIGH_1" advise="1">
        <values>
          <value>
            <val>108</val>
          </value>
        </values>
      </ddeItem>
      <ddeItem name="TSE,00631L,HST_CLOSE" advise="1">
        <values>
          <value>
            <val>0</val>
          </value>
        </values>
      </ddeItem>
      <ddeItem name="TSE,00631L,LOW_1" advise="1">
        <values>
          <value>
            <val>103.5</val>
          </value>
        </values>
      </ddeItem>
      <ddeItem name="TSE,00631L,OPEN_PRC" advise="1">
        <values>
          <value>
            <val>105.5</val>
          </value>
        </values>
      </ddeItem>
      <ddeItem name="TSE,00631L,TRDPRC_1" advise="1">
        <values>
          <value>
            <val>105.2</val>
          </value>
        </values>
      </ddeItem>
      <ddeItem name="TSE,00632R,ADJUST_CLS" advise="1">
        <values>
          <value>
            <val>6.35</val>
          </value>
        </values>
      </ddeItem>
      <ddeItem name="TSE,00632R,ASK" advise="1">
        <values>
          <value>
            <val>6.3</val>
          </value>
        </values>
      </ddeItem>
      <ddeItem name="TSE,00632R,BID" advise="1">
        <values>
          <value>
            <val>6.29</val>
          </value>
        </values>
      </ddeItem>
      <ddeItem name="TSE,00632R,HIGH_1" advise="1">
        <values>
          <value>
            <val>6.35</val>
          </value>
        </values>
      </ddeItem>
      <ddeItem name="TSE,00632R,HST_CLOSE" advise="1">
        <values>
          <value>
            <val>0</val>
          </value>
        </values>
      </ddeItem>
      <ddeItem name="TSE,00632R,LOW_1" advise="1">
        <values>
          <value>
            <val>6.19</val>
          </value>
        </values>
      </ddeItem>
      <ddeItem name="TSE,00632R,OPEN_PRC" advise="1">
        <values>
          <value>
            <val>6.26</val>
          </value>
        </values>
      </ddeItem>
      <ddeItem name="TSE,00632R,TRDPRC_1" advise="1">
        <values>
          <value>
            <val>6.3</val>
          </value>
        </values>
      </ddeItem>
      <ddeItem name="TSE,00633L,ADJUST_CLS" advise="1">
        <values>
          <value>
            <val>63.1</val>
          </value>
        </values>
      </ddeItem>
      <ddeItem name="TSE,00633L,ASK" advise="1">
        <values>
          <value>
            <val>66.5</val>
          </value>
        </values>
      </ddeItem>
      <ddeItem name="TSE,00633L,BID" advise="1">
        <values>
          <value>
            <val>66.45</val>
          </value>
        </values>
      </ddeItem>
      <ddeItem name="TSE,00633L,HIGH_1" advise="1">
        <values>
          <value>
            <val>66.7</val>
          </value>
        </values>
      </ddeItem>
      <ddeItem name="TSE,00633L,HST_CLOSE" advise="1">
        <values>
          <value>
            <val>0</val>
          </value>
        </values>
      </ddeItem>
      <ddeItem name="TSE,00633L,LOW_1" advise="1">
        <values>
          <value>
            <val>63.4</val>
          </value>
        </values>
      </ddeItem>
      <ddeItem name="TSE,00633L,OPEN_PRC" advise="1">
        <values>
          <value>
            <val>64.099999999999994</val>
          </value>
        </values>
      </ddeItem>
      <ddeItem name="TSE,00633L,TRDPRC_1" advise="1">
        <values>
          <value>
            <val>66.5</val>
          </value>
        </values>
      </ddeItem>
      <ddeItem name="TSE,00634R,ADJUST_CLS" advise="1">
        <values>
          <value>
            <val>4</val>
          </value>
        </values>
      </ddeItem>
      <ddeItem name="TSE,00634R,ASK" advise="1">
        <values>
          <value>
            <val>3.9</val>
          </value>
        </values>
      </ddeItem>
      <ddeItem name="TSE,00634R,BID" advise="1">
        <values>
          <value>
            <val>3.89</val>
          </value>
        </values>
      </ddeItem>
      <ddeItem name="TSE,00634R,HIGH_1" advise="1">
        <values>
          <value>
            <val>3.99</val>
          </value>
        </values>
      </ddeItem>
      <ddeItem name="TSE,00634R,HST_CLOSE" advise="1">
        <values>
          <value>
            <val>0</val>
          </value>
        </values>
      </ddeItem>
      <ddeItem name="TSE,00634R,LOW_1" advise="1">
        <values>
          <value>
            <val>3.89</val>
          </value>
        </values>
      </ddeItem>
      <ddeItem name="TSE,00634R,OPEN_PRC" advise="1">
        <values>
          <value>
            <val>3.96</val>
          </value>
        </values>
      </ddeItem>
      <ddeItem name="TSE,00634R,TRDPRC_1" advise="1">
        <values>
          <value>
            <val>3.9</val>
          </value>
        </values>
      </ddeItem>
      <ddeItem name="TSE,00635U,ADJUST_CLS" advise="1">
        <values>
          <value>
            <val>24.4</val>
          </value>
        </values>
      </ddeItem>
      <ddeItem name="TSE,00635U,ASK" advise="1">
        <values>
          <value>
            <val>24.46</val>
          </value>
        </values>
      </ddeItem>
      <ddeItem name="TSE,00635U,BID" advise="1">
        <values>
          <value>
            <val>24.45</val>
          </value>
        </values>
      </ddeItem>
      <ddeItem name="TSE,00635U,HIGH_1" advise="1">
        <values>
          <value>
            <val>24.5</val>
          </value>
        </values>
      </ddeItem>
      <ddeItem name="TSE,00635U,HST_CLOSE" advise="1">
        <values>
          <value>
            <val>0</val>
          </value>
        </values>
      </ddeItem>
      <ddeItem name="TSE,00635U,LOW_1" advise="1">
        <values>
          <value>
            <val>24.41</val>
          </value>
        </values>
      </ddeItem>
      <ddeItem name="TSE,00635U,OPEN_PRC" advise="1">
        <values>
          <value>
            <val>24.48</val>
          </value>
        </values>
      </ddeItem>
      <ddeItem name="TSE,00635U,TRDPRC_1" advise="1">
        <values>
          <value>
            <val>24.46</val>
          </value>
        </values>
      </ddeItem>
      <ddeItem name="TSE,00636,ADJUST_CLS" advise="1">
        <values>
          <value>
            <val>26.44</val>
          </value>
        </values>
      </ddeItem>
      <ddeItem name="TSE,00636,ASK" advise="1">
        <values>
          <value>
            <val>27.12</val>
          </value>
        </values>
      </ddeItem>
      <ddeItem name="TSE,00636,BID" advise="1">
        <values>
          <value>
            <val>27.11</val>
          </value>
        </values>
      </ddeItem>
      <ddeItem name="TSE,00636,HIGH_1" advise="1">
        <values>
          <value>
            <val>27.17</val>
          </value>
        </values>
      </ddeItem>
      <ddeItem name="TSE,00636,HST_CLOSE" advise="1">
        <values>
          <value>
            <val>0</val>
          </value>
        </values>
      </ddeItem>
      <ddeItem name="TSE,00636,LOW_1" advise="1">
        <values>
          <value>
            <val>26.51</val>
          </value>
        </values>
      </ddeItem>
      <ddeItem name="TSE,00636,OPEN_PRC" advise="1">
        <values>
          <value>
            <val>26.59</val>
          </value>
        </values>
      </ddeItem>
      <ddeItem name="TSE,00636,TRDPRC_1" advise="1">
        <values>
          <value>
            <val>27.11</val>
          </value>
        </values>
      </ddeItem>
      <ddeItem name="TSE,00636K,ADJUST_CLS" advise="1">
        <values>
          <value>
            <val>9.5</val>
          </value>
        </values>
      </ddeItem>
      <ddeItem name="TSE,00636K,ASK" advise="1">
        <values>
          <value>
            <val>9.7200000000000006</val>
          </value>
        </values>
      </ddeItem>
      <ddeItem name="TSE,00636K,BID" advise="1">
        <values>
          <value>
            <val>9.66</val>
          </value>
        </values>
      </ddeItem>
      <ddeItem name="TSE,00636K,HIGH_1" advise="1">
        <values>
          <value>
            <val>9.68</val>
          </value>
        </values>
      </ddeItem>
      <ddeItem name="TSE,00636K,HST_CLOSE" advise="1">
        <values>
          <value>
            <val>0</val>
          </value>
        </values>
      </ddeItem>
      <ddeItem name="TSE,00636K,LOW_1" advise="1">
        <values>
          <value>
            <val>9.68</val>
          </value>
        </values>
      </ddeItem>
      <ddeItem name="TSE,00636K,OPEN_PRC" advise="1">
        <values>
          <value>
            <val>9.68</val>
          </value>
        </values>
      </ddeItem>
      <ddeItem name="TSE,00636K,TRDPRC_1" advise="1">
        <values>
          <value>
            <val>9.68</val>
          </value>
        </values>
      </ddeItem>
      <ddeItem name="TSE,00637L,ADJUST_CLS" advise="1">
        <values>
          <value>
            <val>24.98</val>
          </value>
        </values>
      </ddeItem>
      <ddeItem name="TSE,00637L,ASK" advise="1">
        <values>
          <value>
            <val>26.27</val>
          </value>
        </values>
      </ddeItem>
      <ddeItem name="TSE,00637L,BID" advise="1">
        <values>
          <value>
            <val>26.26</val>
          </value>
        </values>
      </ddeItem>
      <ddeItem name="TSE,00637L,HIGH_1" advise="1">
        <values>
          <value>
            <val>26.32</val>
          </value>
        </values>
      </ddeItem>
      <ddeItem name="TSE,00637L,HST_CLOSE" advise="1">
        <values>
          <value>
            <val>0</val>
          </value>
        </values>
      </ddeItem>
      <ddeItem name="TSE,00637L,LOW_1" advise="1">
        <values>
          <value>
            <val>25.06</val>
          </value>
        </values>
      </ddeItem>
      <ddeItem name="TSE,00637L,OPEN_PRC" advise="1">
        <values>
          <value>
            <val>25.36</val>
          </value>
        </values>
      </ddeItem>
      <ddeItem name="TSE,00637L,TRDPRC_1" advise="1">
        <values>
          <value>
            <val>26.26</val>
          </value>
        </values>
      </ddeItem>
      <ddeItem name="TSE,00638R,ADJUST_CLS" advise="1">
        <values>
          <value>
            <val>8.08</val>
          </value>
        </values>
      </ddeItem>
      <ddeItem name="TSE,00638R,ASK" advise="1">
        <values>
          <value>
            <val>7.87</val>
          </value>
        </values>
      </ddeItem>
      <ddeItem name="TSE,00638R,BID" advise="1">
        <values>
          <value>
            <val>7.86</val>
          </value>
        </values>
      </ddeItem>
      <ddeItem name="TSE,00638R,HIGH_1" advise="1">
        <values>
          <value>
            <val>8.0500000000000007</val>
          </value>
        </values>
      </ddeItem>
      <ddeItem name="TSE,00638R,HST_CLOSE" advise="1">
        <values>
          <value>
            <val>0</val>
          </value>
        </values>
      </ddeItem>
      <ddeItem name="TSE,00638R,LOW_1" advise="1">
        <values>
          <value>
            <val>7.85</val>
          </value>
        </values>
      </ddeItem>
      <ddeItem name="TSE,00638R,OPEN_PRC" advise="1">
        <values>
          <value>
            <val>8.02</val>
          </value>
        </values>
      </ddeItem>
      <ddeItem name="TSE,00638R,TRDPRC_1" advise="1">
        <values>
          <value>
            <val>7.87</val>
          </value>
        </values>
      </ddeItem>
      <ddeItem name="TSE,00639,ADJUST_CLS" advise="1">
        <values>
          <value>
            <val>16.190000000000001</val>
          </value>
        </values>
      </ddeItem>
      <ddeItem name="TSE,00639,ASK" advise="1">
        <values>
          <value>
            <val>16.57</val>
          </value>
        </values>
      </ddeItem>
      <ddeItem name="TSE,00639,BID" advise="1">
        <values>
          <value>
            <val>16.559999999999999</val>
          </value>
        </values>
      </ddeItem>
      <ddeItem name="TSE,00639,HIGH_1" advise="1">
        <values>
          <value>
            <val>16.579999999999998</val>
          </value>
        </values>
      </ddeItem>
      <ddeItem name="TSE,00639,HST_CLOSE" advise="1">
        <values>
          <value>
            <val>0</val>
          </value>
        </values>
      </ddeItem>
      <ddeItem name="TSE,00639,LOW_1" advise="1">
        <values>
          <value>
            <val>16.18</val>
          </value>
        </values>
      </ddeItem>
      <ddeItem name="TSE,00639,OPEN_PRC" advise="1">
        <values>
          <value>
            <val>16.190000000000001</val>
          </value>
        </values>
      </ddeItem>
      <ddeItem name="TSE,00639,TRDPRC_1" advise="1">
        <values>
          <value>
            <val>16.57</val>
          </value>
        </values>
      </ddeItem>
      <ddeItem name="TSE,00640L,ADJUST_CLS" advise="1">
        <values>
          <value>
            <val>25.92</val>
          </value>
        </values>
      </ddeItem>
      <ddeItem name="TSE,00640L,ASK" advise="1">
        <values>
          <value>
            <val>27</val>
          </value>
        </values>
      </ddeItem>
      <ddeItem name="TSE,00640L,BID" advise="1">
        <values>
          <value>
            <val>26.95</val>
          </value>
        </values>
      </ddeItem>
      <ddeItem name="TSE,00640L,HIGH_1" advise="1">
        <values>
          <value>
            <val>27.02</val>
          </value>
        </values>
      </ddeItem>
      <ddeItem name="TSE,00640L,HST_CLOSE" advise="1">
        <values>
          <value>
            <val>0</val>
          </value>
        </values>
      </ddeItem>
      <ddeItem name="TSE,00640L,LOW_1" advise="1">
        <values>
          <value>
            <val>26.49</val>
          </value>
        </values>
      </ddeItem>
      <ddeItem name="TSE,00640L,OPEN_PRC" advise="1">
        <values>
          <value>
            <val>26.62</val>
          </value>
        </values>
      </ddeItem>
      <ddeItem name="TSE,00640L,TRDPRC_1" advise="1">
        <values>
          <value>
            <val>26.95</val>
          </value>
        </values>
      </ddeItem>
      <ddeItem name="TSE,00641R,ADJUST_CLS" advise="1">
        <values>
          <value>
            <val>11.26</val>
          </value>
        </values>
      </ddeItem>
      <ddeItem name="TSE,00641R,ASK" advise="1">
        <values>
          <value>
            <val>11.02</val>
          </value>
        </values>
      </ddeItem>
      <ddeItem name="TSE,00641R,BID" advise="1">
        <values>
          <value>
            <val>11</val>
          </value>
        </values>
      </ddeItem>
      <ddeItem name="TSE,00641R,HIGH_1" advise="1">
        <values>
          <value>
            <val>11.12</val>
          </value>
        </values>
      </ddeItem>
      <ddeItem name="TSE,00641R,HST_CLOSE" advise="1">
        <values>
          <value>
            <val>0</val>
          </value>
        </values>
      </ddeItem>
      <ddeItem name="TSE,00641R,LOW_1" advise="1">
        <values>
          <value>
            <val>11.01</val>
          </value>
        </values>
      </ddeItem>
      <ddeItem name="TSE,00641R,OPEN_PRC" advise="1">
        <values>
          <value>
            <val>11.07</val>
          </value>
        </values>
      </ddeItem>
      <ddeItem name="TSE,00641R,TRDPRC_1" advise="1">
        <values>
          <value>
            <val>11.02</val>
          </value>
        </values>
      </ddeItem>
      <ddeItem name="TSE,00642U,ADJUST_CLS" advise="1">
        <values>
          <value>
            <val>11.1</val>
          </value>
        </values>
      </ddeItem>
      <ddeItem name="TSE,00642U,ASK" advise="1">
        <values>
          <value>
            <val>10.88</val>
          </value>
        </values>
      </ddeItem>
      <ddeItem name="TSE,00642U,BID" advise="1">
        <values>
          <value>
            <val>10.87</val>
          </value>
        </values>
      </ddeItem>
      <ddeItem name="TSE,00642U,HIGH_1" advise="1">
        <values>
          <value>
            <val>10.89</val>
          </value>
        </values>
      </ddeItem>
      <ddeItem name="TSE,00642U,HST_CLOSE" advise="1">
        <values>
          <value>
            <val>0</val>
          </value>
        </values>
      </ddeItem>
      <ddeItem name="TSE,00642U,LOW_1" advise="1">
        <values>
          <value>
            <val>10.8</val>
          </value>
        </values>
      </ddeItem>
      <ddeItem name="TSE,00642U,OPEN_PRC" advise="1">
        <values>
          <value>
            <val>10.89</val>
          </value>
        </values>
      </ddeItem>
      <ddeItem name="TSE,00642U,TRDPRC_1" advise="1">
        <values>
          <value>
            <val>10.87</val>
          </value>
        </values>
      </ddeItem>
      <ddeItem name="TSE,00643,ADJUST_CLS" advise="1">
        <values>
          <value>
            <val>17.010000000000002</val>
          </value>
        </values>
      </ddeItem>
      <ddeItem name="TSE,00643,ASK" advise="1">
        <values>
          <value>
            <val>17.22</val>
          </value>
        </values>
      </ddeItem>
      <ddeItem name="TSE,00643,BID" advise="1">
        <values>
          <value>
            <val>17.21</val>
          </value>
        </values>
      </ddeItem>
      <ddeItem name="TSE,00643,HIGH_1" advise="1">
        <values>
          <value>
            <val>17.260000000000002</val>
          </value>
        </values>
      </ddeItem>
      <ddeItem name="TSE,00643,HST_CLOSE" advise="1">
        <values>
          <value>
            <val>0</val>
          </value>
        </values>
      </ddeItem>
      <ddeItem name="TSE,00643,LOW_1" advise="1">
        <values>
          <value>
            <val>16.98</val>
          </value>
        </values>
      </ddeItem>
      <ddeItem name="TSE,00643,OPEN_PRC" advise="1">
        <values>
          <value>
            <val>16.989999999999998</val>
          </value>
        </values>
      </ddeItem>
      <ddeItem name="TSE,00643,TRDPRC_1" advise="1">
        <values>
          <value>
            <val>17.21</val>
          </value>
        </values>
      </ddeItem>
      <ddeItem name="TSE,00643K,ADJUST_CLS" advise="1">
        <values>
          <value>
            <val>4.01</val>
          </value>
        </values>
      </ddeItem>
      <ddeItem name="TSE,00643K,ASK" advise="1">
        <values>
          <value>
            <val>4.09</val>
          </value>
        </values>
      </ddeItem>
      <ddeItem name="TSE,00643K,BID" advise="1">
        <values>
          <value>
            <val>4.0199999999999996</val>
          </value>
        </values>
      </ddeItem>
      <ddeItem name="TSE,00643K,HIGH_1" advise="1">
        <values>
          <value>
            <val>0</val>
          </value>
        </values>
      </ddeItem>
      <ddeItem name="TSE,00643K,HST_CLOSE" advise="1">
        <values>
          <value>
            <val>0</val>
          </value>
        </values>
      </ddeItem>
      <ddeItem name="TSE,00643K,LOW_1" advise="1">
        <values>
          <value>
            <val>0</val>
          </value>
        </values>
      </ddeItem>
      <ddeItem name="TSE,00643K,OPEN_PRC" advise="1">
        <values>
          <value>
            <val>0</val>
          </value>
        </values>
      </ddeItem>
      <ddeItem name="TSE,00643K,TRDPRC_1" advise="1">
        <values>
          <value>
            <val>0</val>
          </value>
        </values>
      </ddeItem>
      <ddeItem name="TSE,00645,ADJUST_CLS" advise="1">
        <values>
          <value>
            <val>24.2</val>
          </value>
        </values>
      </ddeItem>
      <ddeItem name="TSE,00645,ASK" advise="1">
        <values>
          <value>
            <val>24.6</val>
          </value>
        </values>
      </ddeItem>
      <ddeItem name="TSE,00645,BID" advise="1">
        <values>
          <value>
            <val>24.57</val>
          </value>
        </values>
      </ddeItem>
      <ddeItem name="TSE,00645,HIGH_1" advise="1">
        <values>
          <value>
            <val>24.57</val>
          </value>
        </values>
      </ddeItem>
      <ddeItem name="TSE,00645,HST_CLOSE" advise="1">
        <values>
          <value>
            <val>0</val>
          </value>
        </values>
      </ddeItem>
      <ddeItem name="TSE,00645,LOW_1" advise="1">
        <values>
          <value>
            <val>24.4</val>
          </value>
        </values>
      </ddeItem>
      <ddeItem name="TSE,00645,OPEN_PRC" advise="1">
        <values>
          <value>
            <val>24.43</val>
          </value>
        </values>
      </ddeItem>
      <ddeItem name="TSE,00645,TRDPRC_1" advise="1">
        <values>
          <value>
            <val>24.56</val>
          </value>
        </values>
      </ddeItem>
      <ddeItem name="TSE,00646,ADJUST_CLS" advise="1">
        <values>
          <value>
            <val>34.799999999999997</val>
          </value>
        </values>
      </ddeItem>
      <ddeItem name="TSE,00646,ASK" advise="1">
        <values>
          <value>
            <val>35.35</val>
          </value>
        </values>
      </ddeItem>
      <ddeItem name="TSE,00646,BID" advise="1">
        <values>
          <value>
            <val>35.340000000000003</val>
          </value>
        </values>
      </ddeItem>
      <ddeItem name="TSE,00646,HIGH_1" advise="1">
        <values>
          <value>
            <val>35.369999999999997</val>
          </value>
        </values>
      </ddeItem>
      <ddeItem name="TSE,00646,HST_CLOSE" advise="1">
        <values>
          <value>
            <val>0</val>
          </value>
        </values>
      </ddeItem>
      <ddeItem name="TSE,00646,LOW_1" advise="1">
        <values>
          <value>
            <val>35.25</val>
          </value>
        </values>
      </ddeItem>
      <ddeItem name="TSE,00646,OPEN_PRC" advise="1">
        <values>
          <value>
            <val>35.25</val>
          </value>
        </values>
      </ddeItem>
      <ddeItem name="TSE,00646,TRDPRC_1" advise="1">
        <values>
          <value>
            <val>35.340000000000003</val>
          </value>
        </values>
      </ddeItem>
      <ddeItem name="TSE,00647L,ADJUST_CLS" advise="1">
        <values>
          <value>
            <val>58.7</val>
          </value>
        </values>
      </ddeItem>
      <ddeItem name="TSE,00647L,ASK" advise="1">
        <values>
          <value>
            <val>60.4</val>
          </value>
        </values>
      </ddeItem>
      <ddeItem name="TSE,00647L,BID" advise="1">
        <values>
          <value>
            <val>60.35</val>
          </value>
        </values>
      </ddeItem>
      <ddeItem name="TSE,00647L,HIGH_1" advise="1">
        <values>
          <value>
            <val>60.35</val>
          </value>
        </values>
      </ddeItem>
      <ddeItem name="TSE,00647L,HST_CLOSE" advise="1">
        <values>
          <value>
            <val>0</val>
          </value>
        </values>
      </ddeItem>
      <ddeItem name="TSE,00647L,LOW_1" advise="1">
        <values>
          <value>
            <val>60.1</val>
          </value>
        </values>
      </ddeItem>
      <ddeItem name="TSE,00647L,OPEN_PRC" advise="1">
        <values>
          <value>
            <val>60.1</val>
          </value>
        </values>
      </ddeItem>
      <ddeItem name="TSE,00647L,TRDPRC_1" advise="1">
        <values>
          <value>
            <val>60.35</val>
          </value>
        </values>
      </ddeItem>
      <ddeItem name="TSE,00648R,ADJUST_CLS" advise="1">
        <values>
          <value>
            <val>7.62</val>
          </value>
        </values>
      </ddeItem>
      <ddeItem name="TSE,00648R,ASK" advise="1">
        <values>
          <value>
            <val>7.51</val>
          </value>
        </values>
      </ddeItem>
      <ddeItem name="TSE,00648R,BID" advise="1">
        <values>
          <value>
            <val>7.5</val>
          </value>
        </values>
      </ddeItem>
      <ddeItem name="TSE,00648R,HIGH_1" advise="1">
        <values>
          <value>
            <val>7.52</val>
          </value>
        </values>
      </ddeItem>
      <ddeItem name="TSE,00648R,HST_CLOSE" advise="1">
        <values>
          <value>
            <val>0</val>
          </value>
        </values>
      </ddeItem>
      <ddeItem name="TSE,00648R,LOW_1" advise="1">
        <values>
          <value>
            <val>7.5</val>
          </value>
        </values>
      </ddeItem>
      <ddeItem name="TSE,00648R,OPEN_PRC" advise="1">
        <values>
          <value>
            <val>7.52</val>
          </value>
        </values>
      </ddeItem>
      <ddeItem name="TSE,00648R,TRDPRC_1" advise="1">
        <values>
          <value>
            <val>7.5</val>
          </value>
        </values>
      </ddeItem>
      <ddeItem name="TSE,00650L,ADJUST_CLS" advise="1">
        <values>
          <value>
            <val>28.2</val>
          </value>
        </values>
      </ddeItem>
      <ddeItem name="TSE,00650L,ASK" advise="1">
        <values>
          <value>
            <val>28.51</val>
          </value>
        </values>
      </ddeItem>
      <ddeItem name="TSE,00650L,BID" advise="1">
        <values>
          <value>
            <val>28.44</val>
          </value>
        </values>
      </ddeItem>
      <ddeItem name="TSE,00650L,HIGH_1" advise="1">
        <values>
          <value>
            <val>28.55</val>
          </value>
        </values>
      </ddeItem>
      <ddeItem name="TSE,00650L,HST_CLOSE" advise="1">
        <values>
          <value>
            <val>0</val>
          </value>
        </values>
      </ddeItem>
      <ddeItem name="TSE,00650L,LOW_1" advise="1">
        <values>
          <value>
            <val>28.08</val>
          </value>
        </values>
      </ddeItem>
      <ddeItem name="TSE,00650L,OPEN_PRC" advise="1">
        <values>
          <value>
            <val>28.21</val>
          </value>
        </values>
      </ddeItem>
      <ddeItem name="TSE,00650L,TRDPRC_1" advise="1">
        <values>
          <value>
            <val>28.44</val>
          </value>
        </values>
      </ddeItem>
      <ddeItem name="TSE,00651R,ADJUST_CLS" advise="1">
        <values>
          <value>
            <val>7.14</val>
          </value>
        </values>
      </ddeItem>
      <ddeItem name="TSE,00651R,ASK" advise="1">
        <values>
          <value>
            <val>7.09</val>
          </value>
        </values>
      </ddeItem>
      <ddeItem name="TSE,00651R,BID" advise="1">
        <values>
          <value>
            <val>7.07</val>
          </value>
        </values>
      </ddeItem>
      <ddeItem name="TSE,00651R,HIGH_1" advise="1">
        <values>
          <value>
            <val>7.14</val>
          </value>
        </values>
      </ddeItem>
      <ddeItem name="TSE,00651R,HST_CLOSE" advise="1">
        <values>
          <value>
            <val>0</val>
          </value>
        </values>
      </ddeItem>
      <ddeItem name="TSE,00651R,LOW_1" advise="1">
        <values>
          <value>
            <val>7.06</val>
          </value>
        </values>
      </ddeItem>
      <ddeItem name="TSE,00651R,OPEN_PRC" advise="1">
        <values>
          <value>
            <val>7.13</val>
          </value>
        </values>
      </ddeItem>
      <ddeItem name="TSE,00651R,TRDPRC_1" advise="1">
        <values>
          <value>
            <val>7.08</val>
          </value>
        </values>
      </ddeItem>
      <ddeItem name="TSE,00652,ADJUST_CLS" advise="1">
        <values>
          <value>
            <val>24.31</val>
          </value>
        </values>
      </ddeItem>
      <ddeItem name="TSE,00652,ASK" advise="1">
        <values>
          <value>
            <val>24.76</val>
          </value>
        </values>
      </ddeItem>
      <ddeItem name="TSE,00652,BID" advise="1">
        <values>
          <value>
            <val>24.74</val>
          </value>
        </values>
      </ddeItem>
      <ddeItem name="TSE,00652,HIGH_1" advise="1">
        <values>
          <value>
            <val>24.78</val>
          </value>
        </values>
      </ddeItem>
      <ddeItem name="TSE,00652,HST_CLOSE" advise="1">
        <values>
          <value>
            <val>0</val>
          </value>
        </values>
      </ddeItem>
      <ddeItem name="TSE,00652,LOW_1" advise="1">
        <values>
          <value>
            <val>24.4</val>
          </value>
        </values>
      </ddeItem>
      <ddeItem name="TSE,00652,OPEN_PRC" advise="1">
        <values>
          <value>
            <val>24.4</val>
          </value>
        </values>
      </ddeItem>
      <ddeItem name="TSE,00652,TRDPRC_1" advise="1">
        <values>
          <value>
            <val>24.76</val>
          </value>
        </values>
      </ddeItem>
      <ddeItem name="TSE,00653L,ADJUST_CLS" advise="1">
        <values>
          <value>
            <val>32.950000000000003</val>
          </value>
        </values>
      </ddeItem>
      <ddeItem name="TSE,00653L,ASK" advise="1">
        <values>
          <value>
            <val>33.85</val>
          </value>
        </values>
      </ddeItem>
      <ddeItem name="TSE,00653L,BID" advise="1">
        <values>
          <value>
            <val>33.83</val>
          </value>
        </values>
      </ddeItem>
      <ddeItem name="TSE,00653L,HIGH_1" advise="1">
        <values>
          <value>
            <val>34.01</val>
          </value>
        </values>
      </ddeItem>
      <ddeItem name="TSE,00653L,HST_CLOSE" advise="1">
        <values>
          <value>
            <val>0</val>
          </value>
        </values>
      </ddeItem>
      <ddeItem name="TSE,00653L,LOW_1" advise="1">
        <values>
          <value>
            <val>33.58</val>
          </value>
        </values>
      </ddeItem>
      <ddeItem name="TSE,00653L,OPEN_PRC" advise="1">
        <values>
          <value>
            <val>33.590000000000003</val>
          </value>
        </values>
      </ddeItem>
      <ddeItem name="TSE,00653L,TRDPRC_1" advise="1">
        <values>
          <value>
            <val>33.83</val>
          </value>
        </values>
      </ddeItem>
      <ddeItem name="TSE,00654R,ADJUST_CLS" advise="1">
        <values>
          <value>
            <val>10.02</val>
          </value>
        </values>
      </ddeItem>
      <ddeItem name="TSE,00654R,ASK" advise="1">
        <values>
          <value>
            <val>9.8800000000000008</val>
          </value>
        </values>
      </ddeItem>
      <ddeItem name="TSE,00654R,BID" advise="1">
        <values>
          <value>
            <val>9.86</val>
          </value>
        </values>
      </ddeItem>
      <ddeItem name="TSE,00654R,HIGH_1" advise="1">
        <values>
          <value>
            <val>9.9600000000000009</val>
          </value>
        </values>
      </ddeItem>
      <ddeItem name="TSE,00654R,HST_CLOSE" advise="1">
        <values>
          <value>
            <val>0</val>
          </value>
        </values>
      </ddeItem>
      <ddeItem name="TSE,00654R,LOW_1" advise="1">
        <values>
          <value>
            <val>9.83</val>
          </value>
        </values>
      </ddeItem>
      <ddeItem name="TSE,00654R,OPEN_PRC" advise="1">
        <values>
          <value>
            <val>9.9600000000000009</val>
          </value>
        </values>
      </ddeItem>
      <ddeItem name="TSE,00654R,TRDPRC_1" advise="1">
        <values>
          <value>
            <val>9.86</val>
          </value>
        </values>
      </ddeItem>
      <ddeItem name="TSE,00655L,ADJUST_CLS" advise="1">
        <values>
          <value>
            <val>47.54</val>
          </value>
        </values>
      </ddeItem>
      <ddeItem name="TSE,00655L,ASK" advise="1">
        <values>
          <value>
            <val>49.99</val>
          </value>
        </values>
      </ddeItem>
      <ddeItem name="TSE,00655L,BID" advise="1">
        <values>
          <value>
            <val>49.97</val>
          </value>
        </values>
      </ddeItem>
      <ddeItem name="TSE,00655L,HIGH_1" advise="1">
        <values>
          <value>
            <val>50.15</val>
          </value>
        </values>
      </ddeItem>
      <ddeItem name="TSE,00655L,HST_CLOSE" advise="1">
        <values>
          <value>
            <val>0</val>
          </value>
        </values>
      </ddeItem>
      <ddeItem name="TSE,00655L,LOW_1" advise="1">
        <values>
          <value>
            <val>47.7</val>
          </value>
        </values>
      </ddeItem>
      <ddeItem name="TSE,00655L,OPEN_PRC" advise="1">
        <values>
          <value>
            <val>48.4</val>
          </value>
        </values>
      </ddeItem>
      <ddeItem name="TSE,00655L,TRDPRC_1" advise="1">
        <values>
          <value>
            <val>49.97</val>
          </value>
        </values>
      </ddeItem>
      <ddeItem name="TSE,00656R,ADJUST_CLS" advise="1">
        <values>
          <value>
            <val>7.35</val>
          </value>
        </values>
      </ddeItem>
      <ddeItem name="TSE,00656R,ASK" advise="1">
        <values>
          <value>
            <val>7.2</val>
          </value>
        </values>
      </ddeItem>
      <ddeItem name="TSE,00656R,BID" advise="1">
        <values>
          <value>
            <val>7.19</val>
          </value>
        </values>
      </ddeItem>
      <ddeItem name="TSE,00656R,HIGH_1" advise="1">
        <values>
          <value>
            <val>7.32</val>
          </value>
        </values>
      </ddeItem>
      <ddeItem name="TSE,00656R,HST_CLOSE" advise="1">
        <values>
          <value>
            <val>0</val>
          </value>
        </values>
      </ddeItem>
      <ddeItem name="TSE,00656R,LOW_1" advise="1">
        <values>
          <value>
            <val>7.18</val>
          </value>
        </values>
      </ddeItem>
      <ddeItem name="TSE,00656R,OPEN_PRC" advise="1">
        <values>
          <value>
            <val>7.32</val>
          </value>
        </values>
      </ddeItem>
      <ddeItem name="TSE,00656R,TRDPRC_1" advise="1">
        <values>
          <value>
            <val>7.19</val>
          </value>
        </values>
      </ddeItem>
      <ddeItem name="TSE,00657,ADJUST_CLS" advise="1">
        <values>
          <value>
            <val>33.83</val>
          </value>
        </values>
      </ddeItem>
      <ddeItem name="TSE,00657,ASK" advise="1">
        <values>
          <value>
            <val>34.46</val>
          </value>
        </values>
      </ddeItem>
      <ddeItem name="TSE,00657,BID" advise="1">
        <values>
          <value>
            <val>34.380000000000003</val>
          </value>
        </values>
      </ddeItem>
      <ddeItem name="TSE,00657,HIGH_1" advise="1">
        <values>
          <value>
            <val>34.380000000000003</val>
          </value>
        </values>
      </ddeItem>
      <ddeItem name="TSE,00657,HST_CLOSE" advise="1">
        <values>
          <value>
            <val>0</val>
          </value>
        </values>
      </ddeItem>
      <ddeItem name="TSE,00657,LOW_1" advise="1">
        <values>
          <value>
            <val>34.15</val>
          </value>
        </values>
      </ddeItem>
      <ddeItem name="TSE,00657,OPEN_PRC" advise="1">
        <values>
          <value>
            <val>34.15</val>
          </value>
        </values>
      </ddeItem>
      <ddeItem name="TSE,00657,TRDPRC_1" advise="1">
        <values>
          <value>
            <val>34.380000000000003</val>
          </value>
        </values>
      </ddeItem>
      <ddeItem name="TSE,00657K,ADJUST_CLS" advise="1">
        <values>
          <value>
            <val>12.07</val>
          </value>
        </values>
      </ddeItem>
      <ddeItem name="TSE,00657K,ASK" advise="1">
        <values>
          <value>
            <val>12.33</val>
          </value>
        </values>
      </ddeItem>
      <ddeItem name="TSE,00657K,BID" advise="1">
        <values>
          <value>
            <val>12.26</val>
          </value>
        </values>
      </ddeItem>
      <ddeItem name="TSE,00657K,HIGH_1" advise="1">
        <values>
          <value>
            <val>12.3</val>
          </value>
        </values>
      </ddeItem>
      <ddeItem name="TSE,00657K,HST_CLOSE" advise="1">
        <values>
          <value>
            <val>0</val>
          </value>
        </values>
      </ddeItem>
      <ddeItem name="TSE,00657K,LOW_1" advise="1">
        <values>
          <value>
            <val>12.3</val>
          </value>
        </values>
      </ddeItem>
      <ddeItem name="TSE,00657K,OPEN_PRC" advise="1">
        <values>
          <value>
            <val>12.3</val>
          </value>
        </values>
      </ddeItem>
      <ddeItem name="TSE,00657K,TRDPRC_1" advise="1">
        <values>
          <value>
            <val>12.3</val>
          </value>
        </values>
      </ddeItem>
      <ddeItem name="TSE,00660,ADJUST_CLS" advise="1">
        <values>
          <value>
            <val>27.86</val>
          </value>
        </values>
      </ddeItem>
      <ddeItem name="TSE,00660,ASK" advise="1">
        <values>
          <value>
            <val>28.35</val>
          </value>
        </values>
      </ddeItem>
      <ddeItem name="TSE,00660,BID" advise="1">
        <values>
          <value>
            <val>28.3</val>
          </value>
        </values>
      </ddeItem>
      <ddeItem name="TSE,00660,HIGH_1" advise="1">
        <values>
          <value>
            <val>28.32</val>
          </value>
        </values>
      </ddeItem>
      <ddeItem name="TSE,00660,HST_CLOSE" advise="1">
        <values>
          <value>
            <val>0</val>
          </value>
        </values>
      </ddeItem>
      <ddeItem name="TSE,00660,LOW_1" advise="1">
        <values>
          <value>
            <val>28.19</val>
          </value>
        </values>
      </ddeItem>
      <ddeItem name="TSE,00660,OPEN_PRC" advise="1">
        <values>
          <value>
            <val>28.25</val>
          </value>
        </values>
      </ddeItem>
      <ddeItem name="TSE,00660,TRDPRC_1" advise="1">
        <values>
          <value>
            <val>28.32</val>
          </value>
        </values>
      </ddeItem>
      <ddeItem name="TSE,00661,ADJUST_CLS" advise="1">
        <values>
          <value>
            <val>34.33</val>
          </value>
        </values>
      </ddeItem>
      <ddeItem name="TSE,00661,ASK" advise="1">
        <values>
          <value>
            <val>34.67</val>
          </value>
        </values>
      </ddeItem>
      <ddeItem name="TSE,00661,BID" advise="1">
        <values>
          <value>
            <val>34.65</val>
          </value>
        </values>
      </ddeItem>
      <ddeItem name="TSE,00661,HIGH_1" advise="1">
        <values>
          <value>
            <val>34.65</val>
          </value>
        </values>
      </ddeItem>
      <ddeItem name="TSE,00661,HST_CLOSE" advise="1">
        <values>
          <value>
            <val>0</val>
          </value>
        </values>
      </ddeItem>
      <ddeItem name="TSE,00661,LOW_1" advise="1">
        <values>
          <value>
            <val>34.380000000000003</val>
          </value>
        </values>
      </ddeItem>
      <ddeItem name="TSE,00661,OPEN_PRC" advise="1">
        <values>
          <value>
            <val>34.51</val>
          </value>
        </values>
      </ddeItem>
      <ddeItem name="TSE,00661,TRDPRC_1" advise="1">
        <values>
          <value>
            <val>34.65</val>
          </value>
        </values>
      </ddeItem>
      <ddeItem name="TSE,00662,ADJUST_CLS" advise="1">
        <values>
          <value>
            <val>46.84</val>
          </value>
        </values>
      </ddeItem>
      <ddeItem name="TSE,00662,ASK" advise="1">
        <values>
          <value>
            <val>47.46</val>
          </value>
        </values>
      </ddeItem>
      <ddeItem name="TSE,00662,BID" advise="1">
        <values>
          <value>
            <val>47.45</val>
          </value>
        </values>
      </ddeItem>
      <ddeItem name="TSE,00662,HIGH_1" advise="1">
        <values>
          <value>
            <val>47.46</val>
          </value>
        </values>
      </ddeItem>
      <ddeItem name="TSE,00662,HST_CLOSE" advise="1">
        <values>
          <value>
            <val>0</val>
          </value>
        </values>
      </ddeItem>
      <ddeItem name="TSE,00662,LOW_1" advise="1">
        <values>
          <value>
            <val>47.08</val>
          </value>
        </values>
      </ddeItem>
      <ddeItem name="TSE,00662,OPEN_PRC" advise="1">
        <values>
          <value>
            <val>47.08</val>
          </value>
        </values>
      </ddeItem>
      <ddeItem name="TSE,00662,TRDPRC_1" advise="1">
        <values>
          <value>
            <val>47.46</val>
          </value>
        </values>
      </ddeItem>
      <ddeItem name="TSE,00663L,ADJUST_CLS" advise="1">
        <values>
          <value>
            <val>91.65</val>
          </value>
        </values>
      </ddeItem>
      <ddeItem name="TSE,00663L,ASK" advise="1">
        <values>
          <value>
            <val>94.1</val>
          </value>
        </values>
      </ddeItem>
      <ddeItem name="TSE,00663L,BID" advise="1">
        <values>
          <value>
            <val>93.9</val>
          </value>
        </values>
      </ddeItem>
      <ddeItem name="TSE,00663L,HIGH_1" advise="1">
        <values>
          <value>
            <val>96.3</val>
          </value>
        </values>
      </ddeItem>
      <ddeItem name="TSE,00663L,HST_CLOSE" advise="1">
        <values>
          <value>
            <val>0</val>
          </value>
        </values>
      </ddeItem>
      <ddeItem name="TSE,00663L,LOW_1" advise="1">
        <values>
          <value>
            <val>92.95</val>
          </value>
        </values>
      </ddeItem>
      <ddeItem name="TSE,00663L,OPEN_PRC" advise="1">
        <values>
          <value>
            <val>94.65</val>
          </value>
        </values>
      </ddeItem>
      <ddeItem name="TSE,00663L,TRDPRC_1" advise="1">
        <values>
          <value>
            <val>93.9</val>
          </value>
        </values>
      </ddeItem>
      <ddeItem name="TSE,00664R,ADJUST_CLS" advise="1">
        <values>
          <value>
            <val>7.22</val>
          </value>
        </values>
      </ddeItem>
      <ddeItem name="TSE,00664R,ASK" advise="1">
        <values>
          <value>
            <val>7.15</val>
          </value>
        </values>
      </ddeItem>
      <ddeItem name="TSE,00664R,BID" advise="1">
        <values>
          <value>
            <val>7.14</val>
          </value>
        </values>
      </ddeItem>
      <ddeItem name="TSE,00664R,HIGH_1" advise="1">
        <values>
          <value>
            <val>7.19</val>
          </value>
        </values>
      </ddeItem>
      <ddeItem name="TSE,00664R,HST_CLOSE" advise="1">
        <values>
          <value>
            <val>0</val>
          </value>
        </values>
      </ddeItem>
      <ddeItem name="TSE,00664R,LOW_1" advise="1">
        <values>
          <value>
            <val>7.03</val>
          </value>
        </values>
      </ddeItem>
      <ddeItem name="TSE,00664R,OPEN_PRC" advise="1">
        <values>
          <value>
            <val>7.11</val>
          </value>
        </values>
      </ddeItem>
      <ddeItem name="TSE,00664R,TRDPRC_1" advise="1">
        <values>
          <value>
            <val>7.15</val>
          </value>
        </values>
      </ddeItem>
      <ddeItem name="TSE,00665L,ADJUST_CLS" advise="1">
        <values>
          <value>
            <val>22.7</val>
          </value>
        </values>
      </ddeItem>
      <ddeItem name="TSE,00665L,ASK" advise="1">
        <values>
          <value>
            <val>22.7</val>
          </value>
        </values>
      </ddeItem>
      <ddeItem name="TSE,00665L,BID" advise="1">
        <values>
          <value>
            <val>22.59</val>
          </value>
        </values>
      </ddeItem>
      <ddeItem name="TSE,00665L,HIGH_1" advise="1">
        <values>
          <value>
            <val>22.71</val>
          </value>
        </values>
      </ddeItem>
      <ddeItem name="TSE,00665L,HST_CLOSE" advise="1">
        <values>
          <value>
            <val>0</val>
          </value>
        </values>
      </ddeItem>
      <ddeItem name="TSE,00665L,LOW_1" advise="1">
        <values>
          <value>
            <val>22.3</val>
          </value>
        </values>
      </ddeItem>
      <ddeItem name="TSE,00665L,OPEN_PRC" advise="1">
        <values>
          <value>
            <val>22.71</val>
          </value>
        </values>
      </ddeItem>
      <ddeItem name="TSE,00665L,TRDPRC_1" advise="1">
        <values>
          <value>
            <val>22.69</val>
          </value>
        </values>
      </ddeItem>
      <ddeItem name="TSE,00666R,ADJUST_CLS" advise="1">
        <values>
          <value>
            <val>11.45</val>
          </value>
        </values>
      </ddeItem>
      <ddeItem name="TSE,00666R,ASK" advise="1">
        <values>
          <value>
            <val>11.51</val>
          </value>
        </values>
      </ddeItem>
      <ddeItem name="TSE,00666R,BID" advise="1">
        <values>
          <value>
            <val>11.46</val>
          </value>
        </values>
      </ddeItem>
      <ddeItem name="TSE,00666R,HIGH_1" advise="1">
        <values>
          <value>
            <val>11.52</val>
          </value>
        </values>
      </ddeItem>
      <ddeItem name="TSE,00666R,HST_CLOSE" advise="1">
        <values>
          <value>
            <val>0</val>
          </value>
        </values>
      </ddeItem>
      <ddeItem name="TSE,00666R,LOW_1" advise="1">
        <values>
          <value>
            <val>11.48</val>
          </value>
        </values>
      </ddeItem>
      <ddeItem name="TSE,00666R,OPEN_PRC" advise="1">
        <values>
          <value>
            <val>11.48</val>
          </value>
        </values>
      </ddeItem>
      <ddeItem name="TSE,00666R,TRDPRC_1" advise="1">
        <values>
          <value>
            <val>11.49</val>
          </value>
        </values>
      </ddeItem>
      <ddeItem name="TSE,00668,ADJUST_CLS" advise="1">
        <values>
          <value>
            <val>33.979999999999997</val>
          </value>
        </values>
      </ddeItem>
      <ddeItem name="TSE,00668,ASK" advise="1">
        <values>
          <value>
            <val>34.549999999999997</val>
          </value>
        </values>
      </ddeItem>
      <ddeItem name="TSE,00668,BID" advise="1">
        <values>
          <value>
            <val>34.46</val>
          </value>
        </values>
      </ddeItem>
      <ddeItem name="TSE,00668,HIGH_1" advise="1">
        <values>
          <value>
            <val>34.549999999999997</val>
          </value>
        </values>
      </ddeItem>
      <ddeItem name="TSE,00668,HST_CLOSE" advise="1">
        <values>
          <value>
            <val>0</val>
          </value>
        </values>
      </ddeItem>
      <ddeItem name="TSE,00668,LOW_1" advise="1">
        <values>
          <value>
            <val>34.32</val>
          </value>
        </values>
      </ddeItem>
      <ddeItem name="TSE,00668,OPEN_PRC" advise="1">
        <values>
          <value>
            <val>34.4</val>
          </value>
        </values>
      </ddeItem>
      <ddeItem name="TSE,00668,TRDPRC_1" advise="1">
        <values>
          <value>
            <val>34.549999999999997</val>
          </value>
        </values>
      </ddeItem>
      <ddeItem name="TSE,00668K,ADJUST_CLS" advise="1">
        <values>
          <value>
            <val>12.15</val>
          </value>
        </values>
      </ddeItem>
      <ddeItem name="TSE,00668K,ASK" advise="1">
        <values>
          <value>
            <val>12.37</val>
          </value>
        </values>
      </ddeItem>
      <ddeItem name="TSE,00668K,BID" advise="1">
        <values>
          <value>
            <val>12.27</val>
          </value>
        </values>
      </ddeItem>
      <ddeItem name="TSE,00668K,HIGH_1" advise="1">
        <values>
          <value>
            <val>12.3</val>
          </value>
        </values>
      </ddeItem>
      <ddeItem name="TSE,00668K,HST_CLOSE" advise="1">
        <values>
          <value>
            <val>0</val>
          </value>
        </values>
      </ddeItem>
      <ddeItem name="TSE,00668K,LOW_1" advise="1">
        <values>
          <value>
            <val>12.3</val>
          </value>
        </values>
      </ddeItem>
      <ddeItem name="TSE,00668K,OPEN_PRC" advise="1">
        <values>
          <value>
            <val>12.3</val>
          </value>
        </values>
      </ddeItem>
      <ddeItem name="TSE,00668K,TRDPRC_1" advise="1">
        <values>
          <value>
            <val>12.3</val>
          </value>
        </values>
      </ddeItem>
      <ddeItem name="TSE,00669R,ADJUST_CLS" advise="1">
        <values>
          <value>
            <val>8.32</val>
          </value>
        </values>
      </ddeItem>
      <ddeItem name="TSE,00669R,ASK" advise="1">
        <values>
          <value>
            <val>8.18</val>
          </value>
        </values>
      </ddeItem>
      <ddeItem name="TSE,00669R,BID" advise="1">
        <values>
          <value>
            <val>8.17</val>
          </value>
        </values>
      </ddeItem>
      <ddeItem name="TSE,00669R,HIGH_1" advise="1">
        <values>
          <value>
            <val>8.2100000000000009</val>
          </value>
        </values>
      </ddeItem>
      <ddeItem name="TSE,00669R,HST_CLOSE" advise="1">
        <values>
          <value>
            <val>0</val>
          </value>
        </values>
      </ddeItem>
      <ddeItem name="TSE,00669R,LOW_1" advise="1">
        <values>
          <value>
            <val>8.17</val>
          </value>
        </values>
      </ddeItem>
      <ddeItem name="TSE,00669R,OPEN_PRC" advise="1">
        <values>
          <value>
            <val>8.19</val>
          </value>
        </values>
      </ddeItem>
      <ddeItem name="TSE,00669R,TRDPRC_1" advise="1">
        <values>
          <value>
            <val>8.17</val>
          </value>
        </values>
      </ddeItem>
      <ddeItem name="TSE,00670L,ADJUST_CLS" advise="1">
        <values>
          <value>
            <val>82.1</val>
          </value>
        </values>
      </ddeItem>
      <ddeItem name="TSE,00670L,ASK" advise="1">
        <values>
          <value>
            <val>84.05</val>
          </value>
        </values>
      </ddeItem>
      <ddeItem name="TSE,00670L,BID" advise="1">
        <values>
          <value>
            <val>84</val>
          </value>
        </values>
      </ddeItem>
      <ddeItem name="TSE,00670L,HIGH_1" advise="1">
        <values>
          <value>
            <val>84.15</val>
          </value>
        </values>
      </ddeItem>
      <ddeItem name="TSE,00670L,HST_CLOSE" advise="1">
        <values>
          <value>
            <val>0</val>
          </value>
        </values>
      </ddeItem>
      <ddeItem name="TSE,00670L,LOW_1" advise="1">
        <values>
          <value>
            <val>83.5</val>
          </value>
        </values>
      </ddeItem>
      <ddeItem name="TSE,00670L,OPEN_PRC" advise="1">
        <values>
          <value>
            <val>83.5</val>
          </value>
        </values>
      </ddeItem>
      <ddeItem name="TSE,00670L,TRDPRC_1" advise="1">
        <values>
          <value>
            <val>84.05</val>
          </value>
        </values>
      </ddeItem>
      <ddeItem name="TSE,00671R,ADJUST_CLS" advise="1">
        <values>
          <value>
            <val>6.23</val>
          </value>
        </values>
      </ddeItem>
      <ddeItem name="TSE,00671R,ASK" advise="1">
        <values>
          <value>
            <val>6.17</val>
          </value>
        </values>
      </ddeItem>
      <ddeItem name="TSE,00671R,BID" advise="1">
        <values>
          <value>
            <val>6.16</val>
          </value>
        </values>
      </ddeItem>
      <ddeItem name="TSE,00671R,HIGH_1" advise="1">
        <values>
          <value>
            <val>6.19</val>
          </value>
        </values>
      </ddeItem>
      <ddeItem name="TSE,00671R,HST_CLOSE" advise="1">
        <values>
          <value>
            <val>0</val>
          </value>
        </values>
      </ddeItem>
      <ddeItem name="TSE,00671R,LOW_1" advise="1">
        <values>
          <value>
            <val>6.15</val>
          </value>
        </values>
      </ddeItem>
      <ddeItem name="TSE,00671R,OPEN_PRC" advise="1">
        <values>
          <value>
            <val>6.17</val>
          </value>
        </values>
      </ddeItem>
      <ddeItem name="TSE,00671R,TRDPRC_1" advise="1">
        <values>
          <value>
            <val>6.17</val>
          </value>
        </values>
      </ddeItem>
      <ddeItem name="TSE,00673R,ADJUST_CLS" advise="1">
        <values>
          <value>
            <val>17.36</val>
          </value>
        </values>
      </ddeItem>
      <ddeItem name="TSE,00673R,ASK" advise="1">
        <values>
          <value>
            <val>17.739999999999998</val>
          </value>
        </values>
      </ddeItem>
      <ddeItem name="TSE,00673R,BID" advise="1">
        <values>
          <value>
            <val>17.73</val>
          </value>
        </values>
      </ddeItem>
      <ddeItem name="TSE,00673R,HIGH_1" advise="1">
        <values>
          <value>
            <val>17.84</val>
          </value>
        </values>
      </ddeItem>
      <ddeItem name="TSE,00673R,HST_CLOSE" advise="1">
        <values>
          <value>
            <val>0</val>
          </value>
        </values>
      </ddeItem>
      <ddeItem name="TSE,00673R,LOW_1" advise="1">
        <values>
          <value>
            <val>17.73</val>
          </value>
        </values>
      </ddeItem>
      <ddeItem name="TSE,00673R,OPEN_PRC" advise="1">
        <values>
          <value>
            <val>17.73</val>
          </value>
        </values>
      </ddeItem>
      <ddeItem name="TSE,00673R,TRDPRC_1" advise="1">
        <values>
          <value>
            <val>17.739999999999998</val>
          </value>
        </values>
      </ddeItem>
      <ddeItem name="TSE,00674R,ADJUST_CLS" advise="1">
        <values>
          <value>
            <val>13.16</val>
          </value>
        </values>
      </ddeItem>
      <ddeItem name="TSE,00674R,ASK" advise="1">
        <values>
          <value>
            <val>13.14</val>
          </value>
        </values>
      </ddeItem>
      <ddeItem name="TSE,00674R,BID" advise="1">
        <values>
          <value>
            <val>13.13</val>
          </value>
        </values>
      </ddeItem>
      <ddeItem name="TSE,00674R,HIGH_1" advise="1">
        <values>
          <value>
            <val>13.14</val>
          </value>
        </values>
      </ddeItem>
      <ddeItem name="TSE,00674R,HST_CLOSE" advise="1">
        <values>
          <value>
            <val>0</val>
          </value>
        </values>
      </ddeItem>
      <ddeItem name="TSE,00674R,LOW_1" advise="1">
        <values>
          <value>
            <val>13.09</val>
          </value>
        </values>
      </ddeItem>
      <ddeItem name="TSE,00674R,OPEN_PRC" advise="1">
        <values>
          <value>
            <val>13.11</val>
          </value>
        </values>
      </ddeItem>
      <ddeItem name="TSE,00674R,TRDPRC_1" advise="1">
        <values>
          <value>
            <val>13.14</val>
          </value>
        </values>
      </ddeItem>
      <ddeItem name="TSE,00675L,ADJUST_CLS" advise="1">
        <values>
          <value>
            <val>39.479999999999997</val>
          </value>
        </values>
      </ddeItem>
      <ddeItem name="TSE,00675L,ASK" advise="1">
        <values>
          <value>
            <val>40.44</val>
          </value>
        </values>
      </ddeItem>
      <ddeItem name="TSE,00675L,BID" advise="1">
        <values>
          <value>
            <val>40.4</val>
          </value>
        </values>
      </ddeItem>
      <ddeItem name="TSE,00675L,HIGH_1" advise="1">
        <values>
          <value>
            <val>41.55</val>
          </value>
        </values>
      </ddeItem>
      <ddeItem name="TSE,00675L,HST_CLOSE" advise="1">
        <values>
          <value>
            <val>0</val>
          </value>
        </values>
      </ddeItem>
      <ddeItem name="TSE,00675L,LOW_1" advise="1">
        <values>
          <value>
            <val>39.82</val>
          </value>
        </values>
      </ddeItem>
      <ddeItem name="TSE,00675L,OPEN_PRC" advise="1">
        <values>
          <value>
            <val>40.659999999999997</val>
          </value>
        </values>
      </ddeItem>
      <ddeItem name="TSE,00675L,TRDPRC_1" advise="1">
        <values>
          <value>
            <val>40.44</val>
          </value>
        </values>
      </ddeItem>
      <ddeItem name="TSE,00676R,ADJUST_CLS" advise="1">
        <values>
          <value>
            <val>3.94</val>
          </value>
        </values>
      </ddeItem>
      <ddeItem name="TSE,00676R,ASK" advise="1">
        <values>
          <value>
            <val>3.9</val>
          </value>
        </values>
      </ddeItem>
      <ddeItem name="TSE,00676R,BID" advise="1">
        <values>
          <value>
            <val>3.89</val>
          </value>
        </values>
      </ddeItem>
      <ddeItem name="TSE,00676R,HIGH_1" advise="1">
        <values>
          <value>
            <val>3.92</val>
          </value>
        </values>
      </ddeItem>
      <ddeItem name="TSE,00676R,HST_CLOSE" advise="1">
        <values>
          <value>
            <val>0</val>
          </value>
        </values>
      </ddeItem>
      <ddeItem name="TSE,00676R,LOW_1" advise="1">
        <values>
          <value>
            <val>3.83</val>
          </value>
        </values>
      </ddeItem>
      <ddeItem name="TSE,00676R,OPEN_PRC" advise="1">
        <values>
          <value>
            <val>3.88</val>
          </value>
        </values>
      </ddeItem>
      <ddeItem name="TSE,00676R,TRDPRC_1" advise="1">
        <values>
          <value>
            <val>3.9</val>
          </value>
        </values>
      </ddeItem>
      <ddeItem name="TSE,00677U,ADJUST_CLS" advise="1">
        <values>
          <value>
            <val>1.99</val>
          </value>
        </values>
      </ddeItem>
      <ddeItem name="TSE,00677U,ASK" advise="1">
        <values>
          <value>
            <val>1.84</val>
          </value>
        </values>
      </ddeItem>
      <ddeItem name="TSE,00677U,BEST_ASK1">
        <values>
          <value>
            <val>0</val>
          </value>
        </values>
      </ddeItem>
      <ddeItem name="TSE,00677U,BEST_BID1">
        <values>
          <value>
            <val>0</val>
          </value>
        </values>
      </ddeItem>
      <ddeItem name="TSE,00677U,BID" advise="1">
        <values>
          <value>
            <val>1.83</val>
          </value>
        </values>
      </ddeItem>
      <ddeItem name="TSE,00677U,DSPLY_NMLL" advise="1">
        <values>
          <value t="str">
            <val>期富邦VIX</val>
          </value>
        </values>
      </ddeItem>
      <ddeItem name="TSE,00677U,HIGH_1" advise="1">
        <values>
          <value>
            <val>1.86</val>
          </value>
        </values>
      </ddeItem>
      <ddeItem name="TSE,00677U,HST_CLOSE" advise="1">
        <values>
          <value>
            <val>0</val>
          </value>
        </values>
      </ddeItem>
      <ddeItem name="TSE,00677U,LOW_1" advise="1">
        <values>
          <value>
            <val>1.83</val>
          </value>
        </values>
      </ddeItem>
      <ddeItem name="TSE,00677U,OPEN_PRC" advise="1">
        <values>
          <value>
            <val>1.85</val>
          </value>
        </values>
      </ddeItem>
      <ddeItem name="TSE,00677U,TRDPRC_1" advise="1">
        <values>
          <value>
            <val>1.83</val>
          </value>
        </values>
      </ddeItem>
      <ddeItem name="TSE,00678,ADJUST_CLS" advise="1">
        <values>
          <value>
            <val>26.28</val>
          </value>
        </values>
      </ddeItem>
      <ddeItem name="TSE,00678,ASK" advise="1">
        <values>
          <value>
            <val>26.43</val>
          </value>
        </values>
      </ddeItem>
      <ddeItem name="TSE,00678,BID" advise="1">
        <values>
          <value>
            <val>26.34</val>
          </value>
        </values>
      </ddeItem>
      <ddeItem name="TSE,00678,HIGH_1" advise="1">
        <values>
          <value>
            <val>26.39</val>
          </value>
        </values>
      </ddeItem>
      <ddeItem name="TSE,00678,HST_CLOSE" advise="1">
        <values>
          <value>
            <val>0</val>
          </value>
        </values>
      </ddeItem>
      <ddeItem name="TSE,00678,LOW_1" advise="1">
        <values>
          <value>
            <val>26.33</val>
          </value>
        </values>
      </ddeItem>
      <ddeItem name="TSE,00678,OPEN_PRC" advise="1">
        <values>
          <value>
            <val>26.39</val>
          </value>
        </values>
      </ddeItem>
      <ddeItem name="TSE,00678,TRDPRC_1" advise="1">
        <values>
          <value>
            <val>26.39</val>
          </value>
        </values>
      </ddeItem>
      <ddeItem name="TSE,00679B,ADJUST_CLS" advise="1">
        <values>
          <value>
            <val>38.83</val>
          </value>
        </values>
      </ddeItem>
      <ddeItem name="TSE,00679B,ASK" advise="1">
        <values>
          <value>
            <val>38.89</val>
          </value>
        </values>
      </ddeItem>
      <ddeItem name="TSE,00679B,BID" advise="1">
        <values>
          <value>
            <val>38.880000000000003</val>
          </value>
        </values>
      </ddeItem>
      <ddeItem name="TSE,00679B,HIGH_1" advise="1">
        <values>
          <value>
            <val>38.89</val>
          </value>
        </values>
      </ddeItem>
      <ddeItem name="TSE,00679B,HST_CLOSE" advise="1">
        <values>
          <value>
            <val>0</val>
          </value>
        </values>
      </ddeItem>
      <ddeItem name="TSE,00679B,LOW_1" advise="1">
        <values>
          <value>
            <val>38.78</val>
          </value>
        </values>
      </ddeItem>
      <ddeItem name="TSE,00679B,OPEN_PRC" advise="1">
        <values>
          <value>
            <val>38.83</val>
          </value>
        </values>
      </ddeItem>
      <ddeItem name="TSE,00679B,TRDPRC_1" advise="1">
        <values>
          <value>
            <val>38.880000000000003</val>
          </value>
        </values>
      </ddeItem>
      <ddeItem name="TSE,00680L,ADJUST_CLS" advise="1">
        <values>
          <value>
            <val>21.48</val>
          </value>
        </values>
      </ddeItem>
      <ddeItem name="TSE,00680L,ASK" advise="1">
        <values>
          <value>
            <val>21.59</val>
          </value>
        </values>
      </ddeItem>
      <ddeItem name="TSE,00680L,BID" advise="1">
        <values>
          <value>
            <val>21.52</val>
          </value>
        </values>
      </ddeItem>
      <ddeItem name="TSE,00680L,HIGH_1" advise="1">
        <values>
          <value>
            <val>21.6</val>
          </value>
        </values>
      </ddeItem>
      <ddeItem name="TSE,00680L,HST_CLOSE" advise="1">
        <values>
          <value>
            <val>0</val>
          </value>
        </values>
      </ddeItem>
      <ddeItem name="TSE,00680L,LOW_1" advise="1">
        <values>
          <value>
            <val>21.52</val>
          </value>
        </values>
      </ddeItem>
      <ddeItem name="TSE,00680L,OPEN_PRC" advise="1">
        <values>
          <value>
            <val>21.52</val>
          </value>
        </values>
      </ddeItem>
      <ddeItem name="TSE,00680L,TRDPRC_1" advise="1">
        <values>
          <value>
            <val>21.55</val>
          </value>
        </values>
      </ddeItem>
      <ddeItem name="TSE,00681R,ADJUST_CLS" advise="1">
        <values>
          <value>
            <val>14.56</val>
          </value>
        </values>
      </ddeItem>
      <ddeItem name="TSE,00681R,ASK" advise="1">
        <values>
          <value>
            <val>14.55</val>
          </value>
        </values>
      </ddeItem>
      <ddeItem name="TSE,00681R,BID" advise="1">
        <values>
          <value>
            <val>14.51</val>
          </value>
        </values>
      </ddeItem>
      <ddeItem name="TSE,00681R,HIGH_1" advise="1">
        <values>
          <value>
            <val>14.58</val>
          </value>
        </values>
      </ddeItem>
      <ddeItem name="TSE,00681R,HST_CLOSE" advise="1">
        <values>
          <value>
            <val>0</val>
          </value>
        </values>
      </ddeItem>
      <ddeItem name="TSE,00681R,LOW_1" advise="1">
        <values>
          <value>
            <val>14.51</val>
          </value>
        </values>
      </ddeItem>
      <ddeItem name="TSE,00681R,OPEN_PRC" advise="1">
        <values>
          <value>
            <val>14.56</val>
          </value>
        </values>
      </ddeItem>
      <ddeItem name="TSE,00681R,TRDPRC_1" advise="1">
        <values>
          <value>
            <val>14.55</val>
          </value>
        </values>
      </ddeItem>
      <ddeItem name="TSE,00682U,ADJUST_CLS" advise="1">
        <values>
          <value>
            <val>18.04</val>
          </value>
        </values>
      </ddeItem>
      <ddeItem name="TSE,00682U,ASK" advise="1">
        <values>
          <value>
            <val>18.04</val>
          </value>
        </values>
      </ddeItem>
      <ddeItem name="TSE,00682U,BID" advise="1">
        <values>
          <value>
            <val>18.03</val>
          </value>
        </values>
      </ddeItem>
      <ddeItem name="TSE,00682U,HIGH_1" advise="1">
        <values>
          <value>
            <val>18.05</val>
          </value>
        </values>
      </ddeItem>
      <ddeItem name="TSE,00682U,HST_CLOSE" advise="1">
        <values>
          <value>
            <val>0</val>
          </value>
        </values>
      </ddeItem>
      <ddeItem name="TSE,00682U,LOW_1" advise="1">
        <values>
          <value>
            <val>18.03</val>
          </value>
        </values>
      </ddeItem>
      <ddeItem name="TSE,00682U,OPEN_PRC" advise="1">
        <values>
          <value>
            <val>18.05</val>
          </value>
        </values>
      </ddeItem>
      <ddeItem name="TSE,00682U,TRDPRC_1" advise="1">
        <values>
          <value>
            <val>18.03</val>
          </value>
        </values>
      </ddeItem>
      <ddeItem name="TSE,00683L,ADJUST_CLS" advise="1">
        <values>
          <value>
            <val>16.71</val>
          </value>
        </values>
      </ddeItem>
      <ddeItem name="TSE,00683L,ASK" advise="1">
        <values>
          <value>
            <val>16.7</val>
          </value>
        </values>
      </ddeItem>
      <ddeItem name="TSE,00683L,BID" advise="1">
        <values>
          <value>
            <val>16.690000000000001</val>
          </value>
        </values>
      </ddeItem>
      <ddeItem name="TSE,00683L,HIGH_1" advise="1">
        <values>
          <value>
            <val>16.7</val>
          </value>
        </values>
      </ddeItem>
      <ddeItem name="TSE,00683L,HST_CLOSE" advise="1">
        <values>
          <value>
            <val>0</val>
          </value>
        </values>
      </ddeItem>
      <ddeItem name="TSE,00683L,LOW_1" advise="1">
        <values>
          <value>
            <val>16.62</val>
          </value>
        </values>
      </ddeItem>
      <ddeItem name="TSE,00683L,OPEN_PRC" advise="1">
        <values>
          <value>
            <val>16.7</val>
          </value>
        </values>
      </ddeItem>
      <ddeItem name="TSE,00683L,TRDPRC_1" advise="1">
        <values>
          <value>
            <val>16.7</val>
          </value>
        </values>
      </ddeItem>
      <ddeItem name="TSE,00684R,ADJUST_CLS" advise="1">
        <values>
          <value>
            <val>19.190000000000001</val>
          </value>
        </values>
      </ddeItem>
      <ddeItem name="TSE,00684R,ASK" advise="1">
        <values>
          <value>
            <val>19.260000000000002</val>
          </value>
        </values>
      </ddeItem>
      <ddeItem name="TSE,00684R,BID" advise="1">
        <values>
          <value>
            <val>19.2</val>
          </value>
        </values>
      </ddeItem>
      <ddeItem name="TSE,00684R,HIGH_1" advise="1">
        <values>
          <value>
            <val>0</val>
          </value>
        </values>
      </ddeItem>
      <ddeItem name="TSE,00684R,HST_CLOSE" advise="1">
        <values>
          <value>
            <val>0</val>
          </value>
        </values>
      </ddeItem>
      <ddeItem name="TSE,00684R,LOW_1" advise="1">
        <values>
          <value>
            <val>0</val>
          </value>
        </values>
      </ddeItem>
      <ddeItem name="TSE,00684R,OPEN_PRC" advise="1">
        <values>
          <value>
            <val>0</val>
          </value>
        </values>
      </ddeItem>
      <ddeItem name="TSE,00684R,TRDPRC_1" advise="1">
        <values>
          <value>
            <val>0</val>
          </value>
        </values>
      </ddeItem>
      <ddeItem name="TSE,00685L,ADJUST_CLS" advise="1">
        <values>
          <value>
            <val>34.61</val>
          </value>
        </values>
      </ddeItem>
      <ddeItem name="TSE,00685L,ASK" advise="1">
        <values>
          <value>
            <val>35.44</val>
          </value>
        </values>
      </ddeItem>
      <ddeItem name="TSE,00685L,BID" advise="1">
        <values>
          <value>
            <val>35.28</val>
          </value>
        </values>
      </ddeItem>
      <ddeItem name="TSE,00685L,HIGH_1" advise="1">
        <values>
          <value>
            <val>36.28</val>
          </value>
        </values>
      </ddeItem>
      <ddeItem name="TSE,00685L,HST_CLOSE" advise="1">
        <values>
          <value>
            <val>0</val>
          </value>
        </values>
      </ddeItem>
      <ddeItem name="TSE,00685L,LOW_1" advise="1">
        <values>
          <value>
            <val>35</val>
          </value>
        </values>
      </ddeItem>
      <ddeItem name="TSE,00685L,OPEN_PRC" advise="1">
        <values>
          <value>
            <val>35.68</val>
          </value>
        </values>
      </ddeItem>
      <ddeItem name="TSE,00685L,TRDPRC_1" advise="1">
        <values>
          <value>
            <val>35.200000000000003</val>
          </value>
        </values>
      </ddeItem>
      <ddeItem name="TSE,00686R,ADJUST_CLS" advise="1">
        <values>
          <value>
            <val>4.3</val>
          </value>
        </values>
      </ddeItem>
      <ddeItem name="TSE,00686R,ASK" advise="1">
        <values>
          <value>
            <val>4.25</val>
          </value>
        </values>
      </ddeItem>
      <ddeItem name="TSE,00686R,BID" advise="1">
        <values>
          <value>
            <val>4.24</val>
          </value>
        </values>
      </ddeItem>
      <ddeItem name="TSE,00686R,HIGH_1" advise="1">
        <values>
          <value>
            <val>4.2699999999999996</val>
          </value>
        </values>
      </ddeItem>
      <ddeItem name="TSE,00686R,HST_CLOSE" advise="1">
        <values>
          <value>
            <val>0</val>
          </value>
        </values>
      </ddeItem>
      <ddeItem name="TSE,00686R,LOW_1" advise="1">
        <values>
          <value>
            <val>4.1900000000000004</val>
          </value>
        </values>
      </ddeItem>
      <ddeItem name="TSE,00686R,OPEN_PRC" advise="1">
        <values>
          <value>
            <val>4.2300000000000004</val>
          </value>
        </values>
      </ddeItem>
      <ddeItem name="TSE,00686R,TRDPRC_1" advise="1">
        <values>
          <value>
            <val>4.25</val>
          </value>
        </values>
      </ddeItem>
      <ddeItem name="TSE,00687B,ADJUST_CLS" advise="1">
        <values>
          <value>
            <val>40.49</val>
          </value>
        </values>
      </ddeItem>
      <ddeItem name="TSE,00687B,ASK" advise="1">
        <values>
          <value>
            <val>40.56</val>
          </value>
        </values>
      </ddeItem>
      <ddeItem name="TSE,00687B,BID" advise="1">
        <values>
          <value>
            <val>40.520000000000003</val>
          </value>
        </values>
      </ddeItem>
      <ddeItem name="TSE,00687B,HIGH_1" advise="1">
        <values>
          <value>
            <val>40.520000000000003</val>
          </value>
        </values>
      </ddeItem>
      <ddeItem name="TSE,00687B,HST_CLOSE" advise="1">
        <values>
          <value>
            <val>0</val>
          </value>
        </values>
      </ddeItem>
      <ddeItem name="TSE,00687B,LOW_1" advise="1">
        <values>
          <value>
            <val>40.46</val>
          </value>
        </values>
      </ddeItem>
      <ddeItem name="TSE,00687B,OPEN_PRC" advise="1">
        <values>
          <value>
            <val>40.49</val>
          </value>
        </values>
      </ddeItem>
      <ddeItem name="TSE,00687B,TRDPRC_1" advise="1">
        <values>
          <value>
            <val>40.520000000000003</val>
          </value>
        </values>
      </ddeItem>
      <ddeItem name="TSE,00688L,ADJUST_CLS" advise="1">
        <values>
          <value>
            <val>21.44</val>
          </value>
        </values>
      </ddeItem>
      <ddeItem name="TSE,00688L,ASK" advise="1">
        <values>
          <value>
            <val>21.55</val>
          </value>
        </values>
      </ddeItem>
      <ddeItem name="TSE,00688L,BID" advise="1">
        <values>
          <value>
            <val>21.51</val>
          </value>
        </values>
      </ddeItem>
      <ddeItem name="TSE,00688L,HIGH_1" advise="1">
        <values>
          <value>
            <val>21.57</val>
          </value>
        </values>
      </ddeItem>
      <ddeItem name="TSE,00688L,HST_CLOSE" advise="1">
        <values>
          <value>
            <val>0</val>
          </value>
        </values>
      </ddeItem>
      <ddeItem name="TSE,00688L,LOW_1" advise="1">
        <values>
          <value>
            <val>21.39</val>
          </value>
        </values>
      </ddeItem>
      <ddeItem name="TSE,00688L,OPEN_PRC" advise="1">
        <values>
          <value>
            <val>21.39</val>
          </value>
        </values>
      </ddeItem>
      <ddeItem name="TSE,00688L,TRDPRC_1" advise="1">
        <values>
          <value>
            <val>21.55</val>
          </value>
        </values>
      </ddeItem>
      <ddeItem name="TSE,00689R,ADJUST_CLS" advise="1">
        <values>
          <value>
            <val>15.32</val>
          </value>
        </values>
      </ddeItem>
      <ddeItem name="TSE,00689R,ASK" advise="1">
        <values>
          <value>
            <val>15.31</val>
          </value>
        </values>
      </ddeItem>
      <ddeItem name="TSE,00689R,BID" advise="1">
        <values>
          <value>
            <val>15.28</val>
          </value>
        </values>
      </ddeItem>
      <ddeItem name="TSE,00689R,HIGH_1" advise="1">
        <values>
          <value>
            <val>15.31</val>
          </value>
        </values>
      </ddeItem>
      <ddeItem name="TSE,00689R,HST_CLOSE" advise="1">
        <values>
          <value>
            <val>0</val>
          </value>
        </values>
      </ddeItem>
      <ddeItem name="TSE,00689R,LOW_1" advise="1">
        <values>
          <value>
            <val>15.29</val>
          </value>
        </values>
      </ddeItem>
      <ddeItem name="TSE,00689R,OPEN_PRC" advise="1">
        <values>
          <value>
            <val>15.31</val>
          </value>
        </values>
      </ddeItem>
      <ddeItem name="TSE,00689R,TRDPRC_1" advise="1">
        <values>
          <value>
            <val>15.29</val>
          </value>
        </values>
      </ddeItem>
      <ddeItem name="TSE,00690,ADJUST_CLS" advise="1">
        <values>
          <value>
            <val>30.2</val>
          </value>
        </values>
      </ddeItem>
      <ddeItem name="TSE,00690,ASK" advise="1">
        <values>
          <value>
            <val>30.66</val>
          </value>
        </values>
      </ddeItem>
      <ddeItem name="TSE,00690,BID" advise="1">
        <values>
          <value>
            <val>30.6</val>
          </value>
        </values>
      </ddeItem>
      <ddeItem name="TSE,00690,HIGH_1" advise="1">
        <values>
          <value>
            <val>30.84</val>
          </value>
        </values>
      </ddeItem>
      <ddeItem name="TSE,00690,HST_CLOSE" advise="1">
        <values>
          <value>
            <val>0</val>
          </value>
        </values>
      </ddeItem>
      <ddeItem name="TSE,00690,LOW_1" advise="1">
        <values>
          <value>
            <val>30.47</val>
          </value>
        </values>
      </ddeItem>
      <ddeItem name="TSE,00690,OPEN_PRC" advise="1">
        <values>
          <value>
            <val>30.52</val>
          </value>
        </values>
      </ddeItem>
      <ddeItem name="TSE,00690,TRDPRC_1" advise="1">
        <values>
          <value>
            <val>30.6</val>
          </value>
        </values>
      </ddeItem>
      <ddeItem name="TSE,00692,ADJUST_CLS" advise="1">
        <values>
          <value>
            <val>32.75</val>
          </value>
        </values>
      </ddeItem>
      <ddeItem name="TSE,00692,ASK" advise="1">
        <values>
          <value>
            <val>33.119999999999997</val>
          </value>
        </values>
      </ddeItem>
      <ddeItem name="TSE,00692,BID" advise="1">
        <values>
          <value>
            <val>33.11</val>
          </value>
        </values>
      </ddeItem>
      <ddeItem name="TSE,00692,HIGH_1" advise="1">
        <values>
          <value>
            <val>33.369999999999997</val>
          </value>
        </values>
      </ddeItem>
      <ddeItem name="TSE,00692,HST_CLOSE" advise="1">
        <values>
          <value>
            <val>0</val>
          </value>
        </values>
      </ddeItem>
      <ddeItem name="TSE,00692,LOW_1" advise="1">
        <values>
          <value>
            <val>32.81</val>
          </value>
        </values>
      </ddeItem>
      <ddeItem name="TSE,00692,OPEN_PRC" advise="1">
        <values>
          <value>
            <val>32.81</val>
          </value>
        </values>
      </ddeItem>
      <ddeItem name="TSE,00692,TRDPRC_1" advise="1">
        <values>
          <value>
            <val>33.119999999999997</val>
          </value>
        </values>
      </ddeItem>
      <ddeItem name="TSE,00693U,ADJUST_CLS" advise="1">
        <values>
          <value>
            <val>24.64</val>
          </value>
        </values>
      </ddeItem>
      <ddeItem name="TSE,00693U,ASK" advise="1">
        <values>
          <value>
            <val>24.19</val>
          </value>
        </values>
      </ddeItem>
      <ddeItem name="TSE,00693U,BID" advise="1">
        <values>
          <value>
            <val>24.18</val>
          </value>
        </values>
      </ddeItem>
      <ddeItem name="TSE,00693U,HIGH_1" advise="1">
        <values>
          <value>
            <val>24.28</val>
          </value>
        </values>
      </ddeItem>
      <ddeItem name="TSE,00693U,HST_CLOSE" advise="1">
        <values>
          <value>
            <val>0</val>
          </value>
        </values>
      </ddeItem>
      <ddeItem name="TSE,00693U,LOW_1" advise="1">
        <values>
          <value>
            <val>24.07</val>
          </value>
        </values>
      </ddeItem>
      <ddeItem name="TSE,00693U,OPEN_PRC" advise="1">
        <values>
          <value>
            <val>24.07</val>
          </value>
        </values>
      </ddeItem>
      <ddeItem name="TSE,00693U,TRDPRC_1" advise="1">
        <values>
          <value>
            <val>24.18</val>
          </value>
        </values>
      </ddeItem>
      <ddeItem name="TSE,00694B,ADJUST_CLS" advise="1">
        <values>
          <value>
            <val>37.44</val>
          </value>
        </values>
      </ddeItem>
      <ddeItem name="TSE,00694B,ASK" advise="1">
        <values>
          <value>
            <val>37.46</val>
          </value>
        </values>
      </ddeItem>
      <ddeItem name="TSE,00694B,BID" advise="1">
        <values>
          <value>
            <val>37.4</val>
          </value>
        </values>
      </ddeItem>
      <ddeItem name="TSE,00694B,HIGH_1" advise="1">
        <values>
          <value>
            <val>37.42</val>
          </value>
        </values>
      </ddeItem>
      <ddeItem name="TSE,00694B,HST_CLOSE" advise="1">
        <values>
          <value>
            <val>0</val>
          </value>
        </values>
      </ddeItem>
      <ddeItem name="TSE,00694B,LOW_1" advise="1">
        <values>
          <value>
            <val>37.36</val>
          </value>
        </values>
      </ddeItem>
      <ddeItem name="TSE,00694B,OPEN_PRC" advise="1">
        <values>
          <value>
            <val>37.36</val>
          </value>
        </values>
      </ddeItem>
      <ddeItem name="TSE,00694B,TRDPRC_1" advise="1">
        <values>
          <value>
            <val>37.4</val>
          </value>
        </values>
      </ddeItem>
      <ddeItem name="TSE,00695B,ADJUST_CLS" advise="1">
        <values>
          <value>
            <val>36.65</val>
          </value>
        </values>
      </ddeItem>
      <ddeItem name="TSE,00695B,ASK" advise="1">
        <values>
          <value>
            <val>36.700000000000003</val>
          </value>
        </values>
      </ddeItem>
      <ddeItem name="TSE,00695B,BID" advise="1">
        <values>
          <value>
            <val>36.67</val>
          </value>
        </values>
      </ddeItem>
      <ddeItem name="TSE,00695B,HIGH_1" advise="1">
        <values>
          <value>
            <val>36.69</val>
          </value>
        </values>
      </ddeItem>
      <ddeItem name="TSE,00695B,HST_CLOSE" advise="1">
        <values>
          <value>
            <val>0</val>
          </value>
        </values>
      </ddeItem>
      <ddeItem name="TSE,00695B,LOW_1" advise="1">
        <values>
          <value>
            <val>36.67</val>
          </value>
        </values>
      </ddeItem>
      <ddeItem name="TSE,00695B,OPEN_PRC" advise="1">
        <values>
          <value>
            <val>36.68</val>
          </value>
        </values>
      </ddeItem>
      <ddeItem name="TSE,00695B,TRDPRC_1" advise="1">
        <values>
          <value>
            <val>36.67</val>
          </value>
        </values>
      </ddeItem>
      <ddeItem name="TSE,00696B,ADJUST_CLS" advise="1">
        <values>
          <value>
            <val>40.32</val>
          </value>
        </values>
      </ddeItem>
      <ddeItem name="TSE,00696B,ASK" advise="1">
        <values>
          <value>
            <val>40.4</val>
          </value>
        </values>
      </ddeItem>
      <ddeItem name="TSE,00696B,BID" advise="1">
        <values>
          <value>
            <val>40.39</val>
          </value>
        </values>
      </ddeItem>
      <ddeItem name="TSE,00696B,HIGH_1" advise="1">
        <values>
          <value>
            <val>40.409999999999997</val>
          </value>
        </values>
      </ddeItem>
      <ddeItem name="TSE,00696B,HST_CLOSE" advise="1">
        <values>
          <value>
            <val>0</val>
          </value>
        </values>
      </ddeItem>
      <ddeItem name="TSE,00696B,LOW_1" advise="1">
        <values>
          <value>
            <val>40.28</val>
          </value>
        </values>
      </ddeItem>
      <ddeItem name="TSE,00696B,OPEN_PRC" advise="1">
        <values>
          <value>
            <val>40.28</val>
          </value>
        </values>
      </ddeItem>
      <ddeItem name="TSE,00696B,TRDPRC_1" advise="1">
        <values>
          <value>
            <val>40.409999999999997</val>
          </value>
        </values>
      </ddeItem>
      <ddeItem name="TSE,00697B,ADJUST_CLS" advise="1">
        <values>
          <value>
            <val>38.99</val>
          </value>
        </values>
      </ddeItem>
      <ddeItem name="TSE,00697B,ASK" advise="1">
        <values>
          <value>
            <val>39.1</val>
          </value>
        </values>
      </ddeItem>
      <ddeItem name="TSE,00697B,BID" advise="1">
        <values>
          <value>
            <val>39.049999999999997</val>
          </value>
        </values>
      </ddeItem>
      <ddeItem name="TSE,00697B,HIGH_1" advise="1">
        <values>
          <value>
            <val>39.090000000000003</val>
          </value>
        </values>
      </ddeItem>
      <ddeItem name="TSE,00697B,HST_CLOSE" advise="1">
        <values>
          <value>
            <val>0</val>
          </value>
        </values>
      </ddeItem>
      <ddeItem name="TSE,00697B,LOW_1" advise="1">
        <values>
          <value>
            <val>39.04</val>
          </value>
        </values>
      </ddeItem>
      <ddeItem name="TSE,00697B,OPEN_PRC" advise="1">
        <values>
          <value>
            <val>39.04</val>
          </value>
        </values>
      </ddeItem>
      <ddeItem name="TSE,00697B,TRDPRC_1" advise="1">
        <values>
          <value>
            <val>39.06</val>
          </value>
        </values>
      </ddeItem>
      <ddeItem name="TSE,00700,ADJUST_CLS" advise="1">
        <values>
          <value>
            <val>18.45</val>
          </value>
        </values>
      </ddeItem>
      <ddeItem name="TSE,00700,ASK" advise="1">
        <values>
          <value>
            <val>18.399999999999999</val>
          </value>
        </values>
      </ddeItem>
      <ddeItem name="TSE,00700,BID" advise="1">
        <values>
          <value>
            <val>18.32</val>
          </value>
        </values>
      </ddeItem>
      <ddeItem name="TSE,00700,HIGH_1" advise="1">
        <values>
          <value>
            <val>18.41</val>
          </value>
        </values>
      </ddeItem>
      <ddeItem name="TSE,00700,HST_CLOSE" advise="1">
        <values>
          <value>
            <val>0</val>
          </value>
        </values>
      </ddeItem>
      <ddeItem name="TSE,00700,LOW_1" advise="1">
        <values>
          <value>
            <val>18.32</val>
          </value>
        </values>
      </ddeItem>
      <ddeItem name="TSE,00700,OPEN_PRC" advise="1">
        <values>
          <value>
            <val>18.399999999999999</val>
          </value>
        </values>
      </ddeItem>
      <ddeItem name="TSE,00700,TRDPRC_1" advise="1">
        <values>
          <value>
            <val>18.36</val>
          </value>
        </values>
      </ddeItem>
      <ddeItem name="TSE,00701,ADJUST_CLS" advise="1">
        <values>
          <value>
            <val>23.2</val>
          </value>
        </values>
      </ddeItem>
      <ddeItem name="TSE,00701,ASK" advise="1">
        <values>
          <value>
            <val>23.38</val>
          </value>
        </values>
      </ddeItem>
      <ddeItem name="TSE,00701,BID" advise="1">
        <values>
          <value>
            <val>23.37</val>
          </value>
        </values>
      </ddeItem>
      <ddeItem name="TSE,00701,HIGH_1" advise="1">
        <values>
          <value>
            <val>23.52</val>
          </value>
        </values>
      </ddeItem>
      <ddeItem name="TSE,00701,HST_CLOSE" advise="1">
        <values>
          <value>
            <val>0</val>
          </value>
        </values>
      </ddeItem>
      <ddeItem name="TSE,00701,LOW_1" advise="1">
        <values>
          <value>
            <val>23.2</val>
          </value>
        </values>
      </ddeItem>
      <ddeItem name="TSE,00701,OPEN_PRC" advise="1">
        <values>
          <value>
            <val>23.4</val>
          </value>
        </values>
      </ddeItem>
      <ddeItem name="TSE,00701,TRDPRC_1" advise="1">
        <values>
          <value>
            <val>23.37</val>
          </value>
        </values>
      </ddeItem>
      <ddeItem name="TSE,00702,ADJUST_CLS" advise="1">
        <values>
          <value>
            <val>20.54</val>
          </value>
        </values>
      </ddeItem>
      <ddeItem name="TSE,00702,ASK" advise="1">
        <values>
          <value>
            <val>20.9</val>
          </value>
        </values>
      </ddeItem>
      <ddeItem name="TSE,00702,BID" advise="1">
        <values>
          <value>
            <val>20.88</val>
          </value>
        </values>
      </ddeItem>
      <ddeItem name="TSE,00702,HIGH_1" advise="1">
        <values>
          <value>
            <val>20.9</val>
          </value>
        </values>
      </ddeItem>
      <ddeItem name="TSE,00702,HST_CLOSE" advise="1">
        <values>
          <value>
            <val>0</val>
          </value>
        </values>
      </ddeItem>
      <ddeItem name="TSE,00702,LOW_1" advise="1">
        <values>
          <value>
            <val>20.86</val>
          </value>
        </values>
      </ddeItem>
      <ddeItem name="TSE,00702,OPEN_PRC" advise="1">
        <values>
          <value>
            <val>20.88</val>
          </value>
        </values>
      </ddeItem>
      <ddeItem name="TSE,00702,TRDPRC_1" advise="1">
        <values>
          <value>
            <val>20.9</val>
          </value>
        </values>
      </ddeItem>
      <ddeItem name="TSE,00703,ADJUST_CLS" advise="1">
        <values>
          <value>
            <val>23.79</val>
          </value>
        </values>
      </ddeItem>
      <ddeItem name="TSE,00703,ASK" advise="1">
        <values>
          <value>
            <val>23.42</val>
          </value>
        </values>
      </ddeItem>
      <ddeItem name="TSE,00703,BID" advise="1">
        <values>
          <value>
            <val>23.4</val>
          </value>
        </values>
      </ddeItem>
      <ddeItem name="TSE,00703,HIGH_1" advise="1">
        <values>
          <value>
            <val>23.67</val>
          </value>
        </values>
      </ddeItem>
      <ddeItem name="TSE,00703,HST_CLOSE" advise="1">
        <values>
          <value>
            <val>0</val>
          </value>
        </values>
      </ddeItem>
      <ddeItem name="TSE,00703,LOW_1" advise="1">
        <values>
          <value>
            <val>23.15</val>
          </value>
        </values>
      </ddeItem>
      <ddeItem name="TSE,00703,OPEN_PRC" advise="1">
        <values>
          <value>
            <val>23.67</val>
          </value>
        </values>
      </ddeItem>
      <ddeItem name="TSE,00703,TRDPRC_1" advise="1">
        <values>
          <value>
            <val>23.43</val>
          </value>
        </values>
      </ddeItem>
      <ddeItem name="TSE,00706L,ADJUST_CLS" advise="1">
        <values>
          <value>
            <val>16.11</val>
          </value>
        </values>
      </ddeItem>
      <ddeItem name="TSE,00706L,ASK" advise="1">
        <values>
          <value>
            <val>16.16</val>
          </value>
        </values>
      </ddeItem>
      <ddeItem name="TSE,00706L,BID" advise="1">
        <values>
          <value>
            <val>16.12</val>
          </value>
        </values>
      </ddeItem>
      <ddeItem name="TSE,00706L,HIGH_1" advise="1">
        <values>
          <value>
            <val>16.16</val>
          </value>
        </values>
      </ddeItem>
      <ddeItem name="TSE,00706L,HST_CLOSE" advise="1">
        <values>
          <value>
            <val>0</val>
          </value>
        </values>
      </ddeItem>
      <ddeItem name="TSE,00706L,LOW_1" advise="1">
        <values>
          <value>
            <val>16.11</val>
          </value>
        </values>
      </ddeItem>
      <ddeItem name="TSE,00706L,OPEN_PRC" advise="1">
        <values>
          <value>
            <val>16.14</val>
          </value>
        </values>
      </ddeItem>
      <ddeItem name="TSE,00706L,TRDPRC_1" advise="1">
        <values>
          <value>
            <val>16.16</val>
          </value>
        </values>
      </ddeItem>
      <ddeItem name="TSE,00707R,ADJUST_CLS" advise="1">
        <values>
          <value>
            <val>19.73</val>
          </value>
        </values>
      </ddeItem>
      <ddeItem name="TSE,00707R,ASK" advise="1">
        <values>
          <value>
            <val>19.75</val>
          </value>
        </values>
      </ddeItem>
      <ddeItem name="TSE,00707R,BID" advise="1">
        <values>
          <value>
            <val>19.71</val>
          </value>
        </values>
      </ddeItem>
      <ddeItem name="TSE,00707R,HIGH_1" advise="1">
        <values>
          <value>
            <val>0</val>
          </value>
        </values>
      </ddeItem>
      <ddeItem name="TSE,00707R,HST_CLOSE" advise="1">
        <values>
          <value>
            <val>0</val>
          </value>
        </values>
      </ddeItem>
      <ddeItem name="TSE,00707R,LOW_1" advise="1">
        <values>
          <value>
            <val>0</val>
          </value>
        </values>
      </ddeItem>
      <ddeItem name="TSE,00707R,OPEN_PRC" advise="1">
        <values>
          <value>
            <val>0</val>
          </value>
        </values>
      </ddeItem>
      <ddeItem name="TSE,00707R,TRDPRC_1" advise="1">
        <values>
          <value>
            <val>0</val>
          </value>
        </values>
      </ddeItem>
      <ddeItem name="TSE,00708L,ADJUST_CLS" advise="1">
        <values>
          <value>
            <val>27.2</val>
          </value>
        </values>
      </ddeItem>
      <ddeItem name="TSE,00708L,ASK" advise="1">
        <values>
          <value>
            <val>27.32</val>
          </value>
        </values>
      </ddeItem>
      <ddeItem name="TSE,00708L,BID" advise="1">
        <values>
          <value>
            <val>27.31</val>
          </value>
        </values>
      </ddeItem>
      <ddeItem name="TSE,00708L,HIGH_1" advise="1">
        <values>
          <value>
            <val>27.44</val>
          </value>
        </values>
      </ddeItem>
      <ddeItem name="TSE,00708L,HST_CLOSE" advise="1">
        <values>
          <value>
            <val>0</val>
          </value>
        </values>
      </ddeItem>
      <ddeItem name="TSE,00708L,LOW_1" advise="1">
        <values>
          <value>
            <val>27.24</val>
          </value>
        </values>
      </ddeItem>
      <ddeItem name="TSE,00708L,OPEN_PRC" advise="1">
        <values>
          <value>
            <val>27.4</val>
          </value>
        </values>
      </ddeItem>
      <ddeItem name="TSE,00708L,TRDPRC_1" advise="1">
        <values>
          <value>
            <val>27.32</val>
          </value>
        </values>
      </ddeItem>
      <ddeItem name="TSE,00709,ADJUST_CLS" advise="1">
        <values>
          <value>
            <val>23.12</val>
          </value>
        </values>
      </ddeItem>
      <ddeItem name="TSE,00709,ASK" advise="1">
        <values>
          <value>
            <val>23.4</val>
          </value>
        </values>
      </ddeItem>
      <ddeItem name="TSE,00709,BID" advise="1">
        <values>
          <value>
            <val>23.35</val>
          </value>
        </values>
      </ddeItem>
      <ddeItem name="TSE,00709,HIGH_1" advise="1">
        <values>
          <value>
            <val>23.37</val>
          </value>
        </values>
      </ddeItem>
      <ddeItem name="TSE,00709,HST_CLOSE" advise="1">
        <values>
          <value>
            <val>0</val>
          </value>
        </values>
      </ddeItem>
      <ddeItem name="TSE,00709,LOW_1" advise="1">
        <values>
          <value>
            <val>23.3</val>
          </value>
        </values>
      </ddeItem>
      <ddeItem name="TSE,00709,OPEN_PRC" advise="1">
        <values>
          <value>
            <val>23.3</val>
          </value>
        </values>
      </ddeItem>
      <ddeItem name="TSE,00709,TRDPRC_1" advise="1">
        <values>
          <value>
            <val>23.37</val>
          </value>
        </values>
      </ddeItem>
      <ddeItem name="TSE,00710B,ADJUST_CLS" advise="1">
        <values>
          <value>
            <val>18.350000000000001</val>
          </value>
        </values>
      </ddeItem>
      <ddeItem name="TSE,00710B,ASK" advise="1">
        <values>
          <value>
            <val>18.46</val>
          </value>
        </values>
      </ddeItem>
      <ddeItem name="TSE,00710B,BID" advise="1">
        <values>
          <value>
            <val>18.45</val>
          </value>
        </values>
      </ddeItem>
      <ddeItem name="TSE,00710B,HIGH_1" advise="1">
        <values>
          <value>
            <val>18.48</val>
          </value>
        </values>
      </ddeItem>
      <ddeItem name="TSE,00710B,HST_CLOSE" advise="1">
        <values>
          <value>
            <val>0</val>
          </value>
        </values>
      </ddeItem>
      <ddeItem name="TSE,00710B,LOW_1" advise="1">
        <values>
          <value>
            <val>18.38</val>
          </value>
        </values>
      </ddeItem>
      <ddeItem name="TSE,00710B,OPEN_PRC" advise="1">
        <values>
          <value>
            <val>18.39</val>
          </value>
        </values>
      </ddeItem>
      <ddeItem name="TSE,00710B,TRDPRC_1" advise="1">
        <values>
          <value>
            <val>18.46</val>
          </value>
        </values>
      </ddeItem>
      <ddeItem name="TSE,00711B,ADJUST_CLS" advise="1">
        <values>
          <value>
            <val>19.850000000000001</val>
          </value>
        </values>
      </ddeItem>
      <ddeItem name="TSE,00711B,ASK" advise="1">
        <values>
          <value>
            <val>19.93</val>
          </value>
        </values>
      </ddeItem>
      <ddeItem name="TSE,00711B,BID" advise="1">
        <values>
          <value>
            <val>19.91</val>
          </value>
        </values>
      </ddeItem>
      <ddeItem name="TSE,00711B,HIGH_1" advise="1">
        <values>
          <value>
            <val>19.93</val>
          </value>
        </values>
      </ddeItem>
      <ddeItem name="TSE,00711B,HST_CLOSE" advise="1">
        <values>
          <value>
            <val>0</val>
          </value>
        </values>
      </ddeItem>
      <ddeItem name="TSE,00711B,LOW_1" advise="1">
        <values>
          <value>
            <val>19.87</val>
          </value>
        </values>
      </ddeItem>
      <ddeItem name="TSE,00711B,OPEN_PRC" advise="1">
        <values>
          <value>
            <val>19.87</val>
          </value>
        </values>
      </ddeItem>
      <ddeItem name="TSE,00711B,TRDPRC_1" advise="1">
        <values>
          <value>
            <val>19.93</val>
          </value>
        </values>
      </ddeItem>
      <ddeItem name="TSE,00712,ADJUST_CLS" advise="1">
        <values>
          <value>
            <val>13.62</val>
          </value>
        </values>
      </ddeItem>
      <ddeItem name="TSE,00712,ASK" advise="1">
        <values>
          <value>
            <val>13.94</val>
          </value>
        </values>
      </ddeItem>
      <ddeItem name="TSE,00712,BID" advise="1">
        <values>
          <value>
            <val>13.93</val>
          </value>
        </values>
      </ddeItem>
      <ddeItem name="TSE,00712,HIGH_1" advise="1">
        <values>
          <value>
            <val>13.95</val>
          </value>
        </values>
      </ddeItem>
      <ddeItem name="TSE,00712,HST_CLOSE" advise="1">
        <values>
          <value>
            <val>0</val>
          </value>
        </values>
      </ddeItem>
      <ddeItem name="TSE,00712,LOW_1" advise="1">
        <values>
          <value>
            <val>13.84</val>
          </value>
        </values>
      </ddeItem>
      <ddeItem name="TSE,00712,OPEN_PRC" advise="1">
        <values>
          <value>
            <val>13.84</val>
          </value>
        </values>
      </ddeItem>
      <ddeItem name="TSE,00712,TRDPRC_1" advise="1">
        <values>
          <value>
            <val>13.93</val>
          </value>
        </values>
      </ddeItem>
      <ddeItem name="TSE,00713,ADJUST_CLS" advise="1">
        <values>
          <value>
            <val>40.729999999999997</val>
          </value>
        </values>
      </ddeItem>
      <ddeItem name="TSE,00713,ASK" advise="1">
        <values>
          <value>
            <val>40.450000000000003</val>
          </value>
        </values>
      </ddeItem>
      <ddeItem name="TSE,00713,BID" advise="1">
        <values>
          <value>
            <val>40.44</val>
          </value>
        </values>
      </ddeItem>
      <ddeItem name="TSE,00713,HIGH_1" advise="1">
        <values>
          <value>
            <val>41.21</val>
          </value>
        </values>
      </ddeItem>
      <ddeItem name="TSE,00713,HST_CLOSE" advise="1">
        <values>
          <value>
            <val>0</val>
          </value>
        </values>
      </ddeItem>
      <ddeItem name="TSE,00713,LOW_1" advise="1">
        <values>
          <value>
            <val>40.340000000000003</val>
          </value>
        </values>
      </ddeItem>
      <ddeItem name="TSE,00713,OPEN_PRC" advise="1">
        <values>
          <value>
            <val>40.89</val>
          </value>
        </values>
      </ddeItem>
      <ddeItem name="TSE,00713,TRDPRC_1" advise="1">
        <values>
          <value>
            <val>40.44</val>
          </value>
        </values>
      </ddeItem>
      <ddeItem name="TSE,00714,ADJUST_CLS" advise="1">
        <values>
          <value>
            <val>20.32</val>
          </value>
        </values>
      </ddeItem>
      <ddeItem name="TSE,00714,ASK" advise="1">
        <values>
          <value>
            <val>20.68</val>
          </value>
        </values>
      </ddeItem>
      <ddeItem name="TSE,00714,BID" advise="1">
        <values>
          <value>
            <val>20.63</val>
          </value>
        </values>
      </ddeItem>
      <ddeItem name="TSE,00714,HIGH_1" advise="1">
        <values>
          <value>
            <val>20.62</val>
          </value>
        </values>
      </ddeItem>
      <ddeItem name="TSE,00714,HST_CLOSE" advise="1">
        <values>
          <value>
            <val>0</val>
          </value>
        </values>
      </ddeItem>
      <ddeItem name="TSE,00714,LOW_1" advise="1">
        <values>
          <value>
            <val>20.61</val>
          </value>
        </values>
      </ddeItem>
      <ddeItem name="TSE,00714,OPEN_PRC" advise="1">
        <values>
          <value>
            <val>20.62</val>
          </value>
        </values>
      </ddeItem>
      <ddeItem name="TSE,00714,TRDPRC_1" advise="1">
        <values>
          <value>
            <val>20.62</val>
          </value>
        </values>
      </ddeItem>
      <ddeItem name="TSE,00715L,ADJUST_CLS" advise="1">
        <values>
          <value>
            <val>7.46</val>
          </value>
        </values>
      </ddeItem>
      <ddeItem name="TSE,00715L,ASK" advise="1">
        <values>
          <value>
            <val>7.18</val>
          </value>
        </values>
      </ddeItem>
      <ddeItem name="TSE,00715L,BID" advise="1">
        <values>
          <value>
            <val>7.17</val>
          </value>
        </values>
      </ddeItem>
      <ddeItem name="TSE,00715L,HIGH_1" advise="1">
        <values>
          <value>
            <val>7.2</val>
          </value>
        </values>
      </ddeItem>
      <ddeItem name="TSE,00715L,HST_CLOSE" advise="1">
        <values>
          <value>
            <val>0</val>
          </value>
        </values>
      </ddeItem>
      <ddeItem name="TSE,00715L,LOW_1" advise="1">
        <values>
          <value>
            <val>7.08</val>
          </value>
        </values>
      </ddeItem>
      <ddeItem name="TSE,00715L,OPEN_PRC" advise="1">
        <values>
          <value>
            <val>7.2</val>
          </value>
        </values>
      </ddeItem>
      <ddeItem name="TSE,00715L,TRDPRC_1" advise="1">
        <values>
          <value>
            <val>7.18</val>
          </value>
        </values>
      </ddeItem>
      <ddeItem name="TSE,00717,ADJUST_CLS" advise="1">
        <values>
          <value>
            <val>16.48</val>
          </value>
        </values>
      </ddeItem>
      <ddeItem name="TSE,00717,ASK" advise="1">
        <values>
          <value>
            <val>16.55</val>
          </value>
        </values>
      </ddeItem>
      <ddeItem name="TSE,00717,BID" advise="1">
        <values>
          <value>
            <val>16.54</val>
          </value>
        </values>
      </ddeItem>
      <ddeItem name="TSE,00717,HIGH_1" advise="1">
        <values>
          <value>
            <val>16.55</val>
          </value>
        </values>
      </ddeItem>
      <ddeItem name="TSE,00717,HST_CLOSE" advise="1">
        <values>
          <value>
            <val>0</val>
          </value>
        </values>
      </ddeItem>
      <ddeItem name="TSE,00717,LOW_1" advise="1">
        <values>
          <value>
            <val>16.489999999999998</val>
          </value>
        </values>
      </ddeItem>
      <ddeItem name="TSE,00717,OPEN_PRC" advise="1">
        <values>
          <value>
            <val>16.489999999999998</val>
          </value>
        </values>
      </ddeItem>
      <ddeItem name="TSE,00717,TRDPRC_1" advise="1">
        <values>
          <value>
            <val>16.54</val>
          </value>
        </values>
      </ddeItem>
      <ddeItem name="TSE,00718B,ADJUST_CLS" advise="1">
        <values>
          <value>
            <val>19.600000000000001</val>
          </value>
        </values>
      </ddeItem>
      <ddeItem name="TSE,00718B,ASK" advise="1">
        <values>
          <value>
            <val>19.670000000000002</val>
          </value>
        </values>
      </ddeItem>
      <ddeItem name="TSE,00718B,BID" advise="1">
        <values>
          <value>
            <val>19.66</val>
          </value>
        </values>
      </ddeItem>
      <ddeItem name="TSE,00718B,HIGH_1" advise="1">
        <values>
          <value>
            <val>19.670000000000002</val>
          </value>
        </values>
      </ddeItem>
      <ddeItem name="TSE,00718B,HST_CLOSE" advise="1">
        <values>
          <value>
            <val>0</val>
          </value>
        </values>
      </ddeItem>
      <ddeItem name="TSE,00718B,LOW_1" advise="1">
        <values>
          <value>
            <val>19.600000000000001</val>
          </value>
        </values>
      </ddeItem>
      <ddeItem name="TSE,00718B,OPEN_PRC" advise="1">
        <values>
          <value>
            <val>19.600000000000001</val>
          </value>
        </values>
      </ddeItem>
      <ddeItem name="TSE,00718B,TRDPRC_1" advise="1">
        <values>
          <value>
            <val>19.66</val>
          </value>
        </values>
      </ddeItem>
      <ddeItem name="TSE,00719B,ADJUST_CLS" advise="1">
        <values>
          <value>
            <val>30.16</val>
          </value>
        </values>
      </ddeItem>
      <ddeItem name="TSE,00719B,ASK" advise="1">
        <values>
          <value>
            <val>30.2</val>
          </value>
        </values>
      </ddeItem>
      <ddeItem name="TSE,00719B,BID" advise="1">
        <values>
          <value>
            <val>30.12</val>
          </value>
        </values>
      </ddeItem>
      <ddeItem name="TSE,00719B,HIGH_1" advise="1">
        <values>
          <value>
            <val>30.18</val>
          </value>
        </values>
      </ddeItem>
      <ddeItem name="TSE,00719B,HST_CLOSE" advise="1">
        <values>
          <value>
            <val>0</val>
          </value>
        </values>
      </ddeItem>
      <ddeItem name="TSE,00719B,LOW_1" advise="1">
        <values>
          <value>
            <val>30.12</val>
          </value>
        </values>
      </ddeItem>
      <ddeItem name="TSE,00719B,OPEN_PRC" advise="1">
        <values>
          <value>
            <val>30.15</val>
          </value>
        </values>
      </ddeItem>
      <ddeItem name="TSE,00719B,TRDPRC_1" advise="1">
        <values>
          <value>
            <val>30.15</val>
          </value>
        </values>
      </ddeItem>
      <ddeItem name="TSE,00720B,ADJUST_CLS" advise="1">
        <values>
          <value>
            <val>41.67</val>
          </value>
        </values>
      </ddeItem>
      <ddeItem name="TSE,00720B,ASK" advise="1">
        <values>
          <value>
            <val>41.8</val>
          </value>
        </values>
      </ddeItem>
      <ddeItem name="TSE,00720B,BID" advise="1">
        <values>
          <value>
            <val>41.79</val>
          </value>
        </values>
      </ddeItem>
      <ddeItem name="TSE,00720B,HIGH_1" advise="1">
        <values>
          <value>
            <val>41.85</val>
          </value>
        </values>
      </ddeItem>
      <ddeItem name="TSE,00720B,HST_CLOSE" advise="1">
        <values>
          <value>
            <val>0</val>
          </value>
        </values>
      </ddeItem>
      <ddeItem name="TSE,00720B,LOW_1" advise="1">
        <values>
          <value>
            <val>41.7</val>
          </value>
        </values>
      </ddeItem>
      <ddeItem name="TSE,00720B,OPEN_PRC" advise="1">
        <values>
          <value>
            <val>41.7</val>
          </value>
        </values>
      </ddeItem>
      <ddeItem name="TSE,00720B,TRDPRC_1" advise="1">
        <values>
          <value>
            <val>41.85</val>
          </value>
        </values>
      </ddeItem>
      <ddeItem name="TSE,00721B,ADJUST_CLS" advise="1">
        <values>
          <value>
            <val>45.14</val>
          </value>
        </values>
      </ddeItem>
      <ddeItem name="TSE,00721B,ASK" advise="1">
        <values>
          <value>
            <val>45.05</val>
          </value>
        </values>
      </ddeItem>
      <ddeItem name="TSE,00721B,BID" advise="1">
        <values>
          <value>
            <val>45.02</val>
          </value>
        </values>
      </ddeItem>
      <ddeItem name="TSE,00721B,HIGH_1" advise="1">
        <values>
          <value>
            <val>45.06</val>
          </value>
        </values>
      </ddeItem>
      <ddeItem name="TSE,00721B,HST_CLOSE" advise="1">
        <values>
          <value>
            <val>0</val>
          </value>
        </values>
      </ddeItem>
      <ddeItem name="TSE,00721B,LOW_1" advise="1">
        <values>
          <value>
            <val>44.98</val>
          </value>
        </values>
      </ddeItem>
      <ddeItem name="TSE,00721B,OPEN_PRC" advise="1">
        <values>
          <value>
            <val>44.98</val>
          </value>
        </values>
      </ddeItem>
      <ddeItem name="TSE,00721B,TRDPRC_1" advise="1">
        <values>
          <value>
            <val>45.05</val>
          </value>
        </values>
      </ddeItem>
      <ddeItem name="TSE,00722B,ADJUST_CLS" advise="1">
        <values>
          <value>
            <val>44.16</val>
          </value>
        </values>
      </ddeItem>
      <ddeItem name="TSE,00722B,ASK" advise="1">
        <values>
          <value>
            <val>44.3</val>
          </value>
        </values>
      </ddeItem>
      <ddeItem name="TSE,00722B,BID" advise="1">
        <values>
          <value>
            <val>44.27</val>
          </value>
        </values>
      </ddeItem>
      <ddeItem name="TSE,00722B,HIGH_1" advise="1">
        <values>
          <value>
            <val>44.3</val>
          </value>
        </values>
      </ddeItem>
      <ddeItem name="TSE,00722B,HST_CLOSE" advise="1">
        <values>
          <value>
            <val>0</val>
          </value>
        </values>
      </ddeItem>
      <ddeItem name="TSE,00722B,LOW_1" advise="1">
        <values>
          <value>
            <val>44.2</val>
          </value>
        </values>
      </ddeItem>
      <ddeItem name="TSE,00722B,OPEN_PRC" advise="1">
        <values>
          <value>
            <val>44.22</val>
          </value>
        </values>
      </ddeItem>
      <ddeItem name="TSE,00722B,TRDPRC_1" advise="1">
        <values>
          <value>
            <val>44.3</val>
          </value>
        </values>
      </ddeItem>
      <ddeItem name="TSE,00723B,ADJUST_CLS" advise="1">
        <values>
          <value>
            <val>40.090000000000003</val>
          </value>
        </values>
      </ddeItem>
      <ddeItem name="TSE,00723B,ASK" advise="1">
        <values>
          <value>
            <val>40.299999999999997</val>
          </value>
        </values>
      </ddeItem>
      <ddeItem name="TSE,00723B,BID" advise="1">
        <values>
          <value>
            <val>40.22</val>
          </value>
        </values>
      </ddeItem>
      <ddeItem name="TSE,00723B,HIGH_1" advise="1">
        <values>
          <value>
            <val>40.22</val>
          </value>
        </values>
      </ddeItem>
      <ddeItem name="TSE,00723B,HST_CLOSE" advise="1">
        <values>
          <value>
            <val>0</val>
          </value>
        </values>
      </ddeItem>
      <ddeItem name="TSE,00723B,LOW_1" advise="1">
        <values>
          <value>
            <val>40.130000000000003</val>
          </value>
        </values>
      </ddeItem>
      <ddeItem name="TSE,00723B,OPEN_PRC" advise="1">
        <values>
          <value>
            <val>40.130000000000003</val>
          </value>
        </values>
      </ddeItem>
      <ddeItem name="TSE,00723B,TRDPRC_1" advise="1">
        <values>
          <value>
            <val>40.22</val>
          </value>
        </values>
      </ddeItem>
      <ddeItem name="TSE,00724B,ADJUST_CLS" advise="1">
        <values>
          <value>
            <val>40.01</val>
          </value>
        </values>
      </ddeItem>
      <ddeItem name="TSE,00724B,ASK" advise="1">
        <values>
          <value>
            <val>40.299999999999997</val>
          </value>
        </values>
      </ddeItem>
      <ddeItem name="TSE,00724B,BID" advise="1">
        <values>
          <value>
            <val>40.28</val>
          </value>
        </values>
      </ddeItem>
      <ddeItem name="TSE,00724B,HIGH_1" advise="1">
        <values>
          <value>
            <val>40.369999999999997</val>
          </value>
        </values>
      </ddeItem>
      <ddeItem name="TSE,00724B,HST_CLOSE" advise="1">
        <values>
          <value>
            <val>0</val>
          </value>
        </values>
      </ddeItem>
      <ddeItem name="TSE,00724B,LOW_1" advise="1">
        <values>
          <value>
            <val>40.26</val>
          </value>
        </values>
      </ddeItem>
      <ddeItem name="TSE,00724B,OPEN_PRC" advise="1">
        <values>
          <value>
            <val>40.299999999999997</val>
          </value>
        </values>
      </ddeItem>
      <ddeItem name="TSE,00724B,TRDPRC_1" advise="1">
        <values>
          <value>
            <val>40.369999999999997</val>
          </value>
        </values>
      </ddeItem>
      <ddeItem name="TSE,00725B,ADJUST_CLS" advise="1">
        <values>
          <value>
            <val>42.16</val>
          </value>
        </values>
      </ddeItem>
      <ddeItem name="TSE,00725B,ASK" advise="1">
        <values>
          <value>
            <val>42.3</val>
          </value>
        </values>
      </ddeItem>
      <ddeItem name="TSE,00725B,BID" advise="1">
        <values>
          <value>
            <val>42.28</val>
          </value>
        </values>
      </ddeItem>
      <ddeItem name="TSE,00725B,HIGH_1" advise="1">
        <values>
          <value>
            <val>42.3</val>
          </value>
        </values>
      </ddeItem>
      <ddeItem name="TSE,00725B,HST_CLOSE" advise="1">
        <values>
          <value>
            <val>0</val>
          </value>
        </values>
      </ddeItem>
      <ddeItem name="TSE,00725B,LOW_1" advise="1">
        <values>
          <value>
            <val>42.23</val>
          </value>
        </values>
      </ddeItem>
      <ddeItem name="TSE,00725B,OPEN_PRC" advise="1">
        <values>
          <value>
            <val>42.23</val>
          </value>
        </values>
      </ddeItem>
      <ddeItem name="TSE,00725B,TRDPRC_1" advise="1">
        <values>
          <value>
            <val>42.3</val>
          </value>
        </values>
      </ddeItem>
      <ddeItem name="TSE,00726B,ADJUST_CLS" advise="1">
        <values>
          <value>
            <val>41.35</val>
          </value>
        </values>
      </ddeItem>
      <ddeItem name="TSE,00726B,ASK" advise="1">
        <values>
          <value>
            <val>41.33</val>
          </value>
        </values>
      </ddeItem>
      <ddeItem name="TSE,00726B,BID" advise="1">
        <values>
          <value>
            <val>41.22</val>
          </value>
        </values>
      </ddeItem>
      <ddeItem name="TSE,00726B,HIGH_1" advise="1">
        <values>
          <value>
            <val>41.3</val>
          </value>
        </values>
      </ddeItem>
      <ddeItem name="TSE,00726B,HST_CLOSE" advise="1">
        <values>
          <value>
            <val>0</val>
          </value>
        </values>
      </ddeItem>
      <ddeItem name="TSE,00726B,LOW_1" advise="1">
        <values>
          <value>
            <val>41.2</val>
          </value>
        </values>
      </ddeItem>
      <ddeItem name="TSE,00726B,OPEN_PRC" advise="1">
        <values>
          <value>
            <val>41.2</val>
          </value>
        </values>
      </ddeItem>
      <ddeItem name="TSE,00726B,TRDPRC_1" advise="1">
        <values>
          <value>
            <val>41.3</val>
          </value>
        </values>
      </ddeItem>
      <ddeItem name="TSE,00727B,ADJUST_CLS" advise="1">
        <values>
          <value>
            <val>38.340000000000003</val>
          </value>
        </values>
      </ddeItem>
      <ddeItem name="TSE,00727B,ASK" advise="1">
        <values>
          <value>
            <val>38.35</val>
          </value>
        </values>
      </ddeItem>
      <ddeItem name="TSE,00727B,BID" advise="1">
        <values>
          <value>
            <val>38.340000000000003</val>
          </value>
        </values>
      </ddeItem>
      <ddeItem name="TSE,00727B,HIGH_1" advise="1">
        <values>
          <value>
            <val>38.35</val>
          </value>
        </values>
      </ddeItem>
      <ddeItem name="TSE,00727B,HST_CLOSE" advise="1">
        <values>
          <value>
            <val>0</val>
          </value>
        </values>
      </ddeItem>
      <ddeItem name="TSE,00727B,LOW_1" advise="1">
        <values>
          <value>
            <val>38.299999999999997</val>
          </value>
        </values>
      </ddeItem>
      <ddeItem name="TSE,00727B,OPEN_PRC" advise="1">
        <values>
          <value>
            <val>38.340000000000003</val>
          </value>
        </values>
      </ddeItem>
      <ddeItem name="TSE,00727B,TRDPRC_1" advise="1">
        <values>
          <value>
            <val>38.35</val>
          </value>
        </values>
      </ddeItem>
      <ddeItem name="TSE,00728,ADJUST_CLS" advise="1">
        <values>
          <value>
            <val>26.07</val>
          </value>
        </values>
      </ddeItem>
      <ddeItem name="TSE,00728,ASK" advise="1">
        <values>
          <value>
            <val>26.46</val>
          </value>
        </values>
      </ddeItem>
      <ddeItem name="TSE,00728,BID" advise="1">
        <values>
          <value>
            <val>26.45</val>
          </value>
        </values>
      </ddeItem>
      <ddeItem name="TSE,00728,HIGH_1" advise="1">
        <values>
          <value>
            <val>26.64</val>
          </value>
        </values>
      </ddeItem>
      <ddeItem name="TSE,00728,HST_CLOSE" advise="1">
        <values>
          <value>
            <val>0</val>
          </value>
        </values>
      </ddeItem>
      <ddeItem name="TSE,00728,LOW_1" advise="1">
        <values>
          <value>
            <val>26.27</val>
          </value>
        </values>
      </ddeItem>
      <ddeItem name="TSE,00728,OPEN_PRC" advise="1">
        <values>
          <value>
            <val>26.5</val>
          </value>
        </values>
      </ddeItem>
      <ddeItem name="TSE,00728,TRDPRC_1" advise="1">
        <values>
          <value>
            <val>26.45</val>
          </value>
        </values>
      </ddeItem>
      <ddeItem name="TSE,00730,ADJUST_CLS" advise="1">
        <values>
          <value>
            <val>20.29</val>
          </value>
        </values>
      </ddeItem>
      <ddeItem name="TSE,00730,ASK" advise="1">
        <values>
          <value>
            <val>20.420000000000002</val>
          </value>
        </values>
      </ddeItem>
      <ddeItem name="TSE,00730,BID" advise="1">
        <values>
          <value>
            <val>20.399999999999999</val>
          </value>
        </values>
      </ddeItem>
      <ddeItem name="TSE,00730,HIGH_1" advise="1">
        <values>
          <value>
            <val>20.63</val>
          </value>
        </values>
      </ddeItem>
      <ddeItem name="TSE,00730,HST_CLOSE" advise="1">
        <values>
          <value>
            <val>0</val>
          </value>
        </values>
      </ddeItem>
      <ddeItem name="TSE,00730,LOW_1" advise="1">
        <values>
          <value>
            <val>20.3</val>
          </value>
        </values>
      </ddeItem>
      <ddeItem name="TSE,00730,OPEN_PRC" advise="1">
        <values>
          <value>
            <val>20.3</val>
          </value>
        </values>
      </ddeItem>
      <ddeItem name="TSE,00730,TRDPRC_1" advise="1">
        <values>
          <value>
            <val>20.399999999999999</val>
          </value>
        </values>
      </ddeItem>
      <ddeItem name="TSE,00731,ADJUST_CLS" advise="1">
        <values>
          <value>
            <val>55.35</val>
          </value>
        </values>
      </ddeItem>
      <ddeItem name="TSE,00731,ASK" advise="1">
        <values>
          <value>
            <val>55.85</val>
          </value>
        </values>
      </ddeItem>
      <ddeItem name="TSE,00731,BID" advise="1">
        <values>
          <value>
            <val>55.7</val>
          </value>
        </values>
      </ddeItem>
      <ddeItem name="TSE,00731,HIGH_1" advise="1">
        <values>
          <value>
            <val>56</val>
          </value>
        </values>
      </ddeItem>
      <ddeItem name="TSE,00731,HST_CLOSE" advise="1">
        <values>
          <value>
            <val>0</val>
          </value>
        </values>
      </ddeItem>
      <ddeItem name="TSE,00731,LOW_1" advise="1">
        <values>
          <value>
            <val>55.35</val>
          </value>
        </values>
      </ddeItem>
      <ddeItem name="TSE,00731,OPEN_PRC" advise="1">
        <values>
          <value>
            <val>55.35</val>
          </value>
        </values>
      </ddeItem>
      <ddeItem name="TSE,00731,TRDPRC_1" advise="1">
        <values>
          <value>
            <val>55.85</val>
          </value>
        </values>
      </ddeItem>
      <ddeItem name="TSE,00732,ADJUST_CLS" advise="1">
        <values>
          <value>
            <val>39.75</val>
          </value>
        </values>
      </ddeItem>
      <ddeItem name="TSE,00732,ASK" advise="1">
        <values>
          <value>
            <val>39.65</val>
          </value>
        </values>
      </ddeItem>
      <ddeItem name="TSE,00732,BID" advise="1">
        <values>
          <value>
            <val>39.590000000000003</val>
          </value>
        </values>
      </ddeItem>
      <ddeItem name="TSE,00732,HIGH_1" advise="1">
        <values>
          <value>
            <val>39.69</val>
          </value>
        </values>
      </ddeItem>
      <ddeItem name="TSE,00732,HST_CLOSE" advise="1">
        <values>
          <value>
            <val>0</val>
          </value>
        </values>
      </ddeItem>
      <ddeItem name="TSE,00732,LOW_1" advise="1">
        <values>
          <value>
            <val>39.69</val>
          </value>
        </values>
      </ddeItem>
      <ddeItem name="TSE,00732,OPEN_PRC" advise="1">
        <values>
          <value>
            <val>39.69</val>
          </value>
        </values>
      </ddeItem>
      <ddeItem name="TSE,00732,TRDPRC_1" advise="1">
        <values>
          <value>
            <val>39.69</val>
          </value>
        </values>
      </ddeItem>
      <ddeItem name="TSE,00733,ADJUST_CLS" advise="1">
        <values>
          <value>
            <val>37.72</val>
          </value>
        </values>
      </ddeItem>
      <ddeItem name="TSE,00733,ASK" advise="1">
        <values>
          <value>
            <val>37.520000000000003</val>
          </value>
        </values>
      </ddeItem>
      <ddeItem name="TSE,00733,BID" advise="1">
        <values>
          <value>
            <val>37.5</val>
          </value>
        </values>
      </ddeItem>
      <ddeItem name="TSE,00733,HIGH_1" advise="1">
        <values>
          <value>
            <val>39</val>
          </value>
        </values>
      </ddeItem>
      <ddeItem name="TSE,00733,HST_CLOSE" advise="1">
        <values>
          <value>
            <val>0</val>
          </value>
        </values>
      </ddeItem>
      <ddeItem name="TSE,00733,LOW_1" advise="1">
        <values>
          <value>
            <val>37.15</val>
          </value>
        </values>
      </ddeItem>
      <ddeItem name="TSE,00733,OPEN_PRC" advise="1">
        <values>
          <value>
            <val>38.46</val>
          </value>
        </values>
      </ddeItem>
      <ddeItem name="TSE,00733,TRDPRC_1" advise="1">
        <values>
          <value>
            <val>37.5</val>
          </value>
        </values>
      </ddeItem>
      <ddeItem name="TSE,00734B,ADJUST_CLS" advise="1">
        <values>
          <value>
            <val>19.21</val>
          </value>
        </values>
      </ddeItem>
      <ddeItem name="TSE,00734B,ASK" advise="1">
        <values>
          <value>
            <val>19.239999999999998</val>
          </value>
        </values>
      </ddeItem>
      <ddeItem name="TSE,00734B,BID" advise="1">
        <values>
          <value>
            <val>19.21</val>
          </value>
        </values>
      </ddeItem>
      <ddeItem name="TSE,00734B,HIGH_1" advise="1">
        <values>
          <value>
            <val>19.25</val>
          </value>
        </values>
      </ddeItem>
      <ddeItem name="TSE,00734B,HST_CLOSE" advise="1">
        <values>
          <value>
            <val>0</val>
          </value>
        </values>
      </ddeItem>
      <ddeItem name="TSE,00734B,LOW_1" advise="1">
        <values>
          <value>
            <val>19.21</val>
          </value>
        </values>
      </ddeItem>
      <ddeItem name="TSE,00734B,OPEN_PRC" advise="1">
        <values>
          <value>
            <val>19.239999999999998</val>
          </value>
        </values>
      </ddeItem>
      <ddeItem name="TSE,00734B,TRDPRC_1" advise="1">
        <values>
          <value>
            <val>19.21</val>
          </value>
        </values>
      </ddeItem>
      <ddeItem name="TSE,00735,ADJUST_CLS" advise="1">
        <values>
          <value>
            <val>31.6</val>
          </value>
        </values>
      </ddeItem>
      <ddeItem name="TSE,00735,ASK" advise="1">
        <values>
          <value>
            <val>31.8</val>
          </value>
        </values>
      </ddeItem>
      <ddeItem name="TSE,00735,BID" advise="1">
        <values>
          <value>
            <val>31.75</val>
          </value>
        </values>
      </ddeItem>
      <ddeItem name="TSE,00735,HIGH_1" advise="1">
        <values>
          <value>
            <val>32.049999999999997</val>
          </value>
        </values>
      </ddeItem>
      <ddeItem name="TSE,00735,HST_CLOSE" advise="1">
        <values>
          <value>
            <val>0</val>
          </value>
        </values>
      </ddeItem>
      <ddeItem name="TSE,00735,LOW_1" advise="1">
        <values>
          <value>
            <val>31.64</val>
          </value>
        </values>
      </ddeItem>
      <ddeItem name="TSE,00735,OPEN_PRC" advise="1">
        <values>
          <value>
            <val>31.64</val>
          </value>
        </values>
      </ddeItem>
      <ddeItem name="TSE,00735,TRDPRC_1" advise="1">
        <values>
          <value>
            <val>31.69</val>
          </value>
        </values>
      </ddeItem>
      <ddeItem name="TSE,00736,ADJUST_CLS" advise="1">
        <values>
          <value>
            <val>22.55</val>
          </value>
        </values>
      </ddeItem>
      <ddeItem name="TSE,00736,ASK" advise="1">
        <values>
          <value>
            <val>22.58</val>
          </value>
        </values>
      </ddeItem>
      <ddeItem name="TSE,00736,BID" advise="1">
        <values>
          <value>
            <val>22.57</val>
          </value>
        </values>
      </ddeItem>
      <ddeItem name="TSE,00736,HIGH_1" advise="1">
        <values>
          <value>
            <val>22.59</val>
          </value>
        </values>
      </ddeItem>
      <ddeItem name="TSE,00736,HST_CLOSE" advise="1">
        <values>
          <value>
            <val>0</val>
          </value>
        </values>
      </ddeItem>
      <ddeItem name="TSE,00736,LOW_1" advise="1">
        <values>
          <value>
            <val>22.5</val>
          </value>
        </values>
      </ddeItem>
      <ddeItem name="TSE,00736,OPEN_PRC" advise="1">
        <values>
          <value>
            <val>22.56</val>
          </value>
        </values>
      </ddeItem>
      <ddeItem name="TSE,00736,TRDPRC_1" advise="1">
        <values>
          <value>
            <val>22.58</val>
          </value>
        </values>
      </ddeItem>
      <ddeItem name="TSE,00737,ADJUST_CLS" advise="1">
        <values>
          <value>
            <val>30</val>
          </value>
        </values>
      </ddeItem>
      <ddeItem name="TSE,00737,ASK" advise="1">
        <values>
          <value>
            <val>30.27</val>
          </value>
        </values>
      </ddeItem>
      <ddeItem name="TSE,00737,BID" advise="1">
        <values>
          <value>
            <val>30.23</val>
          </value>
        </values>
      </ddeItem>
      <ddeItem name="TSE,00737,HIGH_1" advise="1">
        <values>
          <value>
            <val>30.27</val>
          </value>
        </values>
      </ddeItem>
      <ddeItem name="TSE,00737,HST_CLOSE" advise="1">
        <values>
          <value>
            <val>0</val>
          </value>
        </values>
      </ddeItem>
      <ddeItem name="TSE,00737,LOW_1" advise="1">
        <values>
          <value>
            <val>30</val>
          </value>
        </values>
      </ddeItem>
      <ddeItem name="TSE,00737,OPEN_PRC" advise="1">
        <values>
          <value>
            <val>30</val>
          </value>
        </values>
      </ddeItem>
      <ddeItem name="TSE,00737,TRDPRC_1" advise="1">
        <values>
          <value>
            <val>30.27</val>
          </value>
        </values>
      </ddeItem>
      <ddeItem name="TSE,00738U,ADJUST_CLS" advise="1">
        <values>
          <value>
            <val>27.96</val>
          </value>
        </values>
      </ddeItem>
      <ddeItem name="TSE,00738U,ASK" advise="1">
        <values>
          <value>
            <val>27.93</val>
          </value>
        </values>
      </ddeItem>
      <ddeItem name="TSE,00738U,BID" advise="1">
        <values>
          <value>
            <val>27.91</val>
          </value>
        </values>
      </ddeItem>
      <ddeItem name="TSE,00738U,HIGH_1" advise="1">
        <values>
          <value>
            <val>28.1</val>
          </value>
        </values>
      </ddeItem>
      <ddeItem name="TSE,00738U,HST_CLOSE" advise="1">
        <values>
          <value>
            <val>0</val>
          </value>
        </values>
      </ddeItem>
      <ddeItem name="TSE,00738U,LOW_1" advise="1">
        <values>
          <value>
            <val>27.87</val>
          </value>
        </values>
      </ddeItem>
      <ddeItem name="TSE,00738U,OPEN_PRC" advise="1">
        <values>
          <value>
            <val>28.05</val>
          </value>
        </values>
      </ddeItem>
      <ddeItem name="TSE,00738U,TRDPRC_1" advise="1">
        <values>
          <value>
            <val>27.91</val>
          </value>
        </values>
      </ddeItem>
      <ddeItem name="TSE,00739,ADJUST_CLS" advise="1">
        <values>
          <value>
            <val>27.1</val>
          </value>
        </values>
      </ddeItem>
      <ddeItem name="TSE,00739,ASK" advise="1">
        <values>
          <value>
            <val>27.78</val>
          </value>
        </values>
      </ddeItem>
      <ddeItem name="TSE,00739,BID" advise="1">
        <values>
          <value>
            <val>27.77</val>
          </value>
        </values>
      </ddeItem>
      <ddeItem name="TSE,00739,HIGH_1" advise="1">
        <values>
          <value>
            <val>27.85</val>
          </value>
        </values>
      </ddeItem>
      <ddeItem name="TSE,00739,HST_CLOSE" advise="1">
        <values>
          <value>
            <val>0</val>
          </value>
        </values>
      </ddeItem>
      <ddeItem name="TSE,00739,LOW_1" advise="1">
        <values>
          <value>
            <val>27.2</val>
          </value>
        </values>
      </ddeItem>
      <ddeItem name="TSE,00739,OPEN_PRC" advise="1">
        <values>
          <value>
            <val>27.35</val>
          </value>
        </values>
      </ddeItem>
      <ddeItem name="TSE,00739,TRDPRC_1" advise="1">
        <values>
          <value>
            <val>27.77</val>
          </value>
        </values>
      </ddeItem>
      <ddeItem name="TSE,00740B,ADJUST_CLS" advise="1">
        <values>
          <value>
            <val>45.15</val>
          </value>
        </values>
      </ddeItem>
      <ddeItem name="TSE,00740B,ASK" advise="1">
        <values>
          <value>
            <val>45.33</val>
          </value>
        </values>
      </ddeItem>
      <ddeItem name="TSE,00740B,BID" advise="1">
        <values>
          <value>
            <val>45.25</val>
          </value>
        </values>
      </ddeItem>
      <ddeItem name="TSE,00740B,HIGH_1" advise="1">
        <values>
          <value>
            <val>45.32</val>
          </value>
        </values>
      </ddeItem>
      <ddeItem name="TSE,00740B,HST_CLOSE" advise="1">
        <values>
          <value>
            <val>0</val>
          </value>
        </values>
      </ddeItem>
      <ddeItem name="TSE,00740B,LOW_1" advise="1">
        <values>
          <value>
            <val>45.19</val>
          </value>
        </values>
      </ddeItem>
      <ddeItem name="TSE,00740B,OPEN_PRC" advise="1">
        <values>
          <value>
            <val>45.19</val>
          </value>
        </values>
      </ddeItem>
      <ddeItem name="TSE,00740B,TRDPRC_1" advise="1">
        <values>
          <value>
            <val>45.32</val>
          </value>
        </values>
      </ddeItem>
      <ddeItem name="TSE,00741B,ADJUST_CLS" advise="1">
        <values>
          <value>
            <val>37.450000000000003</val>
          </value>
        </values>
      </ddeItem>
      <ddeItem name="TSE,00741B,ASK" advise="1">
        <values>
          <value>
            <val>37.46</val>
          </value>
        </values>
      </ddeItem>
      <ddeItem name="TSE,00741B,BID" advise="1">
        <values>
          <value>
            <val>37.39</val>
          </value>
        </values>
      </ddeItem>
      <ddeItem name="TSE,00741B,HIGH_1" advise="1">
        <values>
          <value>
            <val>37.450000000000003</val>
          </value>
        </values>
      </ddeItem>
      <ddeItem name="TSE,00741B,HST_CLOSE" advise="1">
        <values>
          <value>
            <val>0</val>
          </value>
        </values>
      </ddeItem>
      <ddeItem name="TSE,00741B,LOW_1" advise="1">
        <values>
          <value>
            <val>37.35</val>
          </value>
        </values>
      </ddeItem>
      <ddeItem name="TSE,00741B,OPEN_PRC" advise="1">
        <values>
          <value>
            <val>37.42</val>
          </value>
        </values>
      </ddeItem>
      <ddeItem name="TSE,00741B,TRDPRC_1" advise="1">
        <values>
          <value>
            <val>37.409999999999997</val>
          </value>
        </values>
      </ddeItem>
      <ddeItem name="TSE,00742,ADJUST_CLS" advise="1">
        <values>
          <value>
            <val>21.6</val>
          </value>
        </values>
      </ddeItem>
      <ddeItem name="TSE,00742,ASK" advise="1">
        <values>
          <value>
            <val>21.8</val>
          </value>
        </values>
      </ddeItem>
      <ddeItem name="TSE,00742,BID" advise="1">
        <values>
          <value>
            <val>21.72</val>
          </value>
        </values>
      </ddeItem>
      <ddeItem name="TSE,00742,HIGH_1" advise="1">
        <values>
          <value>
            <val>21.83</val>
          </value>
        </values>
      </ddeItem>
      <ddeItem name="TSE,00742,HST_CLOSE" advise="1">
        <values>
          <value>
            <val>0</val>
          </value>
        </values>
      </ddeItem>
      <ddeItem name="TSE,00742,LOW_1" advise="1">
        <values>
          <value>
            <val>21.6</val>
          </value>
        </values>
      </ddeItem>
      <ddeItem name="TSE,00742,OPEN_PRC" advise="1">
        <values>
          <value>
            <val>21.82</val>
          </value>
        </values>
      </ddeItem>
      <ddeItem name="TSE,00742,TRDPRC_1" advise="1">
        <values>
          <value>
            <val>21.75</val>
          </value>
        </values>
      </ddeItem>
      <ddeItem name="TSE,00743,ADJUST_CLS" advise="1">
        <values>
          <value>
            <val>28.49</val>
          </value>
        </values>
      </ddeItem>
      <ddeItem name="TSE,00743,ASK" advise="1">
        <values>
          <value>
            <val>29.12</val>
          </value>
        </values>
      </ddeItem>
      <ddeItem name="TSE,00743,BID" advise="1">
        <values>
          <value>
            <val>29.05</val>
          </value>
        </values>
      </ddeItem>
      <ddeItem name="TSE,00743,HIGH_1" advise="1">
        <values>
          <value>
            <val>29.05</val>
          </value>
        </values>
      </ddeItem>
      <ddeItem name="TSE,00743,HST_CLOSE" advise="1">
        <values>
          <value>
            <val>0</val>
          </value>
        </values>
      </ddeItem>
      <ddeItem name="TSE,00743,LOW_1" advise="1">
        <values>
          <value>
            <val>28.49</val>
          </value>
        </values>
      </ddeItem>
      <ddeItem name="TSE,00743,OPEN_PRC" advise="1">
        <values>
          <value>
            <val>28.49</val>
          </value>
        </values>
      </ddeItem>
      <ddeItem name="TSE,00743,TRDPRC_1" advise="1">
        <values>
          <value>
            <val>29.05</val>
          </value>
        </values>
      </ddeItem>
      <ddeItem name="TSE,00744B,ADJUST_CLS" advise="1">
        <values>
          <value>
            <val>41.44</val>
          </value>
        </values>
      </ddeItem>
      <ddeItem name="TSE,00744B,ASK" advise="1">
        <values>
          <value>
            <val>41.45</val>
          </value>
        </values>
      </ddeItem>
      <ddeItem name="TSE,00744B,BID" advise="1">
        <values>
          <value>
            <val>41.43</val>
          </value>
        </values>
      </ddeItem>
      <ddeItem name="TSE,00744B,HIGH_1" advise="1">
        <values>
          <value>
            <val>41.5</val>
          </value>
        </values>
      </ddeItem>
      <ddeItem name="TSE,00744B,HST_CLOSE" advise="1">
        <values>
          <value>
            <val>0</val>
          </value>
        </values>
      </ddeItem>
      <ddeItem name="TSE,00744B,LOW_1" advise="1">
        <values>
          <value>
            <val>41.5</val>
          </value>
        </values>
      </ddeItem>
      <ddeItem name="TSE,00744B,OPEN_PRC" advise="1">
        <values>
          <value>
            <val>41.5</val>
          </value>
        </values>
      </ddeItem>
      <ddeItem name="TSE,00744B,TRDPRC_1" advise="1">
        <values>
          <value>
            <val>41.5</val>
          </value>
        </values>
      </ddeItem>
      <ddeItem name="TSE,00745B,ADJUST_CLS" advise="1">
        <values>
          <value>
            <val>40.57</val>
          </value>
        </values>
      </ddeItem>
      <ddeItem name="TSE,00745B,ASK" advise="1">
        <values>
          <value>
            <val>40.65</val>
          </value>
        </values>
      </ddeItem>
      <ddeItem name="TSE,00745B,BID" advise="1">
        <values>
          <value>
            <val>40.479999999999997</val>
          </value>
        </values>
      </ddeItem>
      <ddeItem name="TSE,00745B,HIGH_1" advise="1">
        <values>
          <value>
            <val>40.630000000000003</val>
          </value>
        </values>
      </ddeItem>
      <ddeItem name="TSE,00745B,HST_CLOSE" advise="1">
        <values>
          <value>
            <val>0</val>
          </value>
        </values>
      </ddeItem>
      <ddeItem name="TSE,00745B,LOW_1" advise="1">
        <values>
          <value>
            <val>40.630000000000003</val>
          </value>
        </values>
      </ddeItem>
      <ddeItem name="TSE,00745B,OPEN_PRC" advise="1">
        <values>
          <value>
            <val>40.630000000000003</val>
          </value>
        </values>
      </ddeItem>
      <ddeItem name="TSE,00745B,TRDPRC_1" advise="1">
        <values>
          <value>
            <val>40.630000000000003</val>
          </value>
        </values>
      </ddeItem>
      <ddeItem name="TSE,00746B,ADJUST_CLS" advise="1">
        <values>
          <value>
            <val>42.38</val>
          </value>
        </values>
      </ddeItem>
      <ddeItem name="TSE,00746B,ASK" advise="1">
        <values>
          <value>
            <val>42.45</val>
          </value>
        </values>
      </ddeItem>
      <ddeItem name="TSE,00746B,BID" advise="1">
        <values>
          <value>
            <val>42.41</val>
          </value>
        </values>
      </ddeItem>
      <ddeItem name="TSE,00746B,HIGH_1" advise="1">
        <values>
          <value>
            <val>42.55</val>
          </value>
        </values>
      </ddeItem>
      <ddeItem name="TSE,00746B,HST_CLOSE" advise="1">
        <values>
          <value>
            <val>0</val>
          </value>
        </values>
      </ddeItem>
      <ddeItem name="TSE,00746B,LOW_1" advise="1">
        <values>
          <value>
            <val>42.38</val>
          </value>
        </values>
      </ddeItem>
      <ddeItem name="TSE,00746B,OPEN_PRC" advise="1">
        <values>
          <value>
            <val>42.38</val>
          </value>
        </values>
      </ddeItem>
      <ddeItem name="TSE,00746B,TRDPRC_1" advise="1">
        <values>
          <value>
            <val>42.55</val>
          </value>
        </values>
      </ddeItem>
      <ddeItem name="TSE,00747B,ADJUST_CLS" advise="1">
        <values>
          <value>
            <val>50.8</val>
          </value>
        </values>
      </ddeItem>
      <ddeItem name="TSE,00747B,ASK" advise="1">
        <values>
          <value>
            <val>50.8</val>
          </value>
        </values>
      </ddeItem>
      <ddeItem name="TSE,00747B,BID" advise="1">
        <values>
          <value>
            <val>50.7</val>
          </value>
        </values>
      </ddeItem>
      <ddeItem name="TSE,00747B,HIGH_1" advise="1">
        <values>
          <value>
            <val>50.75</val>
          </value>
        </values>
      </ddeItem>
      <ddeItem name="TSE,00747B,HST_CLOSE" advise="1">
        <values>
          <value>
            <val>0</val>
          </value>
        </values>
      </ddeItem>
      <ddeItem name="TSE,00747B,LOW_1" advise="1">
        <values>
          <value>
            <val>50.75</val>
          </value>
        </values>
      </ddeItem>
      <ddeItem name="TSE,00747B,OPEN_PRC" advise="1">
        <values>
          <value>
            <val>50.75</val>
          </value>
        </values>
      </ddeItem>
      <ddeItem name="TSE,00747B,TRDPRC_1" advise="1">
        <values>
          <value>
            <val>50.75</val>
          </value>
        </values>
      </ddeItem>
      <ddeItem name="TSE,00748B,ADJUST_CLS" advise="1">
        <values>
          <value>
            <val>41.63</val>
          </value>
        </values>
      </ddeItem>
      <ddeItem name="TSE,00748B,ASK" advise="1">
        <values>
          <value>
            <val>41.55</val>
          </value>
        </values>
      </ddeItem>
      <ddeItem name="TSE,00748B,BID" advise="1">
        <values>
          <value>
            <val>41.54</val>
          </value>
        </values>
      </ddeItem>
      <ddeItem name="TSE,00748B,HIGH_1" advise="1">
        <values>
          <value>
            <val>41.63</val>
          </value>
        </values>
      </ddeItem>
      <ddeItem name="TSE,00748B,HST_CLOSE" advise="1">
        <values>
          <value>
            <val>0</val>
          </value>
        </values>
      </ddeItem>
      <ddeItem name="TSE,00748B,LOW_1" advise="1">
        <values>
          <value>
            <val>41.63</val>
          </value>
        </values>
      </ddeItem>
      <ddeItem name="TSE,00748B,OPEN_PRC" advise="1">
        <values>
          <value>
            <val>41.63</val>
          </value>
        </values>
      </ddeItem>
      <ddeItem name="TSE,00748B,TRDPRC_1" advise="1">
        <values>
          <value>
            <val>41.63</val>
          </value>
        </values>
      </ddeItem>
      <ddeItem name="TSE,00749B,ADJUST_CLS" advise="1">
        <values>
          <value>
            <val>41.63</val>
          </value>
        </values>
      </ddeItem>
      <ddeItem name="TSE,00749B,ASK" advise="1">
        <values>
          <value>
            <val>41.65</val>
          </value>
        </values>
      </ddeItem>
      <ddeItem name="TSE,00749B,BID" advise="1">
        <values>
          <value>
            <val>41.6</val>
          </value>
        </values>
      </ddeItem>
      <ddeItem name="TSE,00749B,HIGH_1" advise="1">
        <values>
          <value>
            <val>41.68</val>
          </value>
        </values>
      </ddeItem>
      <ddeItem name="TSE,00749B,HST_CLOSE" advise="1">
        <values>
          <value>
            <val>0</val>
          </value>
        </values>
      </ddeItem>
      <ddeItem name="TSE,00749B,LOW_1" advise="1">
        <values>
          <value>
            <val>41.52</val>
          </value>
        </values>
      </ddeItem>
      <ddeItem name="TSE,00749B,OPEN_PRC" advise="1">
        <values>
          <value>
            <val>41.52</val>
          </value>
        </values>
      </ddeItem>
      <ddeItem name="TSE,00749B,TRDPRC_1" advise="1">
        <values>
          <value>
            <val>41.68</val>
          </value>
        </values>
      </ddeItem>
      <ddeItem name="TSE,00750B,ADJUST_CLS" advise="1">
        <values>
          <value>
            <val>41.22</val>
          </value>
        </values>
      </ddeItem>
      <ddeItem name="TSE,00750B,ASK" advise="1">
        <values>
          <value>
            <val>41.25</val>
          </value>
        </values>
      </ddeItem>
      <ddeItem name="TSE,00750B,BID" advise="1">
        <values>
          <value>
            <val>41.21</val>
          </value>
        </values>
      </ddeItem>
      <ddeItem name="TSE,00750B,HIGH_1" advise="1">
        <values>
          <value>
            <val>41.29</val>
          </value>
        </values>
      </ddeItem>
      <ddeItem name="TSE,00750B,HST_CLOSE" advise="1">
        <values>
          <value>
            <val>0</val>
          </value>
        </values>
      </ddeItem>
      <ddeItem name="TSE,00750B,LOW_1" advise="1">
        <values>
          <value>
            <val>41.22</val>
          </value>
        </values>
      </ddeItem>
      <ddeItem name="TSE,00750B,OPEN_PRC" advise="1">
        <values>
          <value>
            <val>41.22</val>
          </value>
        </values>
      </ddeItem>
      <ddeItem name="TSE,00750B,TRDPRC_1" advise="1">
        <values>
          <value>
            <val>41.29</val>
          </value>
        </values>
      </ddeItem>
      <ddeItem name="TSE,00751B,ADJUST_CLS" advise="1">
        <values>
          <value>
            <val>42.41</val>
          </value>
        </values>
      </ddeItem>
      <ddeItem name="TSE,00751B,ASK" advise="1">
        <values>
          <value>
            <val>42.53</val>
          </value>
        </values>
      </ddeItem>
      <ddeItem name="TSE,00751B,BID" advise="1">
        <values>
          <value>
            <val>42.46</val>
          </value>
        </values>
      </ddeItem>
      <ddeItem name="TSE,00751B,HIGH_1" advise="1">
        <values>
          <value>
            <val>42.5</val>
          </value>
        </values>
      </ddeItem>
      <ddeItem name="TSE,00751B,HST_CLOSE" advise="1">
        <values>
          <value>
            <val>0</val>
          </value>
        </values>
      </ddeItem>
      <ddeItem name="TSE,00751B,LOW_1" advise="1">
        <values>
          <value>
            <val>42.38</val>
          </value>
        </values>
      </ddeItem>
      <ddeItem name="TSE,00751B,OPEN_PRC" advise="1">
        <values>
          <value>
            <val>42.41</val>
          </value>
        </values>
      </ddeItem>
      <ddeItem name="TSE,00751B,TRDPRC_1" advise="1">
        <values>
          <value>
            <val>42.46</val>
          </value>
        </values>
      </ddeItem>
      <ddeItem name="TSE,00752,ADJUST_CLS" advise="1">
        <values>
          <value>
            <val>27.85</val>
          </value>
        </values>
      </ddeItem>
      <ddeItem name="TSE,00752,ASK" advise="1">
        <values>
          <value>
            <val>27.52</val>
          </value>
        </values>
      </ddeItem>
      <ddeItem name="TSE,00752,BID" advise="1">
        <values>
          <value>
            <val>27.51</val>
          </value>
        </values>
      </ddeItem>
      <ddeItem name="TSE,00752,HIGH_1" advise="1">
        <values>
          <value>
            <val>27.69</val>
          </value>
        </values>
      </ddeItem>
      <ddeItem name="TSE,00752,HST_CLOSE" advise="1">
        <values>
          <value>
            <val>0</val>
          </value>
        </values>
      </ddeItem>
      <ddeItem name="TSE,00752,LOW_1" advise="1">
        <values>
          <value>
            <val>27.27</val>
          </value>
        </values>
      </ddeItem>
      <ddeItem name="TSE,00752,OPEN_PRC" advise="1">
        <values>
          <value>
            <val>27.69</val>
          </value>
        </values>
      </ddeItem>
      <ddeItem name="TSE,00752,TRDPRC_1" advise="1">
        <values>
          <value>
            <val>27.52</val>
          </value>
        </values>
      </ddeItem>
      <ddeItem name="TSE,00753L,ADJUST_CLS" advise="1">
        <values>
          <value>
            <val>33.99</val>
          </value>
        </values>
      </ddeItem>
      <ddeItem name="TSE,00753L,ASK" advise="1">
        <values>
          <value>
            <val>33.39</val>
          </value>
        </values>
      </ddeItem>
      <ddeItem name="TSE,00753L,BID" advise="1">
        <values>
          <value>
            <val>33.35</val>
          </value>
        </values>
      </ddeItem>
      <ddeItem name="TSE,00753L,HIGH_1" advise="1">
        <values>
          <value>
            <val>33.6</val>
          </value>
        </values>
      </ddeItem>
      <ddeItem name="TSE,00753L,HST_CLOSE" advise="1">
        <values>
          <value>
            <val>0</val>
          </value>
        </values>
      </ddeItem>
      <ddeItem name="TSE,00753L,LOW_1" advise="1">
        <values>
          <value>
            <val>32.68</val>
          </value>
        </values>
      </ddeItem>
      <ddeItem name="TSE,00753L,OPEN_PRC" advise="1">
        <values>
          <value>
            <val>33.58</val>
          </value>
        </values>
      </ddeItem>
      <ddeItem name="TSE,00753L,TRDPRC_1" advise="1">
        <values>
          <value>
            <val>33.36</val>
          </value>
        </values>
      </ddeItem>
      <ddeItem name="TSE,00754B,ADJUST_CLS" advise="1">
        <values>
          <value>
            <val>43.66</val>
          </value>
        </values>
      </ddeItem>
      <ddeItem name="TSE,00754B,ASK" advise="1">
        <values>
          <value>
            <val>43.86</val>
          </value>
        </values>
      </ddeItem>
      <ddeItem name="TSE,00754B,BID" advise="1">
        <values>
          <value>
            <val>43.79</val>
          </value>
        </values>
      </ddeItem>
      <ddeItem name="TSE,00754B,HIGH_1" advise="1">
        <values>
          <value>
            <val>43.85</val>
          </value>
        </values>
      </ddeItem>
      <ddeItem name="TSE,00754B,HST_CLOSE" advise="1">
        <values>
          <value>
            <val>0</val>
          </value>
        </values>
      </ddeItem>
      <ddeItem name="TSE,00754B,LOW_1" advise="1">
        <values>
          <value>
            <val>43.83</val>
          </value>
        </values>
      </ddeItem>
      <ddeItem name="TSE,00754B,OPEN_PRC" advise="1">
        <values>
          <value>
            <val>43.85</val>
          </value>
        </values>
      </ddeItem>
      <ddeItem name="TSE,00754B,TRDPRC_1" advise="1">
        <values>
          <value>
            <val>43.85</val>
          </value>
        </values>
      </ddeItem>
      <ddeItem name="TSE,00755B,ADJUST_CLS" advise="1">
        <values>
          <value>
            <val>42.07</val>
          </value>
        </values>
      </ddeItem>
      <ddeItem name="TSE,00755B,ASK" advise="1">
        <values>
          <value>
            <val>42.2</val>
          </value>
        </values>
      </ddeItem>
      <ddeItem name="TSE,00755B,BID" advise="1">
        <values>
          <value>
            <val>42.1</val>
          </value>
        </values>
      </ddeItem>
      <ddeItem name="TSE,00755B,HIGH_1" advise="1">
        <values>
          <value>
            <val>42.19</val>
          </value>
        </values>
      </ddeItem>
      <ddeItem name="TSE,00755B,HST_CLOSE" advise="1">
        <values>
          <value>
            <val>0</val>
          </value>
        </values>
      </ddeItem>
      <ddeItem name="TSE,00755B,LOW_1" advise="1">
        <values>
          <value>
            <val>42.07</val>
          </value>
        </values>
      </ddeItem>
      <ddeItem name="TSE,00755B,OPEN_PRC" advise="1">
        <values>
          <value>
            <val>42.07</val>
          </value>
        </values>
      </ddeItem>
      <ddeItem name="TSE,00755B,TRDPRC_1" advise="1">
        <values>
          <value>
            <val>42.15</val>
          </value>
        </values>
      </ddeItem>
      <ddeItem name="TSE,00756B,ADJUST_CLS" advise="1">
        <values>
          <value>
            <val>43.52</val>
          </value>
        </values>
      </ddeItem>
      <ddeItem name="TSE,00756B,ASK" advise="1">
        <values>
          <value>
            <val>43.58</val>
          </value>
        </values>
      </ddeItem>
      <ddeItem name="TSE,00756B,BID" advise="1">
        <values>
          <value>
            <val>43.46</val>
          </value>
        </values>
      </ddeItem>
      <ddeItem name="TSE,00756B,HIGH_1" advise="1">
        <values>
          <value>
            <val>43.59</val>
          </value>
        </values>
      </ddeItem>
      <ddeItem name="TSE,00756B,HST_CLOSE" advise="1">
        <values>
          <value>
            <val>0</val>
          </value>
        </values>
      </ddeItem>
      <ddeItem name="TSE,00756B,LOW_1" advise="1">
        <values>
          <value>
            <val>43.3</val>
          </value>
        </values>
      </ddeItem>
      <ddeItem name="TSE,00756B,OPEN_PRC" advise="1">
        <values>
          <value>
            <val>43.3</val>
          </value>
        </values>
      </ddeItem>
      <ddeItem name="TSE,00756B,TRDPRC_1" advise="1">
        <values>
          <value>
            <val>43.55</val>
          </value>
        </values>
      </ddeItem>
      <ddeItem name="TSE,00757,ADJUST_CLS" advise="1">
        <values>
          <value>
            <val>43.01</val>
          </value>
        </values>
      </ddeItem>
      <ddeItem name="TSE,00757,ASK" advise="1">
        <values>
          <value>
            <val>43.26</val>
          </value>
        </values>
      </ddeItem>
      <ddeItem name="TSE,00757,BID" advise="1">
        <values>
          <value>
            <val>43.24</val>
          </value>
        </values>
      </ddeItem>
      <ddeItem name="TSE,00757,HIGH_1" advise="1">
        <values>
          <value>
            <val>43.31</val>
          </value>
        </values>
      </ddeItem>
      <ddeItem name="TSE,00757,HST_CLOSE" advise="1">
        <values>
          <value>
            <val>0</val>
          </value>
        </values>
      </ddeItem>
      <ddeItem name="TSE,00757,LOW_1" advise="1">
        <values>
          <value>
            <val>43.1</val>
          </value>
        </values>
      </ddeItem>
      <ddeItem name="TSE,00757,OPEN_PRC" advise="1">
        <values>
          <value>
            <val>43.2</val>
          </value>
        </values>
      </ddeItem>
      <ddeItem name="TSE,00757,TRDPRC_1" advise="1">
        <values>
          <value>
            <val>43.24</val>
          </value>
        </values>
      </ddeItem>
      <ddeItem name="TSE,00758B,ADJUST_CLS" advise="1">
        <values>
          <value>
            <val>60.05</val>
          </value>
        </values>
      </ddeItem>
      <ddeItem name="TSE,00758B,ASK" advise="1">
        <values>
          <value>
            <val>60.25</val>
          </value>
        </values>
      </ddeItem>
      <ddeItem name="TSE,00758B,BID" advise="1">
        <values>
          <value>
            <val>60.05</val>
          </value>
        </values>
      </ddeItem>
      <ddeItem name="TSE,00758B,HIGH_1" advise="1">
        <values>
          <value>
            <val>60.15</val>
          </value>
        </values>
      </ddeItem>
      <ddeItem name="TSE,00758B,HST_CLOSE" advise="1">
        <values>
          <value>
            <val>0</val>
          </value>
        </values>
      </ddeItem>
      <ddeItem name="TSE,00758B,LOW_1" advise="1">
        <values>
          <value>
            <val>60.1</val>
          </value>
        </values>
      </ddeItem>
      <ddeItem name="TSE,00758B,OPEN_PRC" advise="1">
        <values>
          <value>
            <val>60.1</val>
          </value>
        </values>
      </ddeItem>
      <ddeItem name="TSE,00758B,TRDPRC_1" advise="1">
        <values>
          <value>
            <val>60.15</val>
          </value>
        </values>
      </ddeItem>
      <ddeItem name="TSE,00759B,ADJUST_CLS" advise="1">
        <values>
          <value>
            <val>66.95</val>
          </value>
        </values>
      </ddeItem>
      <ddeItem name="TSE,00759B,ASK" advise="1">
        <values>
          <value>
            <val>67.05</val>
          </value>
        </values>
      </ddeItem>
      <ddeItem name="TSE,00759B,BID" advise="1">
        <values>
          <value>
            <val>66.900000000000006</val>
          </value>
        </values>
      </ddeItem>
      <ddeItem name="TSE,00759B,HIGH_1" advise="1">
        <values>
          <value>
            <val>67.05</val>
          </value>
        </values>
      </ddeItem>
      <ddeItem name="TSE,00759B,HST_CLOSE" advise="1">
        <values>
          <value>
            <val>0</val>
          </value>
        </values>
      </ddeItem>
      <ddeItem name="TSE,00759B,LOW_1" advise="1">
        <values>
          <value>
            <val>67.05</val>
          </value>
        </values>
      </ddeItem>
      <ddeItem name="TSE,00759B,OPEN_PRC" advise="1">
        <values>
          <value>
            <val>67.05</val>
          </value>
        </values>
      </ddeItem>
      <ddeItem name="TSE,00759B,TRDPRC_1" advise="1">
        <values>
          <value>
            <val>67.05</val>
          </value>
        </values>
      </ddeItem>
      <ddeItem name="TSE,00760B,ADJUST_CLS" advise="1">
        <values>
          <value>
            <val>64.25</val>
          </value>
        </values>
      </ddeItem>
      <ddeItem name="TSE,00760B,ASK" advise="1">
        <values>
          <value>
            <val>64.150000000000006</val>
          </value>
        </values>
      </ddeItem>
      <ddeItem name="TSE,00760B,BID" advise="1">
        <values>
          <value>
            <val>64</val>
          </value>
        </values>
      </ddeItem>
      <ddeItem name="TSE,00760B,HIGH_1" advise="1">
        <values>
          <value>
            <val>64.150000000000006</val>
          </value>
        </values>
      </ddeItem>
      <ddeItem name="TSE,00760B,HST_CLOSE" advise="1">
        <values>
          <value>
            <val>0</val>
          </value>
        </values>
      </ddeItem>
      <ddeItem name="TSE,00760B,LOW_1" advise="1">
        <values>
          <value>
            <val>64.05</val>
          </value>
        </values>
      </ddeItem>
      <ddeItem name="TSE,00760B,OPEN_PRC" advise="1">
        <values>
          <value>
            <val>64.099999999999994</val>
          </value>
        </values>
      </ddeItem>
      <ddeItem name="TSE,00760B,TRDPRC_1" advise="1">
        <values>
          <value>
            <val>64.150000000000006</val>
          </value>
        </values>
      </ddeItem>
      <ddeItem name="TSE,00761B,ADJUST_CLS" advise="1">
        <values>
          <value>
            <val>43.24</val>
          </value>
        </values>
      </ddeItem>
      <ddeItem name="TSE,00761B,ASK" advise="1">
        <values>
          <value>
            <val>43.5</val>
          </value>
        </values>
      </ddeItem>
      <ddeItem name="TSE,00761B,BID" advise="1">
        <values>
          <value>
            <val>43.47</val>
          </value>
        </values>
      </ddeItem>
      <ddeItem name="TSE,00761B,HIGH_1" advise="1">
        <values>
          <value>
            <val>43.47</val>
          </value>
        </values>
      </ddeItem>
      <ddeItem name="TSE,00761B,HST_CLOSE" advise="1">
        <values>
          <value>
            <val>0</val>
          </value>
        </values>
      </ddeItem>
      <ddeItem name="TSE,00761B,LOW_1" advise="1">
        <values>
          <value>
            <val>43.46</val>
          </value>
        </values>
      </ddeItem>
      <ddeItem name="TSE,00761B,OPEN_PRC" advise="1">
        <values>
          <value>
            <val>43.46</val>
          </value>
        </values>
      </ddeItem>
      <ddeItem name="TSE,00761B,TRDPRC_1" advise="1">
        <values>
          <value>
            <val>43.47</val>
          </value>
        </values>
      </ddeItem>
      <ddeItem name="TSE,00762,ADJUST_CLS" advise="1">
        <values>
          <value>
            <val>34.6</val>
          </value>
        </values>
      </ddeItem>
      <ddeItem name="TSE,00762,ASK" advise="1">
        <values>
          <value>
            <val>34.869999999999997</val>
          </value>
        </values>
      </ddeItem>
      <ddeItem name="TSE,00762,BID" advise="1">
        <values>
          <value>
            <val>34.85</val>
          </value>
        </values>
      </ddeItem>
      <ddeItem name="TSE,00762,HIGH_1" advise="1">
        <values>
          <value>
            <val>34.880000000000003</val>
          </value>
        </values>
      </ddeItem>
      <ddeItem name="TSE,00762,HST_CLOSE" advise="1">
        <values>
          <value>
            <val>0</val>
          </value>
        </values>
      </ddeItem>
      <ddeItem name="TSE,00762,LOW_1" advise="1">
        <values>
          <value>
            <val>34.700000000000003</val>
          </value>
        </values>
      </ddeItem>
      <ddeItem name="TSE,00762,OPEN_PRC" advise="1">
        <values>
          <value>
            <val>34.72</val>
          </value>
        </values>
      </ddeItem>
      <ddeItem name="TSE,00762,TRDPRC_1" advise="1">
        <values>
          <value>
            <val>34.83</val>
          </value>
        </values>
      </ddeItem>
      <ddeItem name="TSE,00763U,ADJUST_CLS" advise="1">
        <values>
          <value>
            <val>30.79</val>
          </value>
        </values>
      </ddeItem>
      <ddeItem name="TSE,00763U,ASK" advise="1">
        <values>
          <value>
            <val>30.24</val>
          </value>
        </values>
      </ddeItem>
      <ddeItem name="TSE,00763U,BID" advise="1">
        <values>
          <value>
            <val>30.23</val>
          </value>
        </values>
      </ddeItem>
      <ddeItem name="TSE,00763U,HIGH_1" advise="1">
        <values>
          <value>
            <val>30.72</val>
          </value>
        </values>
      </ddeItem>
      <ddeItem name="TSE,00763U,HST_CLOSE" advise="1">
        <values>
          <value>
            <val>0</val>
          </value>
        </values>
      </ddeItem>
      <ddeItem name="TSE,00763U,LOW_1" advise="1">
        <values>
          <value>
            <val>30.19</val>
          </value>
        </values>
      </ddeItem>
      <ddeItem name="TSE,00763U,OPEN_PRC" advise="1">
        <values>
          <value>
            <val>30.72</val>
          </value>
        </values>
      </ddeItem>
      <ddeItem name="TSE,00763U,TRDPRC_1" advise="1">
        <values>
          <value>
            <val>30.24</val>
          </value>
        </values>
      </ddeItem>
      <ddeItem name="TSE,00764B,ADJUST_CLS" advise="1">
        <values>
          <value>
            <val>40.22</val>
          </value>
        </values>
      </ddeItem>
      <ddeItem name="TSE,00764B,ASK" advise="1">
        <values>
          <value>
            <val>40.299999999999997</val>
          </value>
        </values>
      </ddeItem>
      <ddeItem name="TSE,00764B,BID" advise="1">
        <values>
          <value>
            <val>40.29</val>
          </value>
        </values>
      </ddeItem>
      <ddeItem name="TSE,00764B,HIGH_1" advise="1">
        <values>
          <value>
            <val>40.35</val>
          </value>
        </values>
      </ddeItem>
      <ddeItem name="TSE,00764B,HST_CLOSE" advise="1">
        <values>
          <value>
            <val>0</val>
          </value>
        </values>
      </ddeItem>
      <ddeItem name="TSE,00764B,LOW_1" advise="1">
        <values>
          <value>
            <val>40.22</val>
          </value>
        </values>
      </ddeItem>
      <ddeItem name="TSE,00764B,OPEN_PRC" advise="1">
        <values>
          <value>
            <val>40.22</val>
          </value>
        </values>
      </ddeItem>
      <ddeItem name="TSE,00764B,TRDPRC_1" advise="1">
        <values>
          <value>
            <val>40.340000000000003</val>
          </value>
        </values>
      </ddeItem>
      <ddeItem name="TSE,00765B,ADJUST_CLS" advise="1">
        <values>
          <value>
            <val>39.92</val>
          </value>
        </values>
      </ddeItem>
      <ddeItem name="TSE,00765B,ASK" advise="1">
        <values>
          <value>
            <val>40.01</val>
          </value>
        </values>
      </ddeItem>
      <ddeItem name="TSE,00765B,BID" advise="1">
        <values>
          <value>
            <val>39.9</val>
          </value>
        </values>
      </ddeItem>
      <ddeItem name="TSE,00765B,HIGH_1" advise="1">
        <values>
          <value>
            <val>39.97</val>
          </value>
        </values>
      </ddeItem>
      <ddeItem name="TSE,00765B,HST_CLOSE" advise="1">
        <values>
          <value>
            <val>0</val>
          </value>
        </values>
      </ddeItem>
      <ddeItem name="TSE,00765B,LOW_1" advise="1">
        <values>
          <value>
            <val>39.799999999999997</val>
          </value>
        </values>
      </ddeItem>
      <ddeItem name="TSE,00765B,OPEN_PRC" advise="1">
        <values>
          <value>
            <val>39.799999999999997</val>
          </value>
        </values>
      </ddeItem>
      <ddeItem name="TSE,00765B,TRDPRC_1" advise="1">
        <values>
          <value>
            <val>39.97</val>
          </value>
        </values>
      </ddeItem>
      <ddeItem name="TSE,00768B,ADJUST_CLS" advise="1">
        <values>
          <value>
            <val>64.599999999999994</val>
          </value>
        </values>
      </ddeItem>
      <ddeItem name="TSE,00768B,ASK" advise="1">
        <values>
          <value>
            <val>64.45</val>
          </value>
        </values>
      </ddeItem>
      <ddeItem name="TSE,00768B,BID" advise="1">
        <values>
          <value>
            <val>64.3</val>
          </value>
        </values>
      </ddeItem>
      <ddeItem name="TSE,00768B,HIGH_1" advise="1">
        <values>
          <value>
            <val>64.400000000000006</val>
          </value>
        </values>
      </ddeItem>
      <ddeItem name="TSE,00768B,HST_CLOSE" advise="1">
        <values>
          <value>
            <val>0</val>
          </value>
        </values>
      </ddeItem>
      <ddeItem name="TSE,00768B,LOW_1" advise="1">
        <values>
          <value>
            <val>64.3</val>
          </value>
        </values>
      </ddeItem>
      <ddeItem name="TSE,00768B,OPEN_PRC" advise="1">
        <values>
          <value>
            <val>64.400000000000006</val>
          </value>
        </values>
      </ddeItem>
      <ddeItem name="TSE,00768B,TRDPRC_1" advise="1">
        <values>
          <value>
            <val>64.3</val>
          </value>
        </values>
      </ddeItem>
      <ddeItem name="TSE,00770,ADJUST_CLS" advise="1">
        <values>
          <value>
            <val>32.9</val>
          </value>
        </values>
      </ddeItem>
      <ddeItem name="TSE,00770,ASK" advise="1">
        <values>
          <value>
            <val>33.369999999999997</val>
          </value>
        </values>
      </ddeItem>
      <ddeItem name="TSE,00770,BID" advise="1">
        <values>
          <value>
            <val>33.33</val>
          </value>
        </values>
      </ddeItem>
      <ddeItem name="TSE,00770,HIGH_1" advise="1">
        <values>
          <value>
            <val>33.340000000000003</val>
          </value>
        </values>
      </ddeItem>
      <ddeItem name="TSE,00770,HST_CLOSE" advise="1">
        <values>
          <value>
            <val>0</val>
          </value>
        </values>
      </ddeItem>
      <ddeItem name="TSE,00770,LOW_1" advise="1">
        <values>
          <value>
            <val>33.200000000000003</val>
          </value>
        </values>
      </ddeItem>
      <ddeItem name="TSE,00770,OPEN_PRC" advise="1">
        <values>
          <value>
            <val>33.200000000000003</val>
          </value>
        </values>
      </ddeItem>
      <ddeItem name="TSE,00770,TRDPRC_1" advise="1">
        <values>
          <value>
            <val>33.340000000000003</val>
          </value>
        </values>
      </ddeItem>
      <ddeItem name="TSE,00771,ADJUST_CLS" advise="1">
        <values>
          <value>
            <val>18.940000000000001</val>
          </value>
        </values>
      </ddeItem>
      <ddeItem name="TSE,00771,ASK" advise="1">
        <values>
          <value>
            <val>19.02</val>
          </value>
        </values>
      </ddeItem>
      <ddeItem name="TSE,00771,BID" advise="1">
        <values>
          <value>
            <val>18.98</val>
          </value>
        </values>
      </ddeItem>
      <ddeItem name="TSE,00771,HIGH_1" advise="1">
        <values>
          <value>
            <val>19.02</val>
          </value>
        </values>
      </ddeItem>
      <ddeItem name="TSE,00771,HST_CLOSE" advise="1">
        <values>
          <value>
            <val>0</val>
          </value>
        </values>
      </ddeItem>
      <ddeItem name="TSE,00771,LOW_1" advise="1">
        <values>
          <value>
            <val>18.97</val>
          </value>
        </values>
      </ddeItem>
      <ddeItem name="TSE,00771,OPEN_PRC" advise="1">
        <values>
          <value>
            <val>18.97</val>
          </value>
        </values>
      </ddeItem>
      <ddeItem name="TSE,00771,TRDPRC_1" advise="1">
        <values>
          <value>
            <val>19</val>
          </value>
        </values>
      </ddeItem>
      <ddeItem name="TSE,00772B,ADJUST_CLS" advise="1">
        <values>
          <value>
            <val>42.25</val>
          </value>
        </values>
      </ddeItem>
      <ddeItem name="TSE,00772B,ASK" advise="1">
        <values>
          <value>
            <val>42.29</val>
          </value>
        </values>
      </ddeItem>
      <ddeItem name="TSE,00772B,BID" advise="1">
        <values>
          <value>
            <val>42.25</val>
          </value>
        </values>
      </ddeItem>
      <ddeItem name="TSE,00772B,HIGH_1" advise="1">
        <values>
          <value>
            <val>42.35</val>
          </value>
        </values>
      </ddeItem>
      <ddeItem name="TSE,00772B,HST_CLOSE" advise="1">
        <values>
          <value>
            <val>0</val>
          </value>
        </values>
      </ddeItem>
      <ddeItem name="TSE,00772B,LOW_1" advise="1">
        <values>
          <value>
            <val>42.25</val>
          </value>
        </values>
      </ddeItem>
      <ddeItem name="TSE,00772B,OPEN_PRC" advise="1">
        <values>
          <value>
            <val>42.27</val>
          </value>
        </values>
      </ddeItem>
      <ddeItem name="TSE,00772B,TRDPRC_1" advise="1">
        <values>
          <value>
            <val>42.25</val>
          </value>
        </values>
      </ddeItem>
      <ddeItem name="TSE,00773B,ADJUST_CLS" advise="1">
        <values>
          <value>
            <val>42.83</val>
          </value>
        </values>
      </ddeItem>
      <ddeItem name="TSE,00773B,ASK" advise="1">
        <values>
          <value>
            <val>43.05</val>
          </value>
        </values>
      </ddeItem>
      <ddeItem name="TSE,00773B,BID" advise="1">
        <values>
          <value>
            <val>43</val>
          </value>
        </values>
      </ddeItem>
      <ddeItem name="TSE,00773B,HIGH_1" advise="1">
        <values>
          <value>
            <val>43.03</val>
          </value>
        </values>
      </ddeItem>
      <ddeItem name="TSE,00773B,HST_CLOSE" advise="1">
        <values>
          <value>
            <val>0</val>
          </value>
        </values>
      </ddeItem>
      <ddeItem name="TSE,00773B,LOW_1" advise="1">
        <values>
          <value>
            <val>42.91</val>
          </value>
        </values>
      </ddeItem>
      <ddeItem name="TSE,00773B,OPEN_PRC" advise="1">
        <values>
          <value>
            <val>42.93</val>
          </value>
        </values>
      </ddeItem>
      <ddeItem name="TSE,00773B,TRDPRC_1" advise="1">
        <values>
          <value>
            <val>43.03</val>
          </value>
        </values>
      </ddeItem>
      <ddeItem name="TSE,00774B,ADJUST_CLS" advise="1">
        <values>
          <value>
            <val>39</val>
          </value>
        </values>
      </ddeItem>
      <ddeItem name="TSE,00774B,ASK" advise="1">
        <values>
          <value>
            <val>39.19</val>
          </value>
        </values>
      </ddeItem>
      <ddeItem name="TSE,00774B,BID" advise="1">
        <values>
          <value>
            <val>38.79</val>
          </value>
        </values>
      </ddeItem>
      <ddeItem name="TSE,00774B,HIGH_1" advise="1">
        <values>
          <value>
            <val>38.979999999999997</val>
          </value>
        </values>
      </ddeItem>
      <ddeItem name="TSE,00774B,HST_CLOSE" advise="1">
        <values>
          <value>
            <val>0</val>
          </value>
        </values>
      </ddeItem>
      <ddeItem name="TSE,00774B,LOW_1" advise="1">
        <values>
          <value>
            <val>38.979999999999997</val>
          </value>
        </values>
      </ddeItem>
      <ddeItem name="TSE,00774B,OPEN_PRC" advise="1">
        <values>
          <value>
            <val>38.979999999999997</val>
          </value>
        </values>
      </ddeItem>
      <ddeItem name="TSE,00774B,TRDPRC_1" advise="1">
        <values>
          <value>
            <val>38.979999999999997</val>
          </value>
        </values>
      </ddeItem>
      <ddeItem name="TSE,00774C,ADJUST_CLS" advise="1">
        <values>
          <value>
            <val>9.11</val>
          </value>
        </values>
      </ddeItem>
      <ddeItem name="TSE,00774C,ASK" advise="1">
        <values>
          <value>
            <val>9.1300000000000008</val>
          </value>
        </values>
      </ddeItem>
      <ddeItem name="TSE,00774C,BID" advise="1">
        <values>
          <value>
            <val>8.94</val>
          </value>
        </values>
      </ddeItem>
      <ddeItem name="TSE,00774C,HIGH_1" advise="1">
        <values>
          <value>
            <val>0</val>
          </value>
        </values>
      </ddeItem>
      <ddeItem name="TSE,00774C,HST_CLOSE" advise="1">
        <values>
          <value>
            <val>0</val>
          </value>
        </values>
      </ddeItem>
      <ddeItem name="TSE,00774C,LOW_1" advise="1">
        <values>
          <value>
            <val>0</val>
          </value>
        </values>
      </ddeItem>
      <ddeItem name="TSE,00774C,OPEN_PRC" advise="1">
        <values>
          <value>
            <val>0</val>
          </value>
        </values>
      </ddeItem>
      <ddeItem name="TSE,00774C,TRDPRC_1" advise="1">
        <values>
          <value>
            <val>0</val>
          </value>
        </values>
      </ddeItem>
      <ddeItem name="TSE,00775B,ADJUST_CLS" advise="1">
        <values>
          <value>
            <val>40.5</val>
          </value>
        </values>
      </ddeItem>
      <ddeItem name="TSE,00775B,ASK" advise="1">
        <values>
          <value>
            <val>40.71</val>
          </value>
        </values>
      </ddeItem>
      <ddeItem name="TSE,00775B,BID" advise="1">
        <values>
          <value>
            <val>40.520000000000003</val>
          </value>
        </values>
      </ddeItem>
      <ddeItem name="TSE,00775B,HIGH_1" advise="1">
        <values>
          <value>
            <val>40.520000000000003</val>
          </value>
        </values>
      </ddeItem>
      <ddeItem name="TSE,00775B,HST_CLOSE" advise="1">
        <values>
          <value>
            <val>0</val>
          </value>
        </values>
      </ddeItem>
      <ddeItem name="TSE,00775B,LOW_1" advise="1">
        <values>
          <value>
            <val>40.520000000000003</val>
          </value>
        </values>
      </ddeItem>
      <ddeItem name="TSE,00775B,OPEN_PRC" advise="1">
        <values>
          <value>
            <val>40.520000000000003</val>
          </value>
        </values>
      </ddeItem>
      <ddeItem name="TSE,00775B,TRDPRC_1" advise="1">
        <values>
          <value>
            <val>40.520000000000003</val>
          </value>
        </values>
      </ddeItem>
      <ddeItem name="TSE,00777B,ADJUST_CLS" advise="1">
        <values>
          <value>
            <val>41.3</val>
          </value>
        </values>
      </ddeItem>
      <ddeItem name="TSE,00777B,ASK" advise="1">
        <values>
          <value>
            <val>41.3</val>
          </value>
        </values>
      </ddeItem>
      <ddeItem name="TSE,00777B,BID" advise="1">
        <values>
          <value>
            <val>41.26</val>
          </value>
        </values>
      </ddeItem>
      <ddeItem name="TSE,00777B,HIGH_1" advise="1">
        <values>
          <value>
            <val>41.42</val>
          </value>
        </values>
      </ddeItem>
      <ddeItem name="TSE,00777B,HST_CLOSE" advise="1">
        <values>
          <value>
            <val>0</val>
          </value>
        </values>
      </ddeItem>
      <ddeItem name="TSE,00777B,LOW_1" advise="1">
        <values>
          <value>
            <val>41.3</val>
          </value>
        </values>
      </ddeItem>
      <ddeItem name="TSE,00777B,OPEN_PRC" advise="1">
        <values>
          <value>
            <val>41.3</val>
          </value>
        </values>
      </ddeItem>
      <ddeItem name="TSE,00777B,TRDPRC_1" advise="1">
        <values>
          <value>
            <val>41.42</val>
          </value>
        </values>
      </ddeItem>
      <ddeItem name="TSE,00778B,ADJUST_CLS" advise="1">
        <values>
          <value>
            <val>42.55</val>
          </value>
        </values>
      </ddeItem>
      <ddeItem name="TSE,00778B,ASK" advise="1">
        <values>
          <value>
            <val>42.5</val>
          </value>
        </values>
      </ddeItem>
      <ddeItem name="TSE,00778B,BID" advise="1">
        <values>
          <value>
            <val>42.48</val>
          </value>
        </values>
      </ddeItem>
      <ddeItem name="TSE,00778B,HIGH_1" advise="1">
        <values>
          <value>
            <val>42.48</val>
          </value>
        </values>
      </ddeItem>
      <ddeItem name="TSE,00778B,HST_CLOSE" advise="1">
        <values>
          <value>
            <val>0</val>
          </value>
        </values>
      </ddeItem>
      <ddeItem name="TSE,00778B,LOW_1" advise="1">
        <values>
          <value>
            <val>42.47</val>
          </value>
        </values>
      </ddeItem>
      <ddeItem name="TSE,00778B,OPEN_PRC" advise="1">
        <values>
          <value>
            <val>42.47</val>
          </value>
        </values>
      </ddeItem>
      <ddeItem name="TSE,00778B,TRDPRC_1" advise="1">
        <values>
          <value>
            <val>42.48</val>
          </value>
        </values>
      </ddeItem>
      <ddeItem name="TSE,00779B,ADJUST_CLS" advise="1">
        <values>
          <value>
            <val>40.520000000000003</val>
          </value>
        </values>
      </ddeItem>
      <ddeItem name="TSE,00779B,ASK" advise="1">
        <values>
          <value>
            <val>40.5</val>
          </value>
        </values>
      </ddeItem>
      <ddeItem name="TSE,00779B,BID" advise="1">
        <values>
          <value>
            <val>40.39</val>
          </value>
        </values>
      </ddeItem>
      <ddeItem name="TSE,00779B,HIGH_1" advise="1">
        <values>
          <value>
            <val>40.5</val>
          </value>
        </values>
      </ddeItem>
      <ddeItem name="TSE,00779B,HST_CLOSE" advise="1">
        <values>
          <value>
            <val>0</val>
          </value>
        </values>
      </ddeItem>
      <ddeItem name="TSE,00779B,LOW_1" advise="1">
        <values>
          <value>
            <val>40.49</val>
          </value>
        </values>
      </ddeItem>
      <ddeItem name="TSE,00779B,OPEN_PRC" advise="1">
        <values>
          <value>
            <val>40.49</val>
          </value>
        </values>
      </ddeItem>
      <ddeItem name="TSE,00779B,TRDPRC_1" advise="1">
        <values>
          <value>
            <val>40.5</val>
          </value>
        </values>
      </ddeItem>
      <ddeItem name="TSE,00780B,ADJUST_CLS" advise="1">
        <values>
          <value>
            <val>40.299999999999997</val>
          </value>
        </values>
      </ddeItem>
      <ddeItem name="TSE,00780B,ASK" advise="1">
        <values>
          <value>
            <val>40.25</val>
          </value>
        </values>
      </ddeItem>
      <ddeItem name="TSE,00780B,BID" advise="1">
        <values>
          <value>
            <val>40.24</val>
          </value>
        </values>
      </ddeItem>
      <ddeItem name="TSE,00780B,HIGH_1" advise="1">
        <values>
          <value>
            <val>40.299999999999997</val>
          </value>
        </values>
      </ddeItem>
      <ddeItem name="TSE,00780B,HST_CLOSE" advise="1">
        <values>
          <value>
            <val>0</val>
          </value>
        </values>
      </ddeItem>
      <ddeItem name="TSE,00780B,LOW_1" advise="1">
        <values>
          <value>
            <val>40.299999999999997</val>
          </value>
        </values>
      </ddeItem>
      <ddeItem name="TSE,00780B,OPEN_PRC" advise="1">
        <values>
          <value>
            <val>40.299999999999997</val>
          </value>
        </values>
      </ddeItem>
      <ddeItem name="TSE,00780B,TRDPRC_1" advise="1">
        <values>
          <value>
            <val>40.299999999999997</val>
          </value>
        </values>
      </ddeItem>
      <ddeItem name="TSE,00781B,ADJUST_CLS" advise="1">
        <values>
          <value>
            <val>40.25</val>
          </value>
        </values>
      </ddeItem>
      <ddeItem name="TSE,00781B,ASK" advise="1">
        <values>
          <value>
            <val>40.369999999999997</val>
          </value>
        </values>
      </ddeItem>
      <ddeItem name="TSE,00781B,BID" advise="1">
        <values>
          <value>
            <val>40.299999999999997</val>
          </value>
        </values>
      </ddeItem>
      <ddeItem name="TSE,00781B,HIGH_1" advise="1">
        <values>
          <value>
            <val>40.31</val>
          </value>
        </values>
      </ddeItem>
      <ddeItem name="TSE,00781B,HST_CLOSE" advise="1">
        <values>
          <value>
            <val>0</val>
          </value>
        </values>
      </ddeItem>
      <ddeItem name="TSE,00781B,LOW_1" advise="1">
        <values>
          <value>
            <val>40.31</val>
          </value>
        </values>
      </ddeItem>
      <ddeItem name="TSE,00781B,OPEN_PRC" advise="1">
        <values>
          <value>
            <val>40.31</val>
          </value>
        </values>
      </ddeItem>
      <ddeItem name="TSE,00781B,TRDPRC_1" advise="1">
        <values>
          <value>
            <val>40.31</val>
          </value>
        </values>
      </ddeItem>
      <ddeItem name="TSE,00782B,ADJUST_CLS" advise="1">
        <values>
          <value>
            <val>40.6</val>
          </value>
        </values>
      </ddeItem>
      <ddeItem name="TSE,00782B,ASK" advise="1">
        <values>
          <value>
            <val>40.6</val>
          </value>
        </values>
      </ddeItem>
      <ddeItem name="TSE,00782B,BID" advise="1">
        <values>
          <value>
            <val>40.57</val>
          </value>
        </values>
      </ddeItem>
      <ddeItem name="TSE,00782B,HIGH_1" advise="1">
        <values>
          <value>
            <val>40.700000000000003</val>
          </value>
        </values>
      </ddeItem>
      <ddeItem name="TSE,00782B,HST_CLOSE" advise="1">
        <values>
          <value>
            <val>0</val>
          </value>
        </values>
      </ddeItem>
      <ddeItem name="TSE,00782B,LOW_1" advise="1">
        <values>
          <value>
            <val>40.6</val>
          </value>
        </values>
      </ddeItem>
      <ddeItem name="TSE,00782B,OPEN_PRC" advise="1">
        <values>
          <value>
            <val>40.6</val>
          </value>
        </values>
      </ddeItem>
      <ddeItem name="TSE,00782B,TRDPRC_1" advise="1">
        <values>
          <value>
            <val>40.700000000000003</val>
          </value>
        </values>
      </ddeItem>
      <ddeItem name="TSE,00783,ADJUST_CLS" advise="1">
        <values>
          <value>
            <val>21.84</val>
          </value>
        </values>
      </ddeItem>
      <ddeItem name="TSE,00783,ASK" advise="1">
        <values>
          <value>
            <val>22.15</val>
          </value>
        </values>
      </ddeItem>
      <ddeItem name="TSE,00783,BID" advise="1">
        <values>
          <value>
            <val>22.13</val>
          </value>
        </values>
      </ddeItem>
      <ddeItem name="TSE,00783,HIGH_1" advise="1">
        <values>
          <value>
            <val>22.15</val>
          </value>
        </values>
      </ddeItem>
      <ddeItem name="TSE,00783,HST_CLOSE" advise="1">
        <values>
          <value>
            <val>0</val>
          </value>
        </values>
      </ddeItem>
      <ddeItem name="TSE,00783,LOW_1" advise="1">
        <values>
          <value>
            <val>21.8</val>
          </value>
        </values>
      </ddeItem>
      <ddeItem name="TSE,00783,OPEN_PRC" advise="1">
        <values>
          <value>
            <val>21.84</val>
          </value>
        </values>
      </ddeItem>
      <ddeItem name="TSE,00783,TRDPRC_1" advise="1">
        <values>
          <value>
            <val>22.15</val>
          </value>
        </values>
      </ddeItem>
      <ddeItem name="TSE,00784B,ADJUST_CLS" advise="1">
        <values>
          <value>
            <val>37.35</val>
          </value>
        </values>
      </ddeItem>
      <ddeItem name="TSE,00784B,ASK" advise="1">
        <values>
          <value>
            <val>37.380000000000003</val>
          </value>
        </values>
      </ddeItem>
      <ddeItem name="TSE,00784B,BID" advise="1">
        <values>
          <value>
            <val>37.31</val>
          </value>
        </values>
      </ddeItem>
      <ddeItem name="TSE,00784B,HIGH_1" advise="1">
        <values>
          <value>
            <val>37.369999999999997</val>
          </value>
        </values>
      </ddeItem>
      <ddeItem name="TSE,00784B,HST_CLOSE" advise="1">
        <values>
          <value>
            <val>0</val>
          </value>
        </values>
      </ddeItem>
      <ddeItem name="TSE,00784B,LOW_1" advise="1">
        <values>
          <value>
            <val>37.369999999999997</val>
          </value>
        </values>
      </ddeItem>
      <ddeItem name="TSE,00784B,OPEN_PRC" advise="1">
        <values>
          <value>
            <val>37.369999999999997</val>
          </value>
        </values>
      </ddeItem>
      <ddeItem name="TSE,00784B,TRDPRC_1" advise="1">
        <values>
          <value>
            <val>37.369999999999997</val>
          </value>
        </values>
      </ddeItem>
      <ddeItem name="TSE,00785B,ADJUST_CLS" advise="1">
        <values>
          <value>
            <val>40.97</val>
          </value>
        </values>
      </ddeItem>
      <ddeItem name="TSE,00785B,ASK" advise="1">
        <values>
          <value>
            <val>41.22</val>
          </value>
        </values>
      </ddeItem>
      <ddeItem name="TSE,00785B,BID" advise="1">
        <values>
          <value>
            <val>41.13</val>
          </value>
        </values>
      </ddeItem>
      <ddeItem name="TSE,00785B,HIGH_1" advise="1">
        <values>
          <value>
            <val>41.2</val>
          </value>
        </values>
      </ddeItem>
      <ddeItem name="TSE,00785B,HST_CLOSE" advise="1">
        <values>
          <value>
            <val>0</val>
          </value>
        </values>
      </ddeItem>
      <ddeItem name="TSE,00785B,LOW_1" advise="1">
        <values>
          <value>
            <val>41.13</val>
          </value>
        </values>
      </ddeItem>
      <ddeItem name="TSE,00785B,OPEN_PRC" advise="1">
        <values>
          <value>
            <val>41.13</val>
          </value>
        </values>
      </ddeItem>
      <ddeItem name="TSE,00785B,TRDPRC_1" advise="1">
        <values>
          <value>
            <val>41.15</val>
          </value>
        </values>
      </ddeItem>
      <ddeItem name="TSE,00786B,ADJUST_CLS" advise="1">
        <values>
          <value>
            <val>40.159999999999997</val>
          </value>
        </values>
      </ddeItem>
      <ddeItem name="TSE,00786B,ASK" advise="1">
        <values>
          <value>
            <val>40.21</val>
          </value>
        </values>
      </ddeItem>
      <ddeItem name="TSE,00786B,BID" advise="1">
        <values>
          <value>
            <val>40.1</val>
          </value>
        </values>
      </ddeItem>
      <ddeItem name="TSE,00786B,HIGH_1" advise="1">
        <values>
          <value>
            <val>40.200000000000003</val>
          </value>
        </values>
      </ddeItem>
      <ddeItem name="TSE,00786B,HST_CLOSE" advise="1">
        <values>
          <value>
            <val>0</val>
          </value>
        </values>
      </ddeItem>
      <ddeItem name="TSE,00786B,LOW_1" advise="1">
        <values>
          <value>
            <val>40.119999999999997</val>
          </value>
        </values>
      </ddeItem>
      <ddeItem name="TSE,00786B,OPEN_PRC" advise="1">
        <values>
          <value>
            <val>40.119999999999997</val>
          </value>
        </values>
      </ddeItem>
      <ddeItem name="TSE,00786B,TRDPRC_1" advise="1">
        <values>
          <value>
            <val>40.200000000000003</val>
          </value>
        </values>
      </ddeItem>
      <ddeItem name="TSE,00787B,ADJUST_CLS" advise="1">
        <values>
          <value>
            <val>41.15</val>
          </value>
        </values>
      </ddeItem>
      <ddeItem name="TSE,00787B,ASK" advise="1">
        <values>
          <value>
            <val>41.22</val>
          </value>
        </values>
      </ddeItem>
      <ddeItem name="TSE,00787B,BID" advise="1">
        <values>
          <value>
            <val>41.1</val>
          </value>
        </values>
      </ddeItem>
      <ddeItem name="TSE,00787B,HIGH_1" advise="1">
        <values>
          <value>
            <val>41.13</val>
          </value>
        </values>
      </ddeItem>
      <ddeItem name="TSE,00787B,HST_CLOSE" advise="1">
        <values>
          <value>
            <val>0</val>
          </value>
        </values>
      </ddeItem>
      <ddeItem name="TSE,00787B,LOW_1" advise="1">
        <values>
          <value>
            <val>41.12</val>
          </value>
        </values>
      </ddeItem>
      <ddeItem name="TSE,00787B,OPEN_PRC" advise="1">
        <values>
          <value>
            <val>41.12</val>
          </value>
        </values>
      </ddeItem>
      <ddeItem name="TSE,00787B,TRDPRC_1" advise="1">
        <values>
          <value>
            <val>41.13</val>
          </value>
        </values>
      </ddeItem>
      <ddeItem name="TSE,00788B,ADJUST_CLS" advise="1">
        <values>
          <value>
            <val>39.130000000000003</val>
          </value>
        </values>
      </ddeItem>
      <ddeItem name="TSE,00788B,ASK" advise="1">
        <values>
          <value>
            <val>39.19</val>
          </value>
        </values>
      </ddeItem>
      <ddeItem name="TSE,00788B,BID" advise="1">
        <values>
          <value>
            <val>39.119999999999997</val>
          </value>
        </values>
      </ddeItem>
      <ddeItem name="TSE,00788B,HIGH_1" advise="1">
        <values>
          <value>
            <val>39.119999999999997</val>
          </value>
        </values>
      </ddeItem>
      <ddeItem name="TSE,00788B,HST_CLOSE" advise="1">
        <values>
          <value>
            <val>0</val>
          </value>
        </values>
      </ddeItem>
      <ddeItem name="TSE,00788B,LOW_1" advise="1">
        <values>
          <value>
            <val>39.11</val>
          </value>
        </values>
      </ddeItem>
      <ddeItem name="TSE,00788B,OPEN_PRC" advise="1">
        <values>
          <value>
            <val>39.11</val>
          </value>
        </values>
      </ddeItem>
      <ddeItem name="TSE,00788B,TRDPRC_1" advise="1">
        <values>
          <value>
            <val>39.119999999999997</val>
          </value>
        </values>
      </ddeItem>
      <ddeItem name="TSE,00789B,ADJUST_CLS" advise="1">
        <values>
          <value>
            <val>61.85</val>
          </value>
        </values>
      </ddeItem>
      <ddeItem name="TSE,00789B,ASK" advise="1">
        <values>
          <value>
            <val>61.6</val>
          </value>
        </values>
      </ddeItem>
      <ddeItem name="TSE,00789B,BID" advise="1">
        <values>
          <value>
            <val>61.5</val>
          </value>
        </values>
      </ddeItem>
      <ddeItem name="TSE,00789B,HIGH_1" advise="1">
        <values>
          <value>
            <val>61.65</val>
          </value>
        </values>
      </ddeItem>
      <ddeItem name="TSE,00789B,HST_CLOSE" advise="1">
        <values>
          <value>
            <val>0</val>
          </value>
        </values>
      </ddeItem>
      <ddeItem name="TSE,00789B,LOW_1" advise="1">
        <values>
          <value>
            <val>61.65</val>
          </value>
        </values>
      </ddeItem>
      <ddeItem name="TSE,00789B,OPEN_PRC" advise="1">
        <values>
          <value>
            <val>61.65</val>
          </value>
        </values>
      </ddeItem>
      <ddeItem name="TSE,00789B,TRDPRC_1" advise="1">
        <values>
          <value>
            <val>61.65</val>
          </value>
        </values>
      </ddeItem>
      <ddeItem name="TSE,00790B,ADJUST_CLS" advise="1">
        <values>
          <value>
            <val>61.6</val>
          </value>
        </values>
      </ddeItem>
      <ddeItem name="TSE,00790B,ASK" advise="1">
        <values>
          <value>
            <val>61.65</val>
          </value>
        </values>
      </ddeItem>
      <ddeItem name="TSE,00790B,BID" advise="1">
        <values>
          <value>
            <val>61.45</val>
          </value>
        </values>
      </ddeItem>
      <ddeItem name="TSE,00790B,HIGH_1" advise="1">
        <values>
          <value>
            <val>61.6</val>
          </value>
        </values>
      </ddeItem>
      <ddeItem name="TSE,00790B,HST_CLOSE" advise="1">
        <values>
          <value>
            <val>0</val>
          </value>
        </values>
      </ddeItem>
      <ddeItem name="TSE,00790B,LOW_1" advise="1">
        <values>
          <value>
            <val>61.6</val>
          </value>
        </values>
      </ddeItem>
      <ddeItem name="TSE,00790B,OPEN_PRC" advise="1">
        <values>
          <value>
            <val>61.6</val>
          </value>
        </values>
      </ddeItem>
      <ddeItem name="TSE,00790B,TRDPRC_1" advise="1">
        <values>
          <value>
            <val>61.6</val>
          </value>
        </values>
      </ddeItem>
      <ddeItem name="TSE,00791B,ADJUST_CLS" advise="1">
        <values>
          <value>
            <val>56.15</val>
          </value>
        </values>
      </ddeItem>
      <ddeItem name="TSE,00791B,ASK" advise="1">
        <values>
          <value>
            <val>55.8</val>
          </value>
        </values>
      </ddeItem>
      <ddeItem name="TSE,00791B,BID" advise="1">
        <values>
          <value>
            <val>55.7</val>
          </value>
        </values>
      </ddeItem>
      <ddeItem name="TSE,00791B,HIGH_1" advise="1">
        <values>
          <value>
            <val>55.9</val>
          </value>
        </values>
      </ddeItem>
      <ddeItem name="TSE,00791B,HST_CLOSE" advise="1">
        <values>
          <value>
            <val>0</val>
          </value>
        </values>
      </ddeItem>
      <ddeItem name="TSE,00791B,LOW_1" advise="1">
        <values>
          <value>
            <val>55.85</val>
          </value>
        </values>
      </ddeItem>
      <ddeItem name="TSE,00791B,OPEN_PRC" advise="1">
        <values>
          <value>
            <val>55.85</val>
          </value>
        </values>
      </ddeItem>
      <ddeItem name="TSE,00791B,TRDPRC_1" advise="1">
        <values>
          <value>
            <val>55.85</val>
          </value>
        </values>
      </ddeItem>
      <ddeItem name="TSE,00792B,ADJUST_CLS" advise="1">
        <values>
          <value>
            <val>40.44</val>
          </value>
        </values>
      </ddeItem>
      <ddeItem name="TSE,00792B,ASK" advise="1">
        <values>
          <value>
            <val>40.6</val>
          </value>
        </values>
      </ddeItem>
      <ddeItem name="TSE,00792B,BID" advise="1">
        <values>
          <value>
            <val>40.54</val>
          </value>
        </values>
      </ddeItem>
      <ddeItem name="TSE,00792B,HIGH_1" advise="1">
        <values>
          <value>
            <val>40.65</val>
          </value>
        </values>
      </ddeItem>
      <ddeItem name="TSE,00792B,HST_CLOSE" advise="1">
        <values>
          <value>
            <val>0</val>
          </value>
        </values>
      </ddeItem>
      <ddeItem name="TSE,00792B,LOW_1" advise="1">
        <values>
          <value>
            <val>40.5</val>
          </value>
        </values>
      </ddeItem>
      <ddeItem name="TSE,00792B,OPEN_PRC" advise="1">
        <values>
          <value>
            <val>40.5</val>
          </value>
        </values>
      </ddeItem>
      <ddeItem name="TSE,00792B,TRDPRC_1" advise="1">
        <values>
          <value>
            <val>40.65</val>
          </value>
        </values>
      </ddeItem>
      <ddeItem name="TSE,00793B,ADJUST_CLS" advise="1">
        <values>
          <value>
            <val>39.85</val>
          </value>
        </values>
      </ddeItem>
      <ddeItem name="TSE,00793B,ASK" advise="1">
        <values>
          <value>
            <val>40.14</val>
          </value>
        </values>
      </ddeItem>
      <ddeItem name="TSE,00793B,BID" advise="1">
        <values>
          <value>
            <val>40.01</val>
          </value>
        </values>
      </ddeItem>
      <ddeItem name="TSE,00793B,HIGH_1" advise="1">
        <values>
          <value>
            <val>40</val>
          </value>
        </values>
      </ddeItem>
      <ddeItem name="TSE,00793B,HST_CLOSE" advise="1">
        <values>
          <value>
            <val>0</val>
          </value>
        </values>
      </ddeItem>
      <ddeItem name="TSE,00793B,LOW_1" advise="1">
        <values>
          <value>
            <val>39.9</val>
          </value>
        </values>
      </ddeItem>
      <ddeItem name="TSE,00793B,OPEN_PRC" advise="1">
        <values>
          <value>
            <val>40</val>
          </value>
        </values>
      </ddeItem>
      <ddeItem name="TSE,00793B,TRDPRC_1" advise="1">
        <values>
          <value>
            <val>40</val>
          </value>
        </values>
      </ddeItem>
      <ddeItem name="TSE,00794B,ADJUST_CLS" advise="1">
        <values>
          <value>
            <val>39.75</val>
          </value>
        </values>
      </ddeItem>
      <ddeItem name="TSE,00794B,ASK" advise="1">
        <values>
          <value>
            <val>39.75</val>
          </value>
        </values>
      </ddeItem>
      <ddeItem name="TSE,00794B,BID" advise="1">
        <values>
          <value>
            <val>39.630000000000003</val>
          </value>
        </values>
      </ddeItem>
      <ddeItem name="TSE,00794B,HIGH_1" advise="1">
        <values>
          <value>
            <val>39.76</val>
          </value>
        </values>
      </ddeItem>
      <ddeItem name="TSE,00794B,HST_CLOSE" advise="1">
        <values>
          <value>
            <val>0</val>
          </value>
        </values>
      </ddeItem>
      <ddeItem name="TSE,00794B,LOW_1" advise="1">
        <values>
          <value>
            <val>39.76</val>
          </value>
        </values>
      </ddeItem>
      <ddeItem name="TSE,00794B,OPEN_PRC" advise="1">
        <values>
          <value>
            <val>39.76</val>
          </value>
        </values>
      </ddeItem>
      <ddeItem name="TSE,00794B,TRDPRC_1" advise="1">
        <values>
          <value>
            <val>39.76</val>
          </value>
        </values>
      </ddeItem>
      <ddeItem name="TSE,00795B,ADJUST_CLS" advise="1">
        <values>
          <value>
            <val>38.979999999999997</val>
          </value>
        </values>
      </ddeItem>
      <ddeItem name="TSE,00795B,ASK" advise="1">
        <values>
          <value>
            <val>39.08</val>
          </value>
        </values>
      </ddeItem>
      <ddeItem name="TSE,00795B,BID" advise="1">
        <values>
          <value>
            <val>39.06</val>
          </value>
        </values>
      </ddeItem>
      <ddeItem name="TSE,00795B,HIGH_1" advise="1">
        <values>
          <value>
            <val>39.06</val>
          </value>
        </values>
      </ddeItem>
      <ddeItem name="TSE,00795B,HST_CLOSE" advise="1">
        <values>
          <value>
            <val>0</val>
          </value>
        </values>
      </ddeItem>
      <ddeItem name="TSE,00795B,LOW_1" advise="1">
        <values>
          <value>
            <val>39</val>
          </value>
        </values>
      </ddeItem>
      <ddeItem name="TSE,00795B,OPEN_PRC" advise="1">
        <values>
          <value>
            <val>39</val>
          </value>
        </values>
      </ddeItem>
      <ddeItem name="TSE,00795B,TRDPRC_1" advise="1">
        <values>
          <value>
            <val>39.06</val>
          </value>
        </values>
      </ddeItem>
      <ddeItem name="TSE,00796B,ADJUST_CLS" advise="1">
        <values>
          <value>
            <val>39.39</val>
          </value>
        </values>
      </ddeItem>
      <ddeItem name="TSE,00796B,ASK" advise="1">
        <values>
          <value>
            <val>39.35</val>
          </value>
        </values>
      </ddeItem>
      <ddeItem name="TSE,00796B,BID" advise="1">
        <values>
          <value>
            <val>39.340000000000003</val>
          </value>
        </values>
      </ddeItem>
      <ddeItem name="TSE,00796B,HIGH_1" advise="1">
        <values>
          <value>
            <val>39.380000000000003</val>
          </value>
        </values>
      </ddeItem>
      <ddeItem name="TSE,00796B,HST_CLOSE" advise="1">
        <values>
          <value>
            <val>0</val>
          </value>
        </values>
      </ddeItem>
      <ddeItem name="TSE,00796B,LOW_1" advise="1">
        <values>
          <value>
            <val>39.33</val>
          </value>
        </values>
      </ddeItem>
      <ddeItem name="TSE,00796B,OPEN_PRC" advise="1">
        <values>
          <value>
            <val>39.35</val>
          </value>
        </values>
      </ddeItem>
      <ddeItem name="TSE,00796B,TRDPRC_1" advise="1">
        <values>
          <value>
            <val>39.380000000000003</val>
          </value>
        </values>
      </ddeItem>
      <ddeItem name="TSE,00799B,ADJUST_CLS" advise="1">
        <values>
          <value>
            <val>40.299999999999997</val>
          </value>
        </values>
      </ddeItem>
      <ddeItem name="TSE,00799B,ASK" advise="1">
        <values>
          <value>
            <val>40.159999999999997</val>
          </value>
        </values>
      </ddeItem>
      <ddeItem name="TSE,00799B,BID" advise="1">
        <values>
          <value>
            <val>40.08</val>
          </value>
        </values>
      </ddeItem>
      <ddeItem name="TSE,00799B,HIGH_1" advise="1">
        <values>
          <value>
            <val>40.18</val>
          </value>
        </values>
      </ddeItem>
      <ddeItem name="TSE,00799B,HST_CLOSE" advise="1">
        <values>
          <value>
            <val>0</val>
          </value>
        </values>
      </ddeItem>
      <ddeItem name="TSE,00799B,LOW_1" advise="1">
        <values>
          <value>
            <val>40.14</val>
          </value>
        </values>
      </ddeItem>
      <ddeItem name="TSE,00799B,OPEN_PRC" advise="1">
        <values>
          <value>
            <val>40.18</val>
          </value>
        </values>
      </ddeItem>
      <ddeItem name="TSE,00799B,TRDPRC_1" advise="1">
        <values>
          <value>
            <val>40.17</val>
          </value>
        </values>
      </ddeItem>
      <ddeItem name="TSE,008201,ADJUST_CLS" advise="1">
        <values>
          <value>
            <val>122.5</val>
          </value>
        </values>
      </ddeItem>
      <ddeItem name="TSE,008201,ASK" advise="1">
        <values>
          <value>
            <val>124</val>
          </value>
        </values>
      </ddeItem>
      <ddeItem name="TSE,008201,BID" advise="1">
        <values>
          <value>
            <val>91.2</val>
          </value>
        </values>
      </ddeItem>
      <ddeItem name="TSE,008201,HIGH_1" advise="1">
        <values>
          <value>
            <val>0</val>
          </value>
        </values>
      </ddeItem>
      <ddeItem name="TSE,008201,HST_CLOSE" advise="1">
        <values>
          <value>
            <val>0</val>
          </value>
        </values>
      </ddeItem>
      <ddeItem name="TSE,008201,LOW_1" advise="1">
        <values>
          <value>
            <val>0</val>
          </value>
        </values>
      </ddeItem>
      <ddeItem name="TSE,008201,OPEN_PRC" advise="1">
        <values>
          <value>
            <val>0</val>
          </value>
        </values>
      </ddeItem>
      <ddeItem name="TSE,008201,TRDPRC_1" advise="1">
        <values>
          <value>
            <val>0</val>
          </value>
        </values>
      </ddeItem>
      <ddeItem name="TSE,00830,ADJUST_CLS" advise="1">
        <values>
          <value>
            <val>25.29</val>
          </value>
        </values>
      </ddeItem>
      <ddeItem name="TSE,00830,ASK" advise="1">
        <values>
          <value>
            <val>25.75</val>
          </value>
        </values>
      </ddeItem>
      <ddeItem name="TSE,00830,BID" advise="1">
        <values>
          <value>
            <val>25.74</val>
          </value>
        </values>
      </ddeItem>
      <ddeItem name="TSE,00830,HIGH_1" advise="1">
        <values>
          <value>
            <val>25.77</val>
          </value>
        </values>
      </ddeItem>
      <ddeItem name="TSE,00830,HST_CLOSE" advise="1">
        <values>
          <value>
            <val>0</val>
          </value>
        </values>
      </ddeItem>
      <ddeItem name="TSE,00830,LOW_1" advise="1">
        <values>
          <value>
            <val>25.65</val>
          </value>
        </values>
      </ddeItem>
      <ddeItem name="TSE,00830,OPEN_PRC" advise="1">
        <values>
          <value>
            <val>25.68</val>
          </value>
        </values>
      </ddeItem>
      <ddeItem name="TSE,00830,TRDPRC_1" advise="1">
        <values>
          <value>
            <val>25.75</val>
          </value>
        </values>
      </ddeItem>
      <ddeItem name="TSE,00831B,ADJUST_CLS" advise="1">
        <values>
          <value>
            <val>36.700000000000003</val>
          </value>
        </values>
      </ddeItem>
      <ddeItem name="TSE,00831B,ASK" advise="1">
        <values>
          <value>
            <val>36.72</val>
          </value>
        </values>
      </ddeItem>
      <ddeItem name="TSE,00831B,BID" advise="1">
        <values>
          <value>
            <val>36.53</val>
          </value>
        </values>
      </ddeItem>
      <ddeItem name="TSE,00831B,HIGH_1" advise="1">
        <values>
          <value>
            <val>36.700000000000003</val>
          </value>
        </values>
      </ddeItem>
      <ddeItem name="TSE,00831B,HST_CLOSE" advise="1">
        <values>
          <value>
            <val>0</val>
          </value>
        </values>
      </ddeItem>
      <ddeItem name="TSE,00831B,LOW_1" advise="1">
        <values>
          <value>
            <val>36.700000000000003</val>
          </value>
        </values>
      </ddeItem>
      <ddeItem name="TSE,00831B,OPEN_PRC" advise="1">
        <values>
          <value>
            <val>36.700000000000003</val>
          </value>
        </values>
      </ddeItem>
      <ddeItem name="TSE,00831B,TRDPRC_1" advise="1">
        <values>
          <value>
            <val>36.700000000000003</val>
          </value>
        </values>
      </ddeItem>
      <ddeItem name="TSE,00832B,ADJUST_CLS" advise="1">
        <values>
          <value>
            <val>39.869999999999997</val>
          </value>
        </values>
      </ddeItem>
      <ddeItem name="TSE,00832B,ASK" advise="1">
        <values>
          <value>
            <val>39.840000000000003</val>
          </value>
        </values>
      </ddeItem>
      <ddeItem name="TSE,00832B,BID" advise="1">
        <values>
          <value>
            <val>39.79</val>
          </value>
        </values>
      </ddeItem>
      <ddeItem name="TSE,00832B,HIGH_1" advise="1">
        <values>
          <value>
            <val>39.840000000000003</val>
          </value>
        </values>
      </ddeItem>
      <ddeItem name="TSE,00832B,HST_CLOSE" advise="1">
        <values>
          <value>
            <val>0</val>
          </value>
        </values>
      </ddeItem>
      <ddeItem name="TSE,00832B,LOW_1" advise="1">
        <values>
          <value>
            <val>39.840000000000003</val>
          </value>
        </values>
      </ddeItem>
      <ddeItem name="TSE,00832B,OPEN_PRC" advise="1">
        <values>
          <value>
            <val>39.840000000000003</val>
          </value>
        </values>
      </ddeItem>
      <ddeItem name="TSE,00832B,TRDPRC_1" advise="1">
        <values>
          <value>
            <val>39.840000000000003</val>
          </value>
        </values>
      </ddeItem>
      <ddeItem name="TSE,00834B,ADJUST_CLS" advise="1">
        <values>
          <value>
            <val>40.299999999999997</val>
          </value>
        </values>
      </ddeItem>
      <ddeItem name="TSE,00834B,ASK" advise="1">
        <values>
          <value>
            <val>40.4</val>
          </value>
        </values>
      </ddeItem>
      <ddeItem name="TSE,00834B,BID" advise="1">
        <values>
          <value>
            <val>40.39</val>
          </value>
        </values>
      </ddeItem>
      <ddeItem name="TSE,00834B,HIGH_1" advise="1">
        <values>
          <value>
            <val>40.43</val>
          </value>
        </values>
      </ddeItem>
      <ddeItem name="TSE,00834B,HST_CLOSE" advise="1">
        <values>
          <value>
            <val>0</val>
          </value>
        </values>
      </ddeItem>
      <ddeItem name="TSE,00834B,LOW_1" advise="1">
        <values>
          <value>
            <val>40.369999999999997</val>
          </value>
        </values>
      </ddeItem>
      <ddeItem name="TSE,00834B,OPEN_PRC" advise="1">
        <values>
          <value>
            <val>40.369999999999997</val>
          </value>
        </values>
      </ddeItem>
      <ddeItem name="TSE,00834B,TRDPRC_1" advise="1">
        <values>
          <value>
            <val>40.43</val>
          </value>
        </values>
      </ddeItem>
      <ddeItem name="TSE,00836B,ADJUST_CLS" advise="1">
        <values>
          <value>
            <val>37.9</val>
          </value>
        </values>
      </ddeItem>
      <ddeItem name="TSE,00836B,ASK" advise="1">
        <values>
          <value>
            <val>37.950000000000003</val>
          </value>
        </values>
      </ddeItem>
      <ddeItem name="TSE,00836B,BID" advise="1">
        <values>
          <value>
            <val>37.9</val>
          </value>
        </values>
      </ddeItem>
      <ddeItem name="TSE,00836B,HIGH_1" advise="1">
        <values>
          <value>
            <val>37.909999999999997</val>
          </value>
        </values>
      </ddeItem>
      <ddeItem name="TSE,00836B,HST_CLOSE" advise="1">
        <values>
          <value>
            <val>0</val>
          </value>
        </values>
      </ddeItem>
      <ddeItem name="TSE,00836B,LOW_1" advise="1">
        <values>
          <value>
            <val>37.909999999999997</val>
          </value>
        </values>
      </ddeItem>
      <ddeItem name="TSE,00836B,OPEN_PRC" advise="1">
        <values>
          <value>
            <val>37.909999999999997</val>
          </value>
        </values>
      </ddeItem>
      <ddeItem name="TSE,00836B,TRDPRC_1" advise="1">
        <values>
          <value>
            <val>37.909999999999997</val>
          </value>
        </values>
      </ddeItem>
      <ddeItem name="TSE,00838B,ADJUST_CLS" advise="1">
        <values>
          <value>
            <val>39.1</val>
          </value>
        </values>
      </ddeItem>
      <ddeItem name="TSE,00838B,ASK" advise="1">
        <values>
          <value>
            <val>39.07</val>
          </value>
        </values>
      </ddeItem>
      <ddeItem name="TSE,00838B,BID" advise="1">
        <values>
          <value>
            <val>39.01</val>
          </value>
        </values>
      </ddeItem>
      <ddeItem name="TSE,00838B,HIGH_1" advise="1">
        <values>
          <value>
            <val>39.04</val>
          </value>
        </values>
      </ddeItem>
      <ddeItem name="TSE,00838B,HST_CLOSE" advise="1">
        <values>
          <value>
            <val>0</val>
          </value>
        </values>
      </ddeItem>
      <ddeItem name="TSE,00838B,LOW_1" advise="1">
        <values>
          <value>
            <val>39.04</val>
          </value>
        </values>
      </ddeItem>
      <ddeItem name="TSE,00838B,OPEN_PRC" advise="1">
        <values>
          <value>
            <val>39.04</val>
          </value>
        </values>
      </ddeItem>
      <ddeItem name="TSE,00838B,TRDPRC_1" advise="1">
        <values>
          <value>
            <val>39.04</val>
          </value>
        </values>
      </ddeItem>
      <ddeItem name="TSE,00839B,ADJUST_CLS" advise="1">
        <values>
          <value>
            <val>39.85</val>
          </value>
        </values>
      </ddeItem>
      <ddeItem name="TSE,00839B,ASK" advise="1">
        <values>
          <value>
            <val>39.85</val>
          </value>
        </values>
      </ddeItem>
      <ddeItem name="TSE,00839B,BID" advise="1">
        <values>
          <value>
            <val>39.81</val>
          </value>
        </values>
      </ddeItem>
      <ddeItem name="TSE,00839B,HIGH_1" advise="1">
        <values>
          <value>
            <val>39.93</val>
          </value>
        </values>
      </ddeItem>
      <ddeItem name="TSE,00839B,HST_CLOSE" advise="1">
        <values>
          <value>
            <val>0</val>
          </value>
        </values>
      </ddeItem>
      <ddeItem name="TSE,00839B,LOW_1" advise="1">
        <values>
          <value>
            <val>39.93</val>
          </value>
        </values>
      </ddeItem>
      <ddeItem name="TSE,00839B,OPEN_PRC" advise="1">
        <values>
          <value>
            <val>39.93</val>
          </value>
        </values>
      </ddeItem>
      <ddeItem name="TSE,00839B,TRDPRC_1" advise="1">
        <values>
          <value>
            <val>39.93</val>
          </value>
        </values>
      </ddeItem>
      <ddeItem name="TSE,00840B,ADJUST_CLS" advise="1">
        <values>
          <value>
            <val>37.92</val>
          </value>
        </values>
      </ddeItem>
      <ddeItem name="TSE,00840B,ASK" advise="1">
        <values>
          <value>
            <val>38.04</val>
          </value>
        </values>
      </ddeItem>
      <ddeItem name="TSE,00840B,BID" advise="1">
        <values>
          <value>
            <val>37.92</val>
          </value>
        </values>
      </ddeItem>
      <ddeItem name="TSE,00840B,HIGH_1" advise="1">
        <values>
          <value>
            <val>37.99</val>
          </value>
        </values>
      </ddeItem>
      <ddeItem name="TSE,00840B,HST_CLOSE" advise="1">
        <values>
          <value>
            <val>0</val>
          </value>
        </values>
      </ddeItem>
      <ddeItem name="TSE,00840B,LOW_1" advise="1">
        <values>
          <value>
            <val>37.99</val>
          </value>
        </values>
      </ddeItem>
      <ddeItem name="TSE,00840B,OPEN_PRC" advise="1">
        <values>
          <value>
            <val>37.99</val>
          </value>
        </values>
      </ddeItem>
      <ddeItem name="TSE,00840B,TRDPRC_1" advise="1">
        <values>
          <value>
            <val>37.99</val>
          </value>
        </values>
      </ddeItem>
      <ddeItem name="TSE,00841B,ADJUST_CLS" advise="1">
        <values>
          <value>
            <val>37.92</val>
          </value>
        </values>
      </ddeItem>
      <ddeItem name="TSE,00841B,ASK" advise="1">
        <values>
          <value>
            <val>38.159999999999997</val>
          </value>
        </values>
      </ddeItem>
      <ddeItem name="TSE,00841B,BID" advise="1">
        <values>
          <value>
            <val>38.049999999999997</val>
          </value>
        </values>
      </ddeItem>
      <ddeItem name="TSE,00841B,HIGH_1" advise="1">
        <values>
          <value>
            <val>38.1</val>
          </value>
        </values>
      </ddeItem>
      <ddeItem name="TSE,00841B,HST_CLOSE" advise="1">
        <values>
          <value>
            <val>0</val>
          </value>
        </values>
      </ddeItem>
      <ddeItem name="TSE,00841B,LOW_1" advise="1">
        <values>
          <value>
            <val>38.1</val>
          </value>
        </values>
      </ddeItem>
      <ddeItem name="TSE,00841B,OPEN_PRC" advise="1">
        <values>
          <value>
            <val>38.1</val>
          </value>
        </values>
      </ddeItem>
      <ddeItem name="TSE,00841B,TRDPRC_1" advise="1">
        <values>
          <value>
            <val>38.1</val>
          </value>
        </values>
      </ddeItem>
      <ddeItem name="TSE,00842B,ADJUST_CLS" advise="1">
        <values>
          <value>
            <val>38.9</val>
          </value>
        </values>
      </ddeItem>
      <ddeItem name="TSE,00842B,ASK" advise="1">
        <values>
          <value>
            <val>39.11</val>
          </value>
        </values>
      </ddeItem>
      <ddeItem name="TSE,00842B,BID" advise="1">
        <values>
          <value>
            <val>39.020000000000003</val>
          </value>
        </values>
      </ddeItem>
      <ddeItem name="TSE,00842B,HIGH_1" advise="1">
        <values>
          <value>
            <val>39.1</val>
          </value>
        </values>
      </ddeItem>
      <ddeItem name="TSE,00842B,HST_CLOSE" advise="1">
        <values>
          <value>
            <val>0</val>
          </value>
        </values>
      </ddeItem>
      <ddeItem name="TSE,00842B,LOW_1" advise="1">
        <values>
          <value>
            <val>39.1</val>
          </value>
        </values>
      </ddeItem>
      <ddeItem name="TSE,00842B,OPEN_PRC" advise="1">
        <values>
          <value>
            <val>39.1</val>
          </value>
        </values>
      </ddeItem>
      <ddeItem name="TSE,00842B,TRDPRC_1" advise="1">
        <values>
          <value>
            <val>39.1</val>
          </value>
        </values>
      </ddeItem>
      <ddeItem name="TSE,00843B,ADJUST_CLS" advise="1">
        <values>
          <value>
            <val>39.17</val>
          </value>
        </values>
      </ddeItem>
      <ddeItem name="TSE,00843B,ASK" advise="1">
        <values>
          <value>
            <val>39.26</val>
          </value>
        </values>
      </ddeItem>
      <ddeItem name="TSE,00843B,BID" advise="1">
        <values>
          <value>
            <val>39.18</val>
          </value>
        </values>
      </ddeItem>
      <ddeItem name="TSE,00843B,HIGH_1" advise="1">
        <values>
          <value>
            <val>39.229999999999997</val>
          </value>
        </values>
      </ddeItem>
      <ddeItem name="TSE,00843B,HST_CLOSE" advise="1">
        <values>
          <value>
            <val>0</val>
          </value>
        </values>
      </ddeItem>
      <ddeItem name="TSE,00843B,LOW_1" advise="1">
        <values>
          <value>
            <val>39.130000000000003</val>
          </value>
        </values>
      </ddeItem>
      <ddeItem name="TSE,00843B,OPEN_PRC" advise="1">
        <values>
          <value>
            <val>39.130000000000003</val>
          </value>
        </values>
      </ddeItem>
      <ddeItem name="TSE,00843B,TRDPRC_1" advise="1">
        <values>
          <value>
            <val>39.229999999999997</val>
          </value>
        </values>
      </ddeItem>
      <ddeItem name="TSE,00844B,ADJUST_CLS" advise="1">
        <values>
          <value>
            <val>38.26</val>
          </value>
        </values>
      </ddeItem>
      <ddeItem name="TSE,00844B,ASK" advise="1">
        <values>
          <value>
            <val>38.409999999999997</val>
          </value>
        </values>
      </ddeItem>
      <ddeItem name="TSE,00844B,BID" advise="1">
        <values>
          <value>
            <val>38.32</val>
          </value>
        </values>
      </ddeItem>
      <ddeItem name="TSE,00844B,HIGH_1" advise="1">
        <values>
          <value>
            <val>38.380000000000003</val>
          </value>
        </values>
      </ddeItem>
      <ddeItem name="TSE,00844B,HST_CLOSE" advise="1">
        <values>
          <value>
            <val>0</val>
          </value>
        </values>
      </ddeItem>
      <ddeItem name="TSE,00844B,LOW_1" advise="1">
        <values>
          <value>
            <val>38.380000000000003</val>
          </value>
        </values>
      </ddeItem>
      <ddeItem name="TSE,00844B,OPEN_PRC" advise="1">
        <values>
          <value>
            <val>38.380000000000003</val>
          </value>
        </values>
      </ddeItem>
      <ddeItem name="TSE,00844B,TRDPRC_1" advise="1">
        <values>
          <value>
            <val>38.380000000000003</val>
          </value>
        </values>
      </ddeItem>
      <ddeItem name="TSE,00845B,ADJUST_CLS" advise="1">
        <values>
          <value>
            <val>36.85</val>
          </value>
        </values>
      </ddeItem>
      <ddeItem name="TSE,00845B,ASK" advise="1">
        <values>
          <value>
            <val>36.81</val>
          </value>
        </values>
      </ddeItem>
      <ddeItem name="TSE,00845B,BID" advise="1">
        <values>
          <value>
            <val>36.71</val>
          </value>
        </values>
      </ddeItem>
      <ddeItem name="TSE,00845B,HIGH_1" advise="1">
        <values>
          <value>
            <val>36.78</val>
          </value>
        </values>
      </ddeItem>
      <ddeItem name="TSE,00845B,HST_CLOSE" advise="1">
        <values>
          <value>
            <val>0</val>
          </value>
        </values>
      </ddeItem>
      <ddeItem name="TSE,00845B,LOW_1" advise="1">
        <values>
          <value>
            <val>36.78</val>
          </value>
        </values>
      </ddeItem>
      <ddeItem name="TSE,00845B,OPEN_PRC" advise="1">
        <values>
          <value>
            <val>36.78</val>
          </value>
        </values>
      </ddeItem>
      <ddeItem name="TSE,00845B,TRDPRC_1" advise="1">
        <values>
          <value>
            <val>36.78</val>
          </value>
        </values>
      </ddeItem>
      <ddeItem name="TSE,00846B,ADJUST_CLS" advise="1">
        <values>
          <value>
            <val>37.049999999999997</val>
          </value>
        </values>
      </ddeItem>
      <ddeItem name="TSE,00846B,ASK" advise="1">
        <values>
          <value>
            <val>37.200000000000003</val>
          </value>
        </values>
      </ddeItem>
      <ddeItem name="TSE,00846B,BID" advise="1">
        <values>
          <value>
            <val>37.18</val>
          </value>
        </values>
      </ddeItem>
      <ddeItem name="TSE,00846B,HIGH_1" advise="1">
        <values>
          <value>
            <val>37.229999999999997</val>
          </value>
        </values>
      </ddeItem>
      <ddeItem name="TSE,00846B,HST_CLOSE" advise="1">
        <values>
          <value>
            <val>0</val>
          </value>
        </values>
      </ddeItem>
      <ddeItem name="TSE,00846B,LOW_1" advise="1">
        <values>
          <value>
            <val>37.229999999999997</val>
          </value>
        </values>
      </ddeItem>
      <ddeItem name="TSE,00846B,OPEN_PRC" advise="1">
        <values>
          <value>
            <val>37.229999999999997</val>
          </value>
        </values>
      </ddeItem>
      <ddeItem name="TSE,00846B,TRDPRC_1" advise="1">
        <values>
          <value>
            <val>37.229999999999997</val>
          </value>
        </values>
      </ddeItem>
      <ddeItem name="TSE,00847B,ADJUST_CLS" advise="1">
        <values>
          <value>
            <val>33.86</val>
          </value>
        </values>
      </ddeItem>
      <ddeItem name="TSE,00847B,ASK" advise="1">
        <values>
          <value>
            <val>33.93</val>
          </value>
        </values>
      </ddeItem>
      <ddeItem name="TSE,00847B,BID" advise="1">
        <values>
          <value>
            <val>33.92</val>
          </value>
        </values>
      </ddeItem>
      <ddeItem name="TSE,00847B,HIGH_1" advise="1">
        <values>
          <value>
            <val>33.92</val>
          </value>
        </values>
      </ddeItem>
      <ddeItem name="TSE,00847B,HST_CLOSE" advise="1">
        <values>
          <value>
            <val>0</val>
          </value>
        </values>
      </ddeItem>
      <ddeItem name="TSE,00847B,LOW_1" advise="1">
        <values>
          <value>
            <val>33.9</val>
          </value>
        </values>
      </ddeItem>
      <ddeItem name="TSE,00847B,OPEN_PRC" advise="1">
        <values>
          <value>
            <val>33.9</val>
          </value>
        </values>
      </ddeItem>
      <ddeItem name="TSE,00847B,TRDPRC_1" advise="1">
        <values>
          <value>
            <val>33.92</val>
          </value>
        </values>
      </ddeItem>
      <ddeItem name="TSE,00848B,ADJUST_CLS" advise="1">
        <values>
          <value>
            <val>36.880000000000003</val>
          </value>
        </values>
      </ddeItem>
      <ddeItem name="TSE,00848B,ASK" advise="1">
        <values>
          <value>
            <val>36.85</val>
          </value>
        </values>
      </ddeItem>
      <ddeItem name="TSE,00848B,BID" advise="1">
        <values>
          <value>
            <val>36.79</val>
          </value>
        </values>
      </ddeItem>
      <ddeItem name="TSE,00848B,HIGH_1" advise="1">
        <values>
          <value>
            <val>36.840000000000003</val>
          </value>
        </values>
      </ddeItem>
      <ddeItem name="TSE,00848B,HST_CLOSE" advise="1">
        <values>
          <value>
            <val>0</val>
          </value>
        </values>
      </ddeItem>
      <ddeItem name="TSE,00848B,LOW_1" advise="1">
        <values>
          <value>
            <val>36.799999999999997</val>
          </value>
        </values>
      </ddeItem>
      <ddeItem name="TSE,00848B,OPEN_PRC" advise="1">
        <values>
          <value>
            <val>36.799999999999997</val>
          </value>
        </values>
      </ddeItem>
      <ddeItem name="TSE,00848B,TRDPRC_1" advise="1">
        <values>
          <value>
            <val>36.799999999999997</val>
          </value>
        </values>
      </ddeItem>
      <ddeItem name="TSE,00849B,ADJUST_CLS" advise="1">
        <values>
          <value>
            <val>36.659999999999997</val>
          </value>
        </values>
      </ddeItem>
      <ddeItem name="TSE,00849B,ASK" advise="1">
        <values>
          <value>
            <val>36.770000000000003</val>
          </value>
        </values>
      </ddeItem>
      <ddeItem name="TSE,00849B,BID" advise="1">
        <values>
          <value>
            <val>36.71</val>
          </value>
        </values>
      </ddeItem>
      <ddeItem name="TSE,00849B,HIGH_1" advise="1">
        <values>
          <value>
            <val>36.729999999999997</val>
          </value>
        </values>
      </ddeItem>
      <ddeItem name="TSE,00849B,HST_CLOSE" advise="1">
        <values>
          <value>
            <val>0</val>
          </value>
        </values>
      </ddeItem>
      <ddeItem name="TSE,00849B,LOW_1" advise="1">
        <values>
          <value>
            <val>36.71</val>
          </value>
        </values>
      </ddeItem>
      <ddeItem name="TSE,00849B,OPEN_PRC" advise="1">
        <values>
          <value>
            <val>36.729999999999997</val>
          </value>
        </values>
      </ddeItem>
      <ddeItem name="TSE,00849B,TRDPRC_1" advise="1">
        <values>
          <value>
            <val>36.71</val>
          </value>
        </values>
      </ddeItem>
      <ddeItem name="TSE,00850,ADJUST_CLS" advise="1">
        <values>
          <value>
            <val>31.55</val>
          </value>
        </values>
      </ddeItem>
      <ddeItem name="TSE,00850,ASK" advise="1">
        <values>
          <value>
            <val>32</val>
          </value>
        </values>
      </ddeItem>
      <ddeItem name="TSE,00850,BID" advise="1">
        <values>
          <value>
            <val>31.99</val>
          </value>
        </values>
      </ddeItem>
      <ddeItem name="TSE,00850,HIGH_1" advise="1">
        <values>
          <value>
            <val>32.299999999999997</val>
          </value>
        </values>
      </ddeItem>
      <ddeItem name="TSE,00850,HST_CLOSE" advise="1">
        <values>
          <value>
            <val>0</val>
          </value>
        </values>
      </ddeItem>
      <ddeItem name="TSE,00850,LOW_1" advise="1">
        <values>
          <value>
            <val>31.75</val>
          </value>
        </values>
      </ddeItem>
      <ddeItem name="TSE,00850,OPEN_PRC" advise="1">
        <values>
          <value>
            <val>31.95</val>
          </value>
        </values>
      </ddeItem>
      <ddeItem name="TSE,00850,TRDPRC_1" advise="1">
        <values>
          <value>
            <val>32</val>
          </value>
        </values>
      </ddeItem>
      <ddeItem name="TSE,00851,ADJUST_CLS" advise="1">
        <values>
          <value>
            <val>28.25</val>
          </value>
        </values>
      </ddeItem>
      <ddeItem name="TSE,00851,ASK" advise="1">
        <values>
          <value>
            <val>28.42</val>
          </value>
        </values>
      </ddeItem>
      <ddeItem name="TSE,00851,BID" advise="1">
        <values>
          <value>
            <val>28.39</val>
          </value>
        </values>
      </ddeItem>
      <ddeItem name="TSE,00851,HIGH_1" advise="1">
        <values>
          <value>
            <val>28.38</val>
          </value>
        </values>
      </ddeItem>
      <ddeItem name="TSE,00851,HST_CLOSE" advise="1">
        <values>
          <value>
            <val>0</val>
          </value>
        </values>
      </ddeItem>
      <ddeItem name="TSE,00851,LOW_1" advise="1">
        <values>
          <value>
            <val>28.33</val>
          </value>
        </values>
      </ddeItem>
      <ddeItem name="TSE,00851,OPEN_PRC" advise="1">
        <values>
          <value>
            <val>28.35</val>
          </value>
        </values>
      </ddeItem>
      <ddeItem name="TSE,00851,TRDPRC_1" advise="1">
        <values>
          <value>
            <val>28.38</val>
          </value>
        </values>
      </ddeItem>
      <ddeItem name="TSE,00852L,ADJUST_CLS" advise="1">
        <values>
          <value>
            <val>19.7</val>
          </value>
        </values>
      </ddeItem>
      <ddeItem name="TSE,00852L,ASK" advise="1">
        <values>
          <value>
            <val>20.399999999999999</val>
          </value>
        </values>
      </ddeItem>
      <ddeItem name="TSE,00852L,BID" advise="1">
        <values>
          <value>
            <val>20.36</val>
          </value>
        </values>
      </ddeItem>
      <ddeItem name="TSE,00852L,HIGH_1" advise="1">
        <values>
          <value>
            <val>20.399999999999999</val>
          </value>
        </values>
      </ddeItem>
      <ddeItem name="TSE,00852L,HST_CLOSE" advise="1">
        <values>
          <value>
            <val>0</val>
          </value>
        </values>
      </ddeItem>
      <ddeItem name="TSE,00852L,LOW_1" advise="1">
        <values>
          <value>
            <val>20.25</val>
          </value>
        </values>
      </ddeItem>
      <ddeItem name="TSE,00852L,OPEN_PRC" advise="1">
        <values>
          <value>
            <val>20.28</val>
          </value>
        </values>
      </ddeItem>
      <ddeItem name="TSE,00852L,TRDPRC_1" advise="1">
        <values>
          <value>
            <val>20.36</val>
          </value>
        </values>
      </ddeItem>
      <ddeItem name="TSE,00853B,ADJUST_CLS" advise="1">
        <values>
          <value>
            <val>34.14</val>
          </value>
        </values>
      </ddeItem>
      <ddeItem name="TSE,00853B,ASK" advise="1">
        <values>
          <value>
            <val>34.200000000000003</val>
          </value>
        </values>
      </ddeItem>
      <ddeItem name="TSE,00853B,BID" advise="1">
        <values>
          <value>
            <val>33.840000000000003</val>
          </value>
        </values>
      </ddeItem>
      <ddeItem name="TSE,00853B,HIGH_1" advise="1">
        <values>
          <value>
            <val>0</val>
          </value>
        </values>
      </ddeItem>
      <ddeItem name="TSE,00853B,HST_CLOSE" advise="1">
        <values>
          <value>
            <val>0</val>
          </value>
        </values>
      </ddeItem>
      <ddeItem name="TSE,00853B,LOW_1" advise="1">
        <values>
          <value>
            <val>0</val>
          </value>
        </values>
      </ddeItem>
      <ddeItem name="TSE,00853B,OPEN_PRC" advise="1">
        <values>
          <value>
            <val>0</val>
          </value>
        </values>
      </ddeItem>
      <ddeItem name="TSE,00853B,TRDPRC_1" advise="1">
        <values>
          <value>
            <val>0</val>
          </value>
        </values>
      </ddeItem>
      <ddeItem name="TSE,00856B,ADJUST_CLS" advise="1">
        <values>
          <value>
            <val>36.549999999999997</val>
          </value>
        </values>
      </ddeItem>
      <ddeItem name="TSE,00856B,ASK" advise="1">
        <values>
          <value>
            <val>36.520000000000003</val>
          </value>
        </values>
      </ddeItem>
      <ddeItem name="TSE,00856B,BID" advise="1">
        <values>
          <value>
            <val>36.46</val>
          </value>
        </values>
      </ddeItem>
      <ddeItem name="TSE,00856B,HIGH_1" advise="1">
        <values>
          <value>
            <val>36.49</val>
          </value>
        </values>
      </ddeItem>
      <ddeItem name="TSE,00856B,HST_CLOSE" advise="1">
        <values>
          <value>
            <val>0</val>
          </value>
        </values>
      </ddeItem>
      <ddeItem name="TSE,00856B,LOW_1" advise="1">
        <values>
          <value>
            <val>36.49</val>
          </value>
        </values>
      </ddeItem>
      <ddeItem name="TSE,00856B,OPEN_PRC" advise="1">
        <values>
          <value>
            <val>36.49</val>
          </value>
        </values>
      </ddeItem>
      <ddeItem name="TSE,00856B,TRDPRC_1" advise="1">
        <values>
          <value>
            <val>36.49</val>
          </value>
        </values>
      </ddeItem>
      <ddeItem name="TSE,00857B,ADJUST_CLS" advise="1">
        <values>
          <value>
            <val>34.67</val>
          </value>
        </values>
      </ddeItem>
      <ddeItem name="TSE,00857B,ASK" advise="1">
        <values>
          <value>
            <val>34.78</val>
          </value>
        </values>
      </ddeItem>
      <ddeItem name="TSE,00857B,BID" advise="1">
        <values>
          <value>
            <val>34.72</val>
          </value>
        </values>
      </ddeItem>
      <ddeItem name="TSE,00857B,HIGH_1" advise="1">
        <values>
          <value>
            <val>34.729999999999997</val>
          </value>
        </values>
      </ddeItem>
      <ddeItem name="TSE,00857B,HST_CLOSE" advise="1">
        <values>
          <value>
            <val>0</val>
          </value>
        </values>
      </ddeItem>
      <ddeItem name="TSE,00857B,LOW_1" advise="1">
        <values>
          <value>
            <val>34.72</val>
          </value>
        </values>
      </ddeItem>
      <ddeItem name="TSE,00857B,OPEN_PRC" advise="1">
        <values>
          <value>
            <val>34.72</val>
          </value>
        </values>
      </ddeItem>
      <ddeItem name="TSE,00857B,TRDPRC_1" advise="1">
        <values>
          <value>
            <val>34.729999999999997</val>
          </value>
        </values>
      </ddeItem>
      <ddeItem name="TSE,00858,ADJUST_CLS" advise="1">
        <values>
          <value>
            <val>26.15</val>
          </value>
        </values>
      </ddeItem>
      <ddeItem name="TSE,00858,ASK" advise="1">
        <values>
          <value>
            <val>26.49</val>
          </value>
        </values>
      </ddeItem>
      <ddeItem name="TSE,00858,BID" advise="1">
        <values>
          <value>
            <val>26.46</val>
          </value>
        </values>
      </ddeItem>
      <ddeItem name="TSE,00858,HIGH_1" advise="1">
        <values>
          <value>
            <val>26.46</val>
          </value>
        </values>
      </ddeItem>
      <ddeItem name="TSE,00858,HST_CLOSE" advise="1">
        <values>
          <value>
            <val>0</val>
          </value>
        </values>
      </ddeItem>
      <ddeItem name="TSE,00858,LOW_1" advise="1">
        <values>
          <value>
            <val>26.22</val>
          </value>
        </values>
      </ddeItem>
      <ddeItem name="TSE,00858,OPEN_PRC" advise="1">
        <values>
          <value>
            <val>26.22</val>
          </value>
        </values>
      </ddeItem>
      <ddeItem name="TSE,00858,TRDPRC_1" advise="1">
        <values>
          <value>
            <val>26.44</val>
          </value>
        </values>
      </ddeItem>
      <ddeItem name="TSE,00859B,ADJUST_CLS" advise="1">
        <values>
          <value>
            <val>36.200000000000003</val>
          </value>
        </values>
      </ddeItem>
      <ddeItem name="TSE,00859B,ASK" advise="1">
        <values>
          <value>
            <val>36.28</val>
          </value>
        </values>
      </ddeItem>
      <ddeItem name="TSE,00859B,BID" advise="1">
        <values>
          <value>
            <val>36.18</val>
          </value>
        </values>
      </ddeItem>
      <ddeItem name="TSE,00859B,HIGH_1" advise="1">
        <values>
          <value>
            <val>36.229999999999997</val>
          </value>
        </values>
      </ddeItem>
      <ddeItem name="TSE,00859B,HST_CLOSE" advise="1">
        <values>
          <value>
            <val>0</val>
          </value>
        </values>
      </ddeItem>
      <ddeItem name="TSE,00859B,LOW_1" advise="1">
        <values>
          <value>
            <val>36.18</val>
          </value>
        </values>
      </ddeItem>
      <ddeItem name="TSE,00859B,OPEN_PRC" advise="1">
        <values>
          <value>
            <val>36.229999999999997</val>
          </value>
        </values>
      </ddeItem>
      <ddeItem name="TSE,00859B,TRDPRC_1" advise="1">
        <values>
          <value>
            <val>36.18</val>
          </value>
        </values>
      </ddeItem>
      <ddeItem name="TSE,00860B,ADJUST_CLS" advise="1">
        <values>
          <value>
            <val>37.42</val>
          </value>
        </values>
      </ddeItem>
      <ddeItem name="TSE,00860B,ASK" advise="1">
        <values>
          <value>
            <val>37.53</val>
          </value>
        </values>
      </ddeItem>
      <ddeItem name="TSE,00860B,BID" advise="1">
        <values>
          <value>
            <val>37.450000000000003</val>
          </value>
        </values>
      </ddeItem>
      <ddeItem name="TSE,00860B,HIGH_1" advise="1">
        <values>
          <value>
            <val>37.49</val>
          </value>
        </values>
      </ddeItem>
      <ddeItem name="TSE,00860B,HST_CLOSE" advise="1">
        <values>
          <value>
            <val>0</val>
          </value>
        </values>
      </ddeItem>
      <ddeItem name="TSE,00860B,LOW_1" advise="1">
        <values>
          <value>
            <val>37.49</val>
          </value>
        </values>
      </ddeItem>
      <ddeItem name="TSE,00860B,OPEN_PRC" advise="1">
        <values>
          <value>
            <val>37.49</val>
          </value>
        </values>
      </ddeItem>
      <ddeItem name="TSE,00860B,TRDPRC_1" advise="1">
        <values>
          <value>
            <val>37.49</val>
          </value>
        </values>
      </ddeItem>
      <ddeItem name="TSE,00861,ADJUST_CLS" advise="1">
        <values>
          <value>
            <val>27.12</val>
          </value>
        </values>
      </ddeItem>
      <ddeItem name="TSE,00861,ASK" advise="1">
        <values>
          <value>
            <val>27.62</val>
          </value>
        </values>
      </ddeItem>
      <ddeItem name="TSE,00861,BID" advise="1">
        <values>
          <value>
            <val>27.61</val>
          </value>
        </values>
      </ddeItem>
      <ddeItem name="TSE,00861,HIGH_1" advise="1">
        <values>
          <value>
            <val>27.65</val>
          </value>
        </values>
      </ddeItem>
      <ddeItem name="TSE,00861,HST_CLOSE" advise="1">
        <values>
          <value>
            <val>0</val>
          </value>
        </values>
      </ddeItem>
      <ddeItem name="TSE,00861,LOW_1" advise="1">
        <values>
          <value>
            <val>27.12</val>
          </value>
        </values>
      </ddeItem>
      <ddeItem name="TSE,00861,OPEN_PRC" advise="1">
        <values>
          <value>
            <val>27.12</val>
          </value>
        </values>
      </ddeItem>
      <ddeItem name="TSE,00861,TRDPRC_1" advise="1">
        <values>
          <value>
            <val>27.61</val>
          </value>
        </values>
      </ddeItem>
      <ddeItem name="TSE,00862B,ADJUST_CLS" advise="1">
        <values>
          <value>
            <val>37.51</val>
          </value>
        </values>
      </ddeItem>
      <ddeItem name="TSE,00862B,ASK" advise="1">
        <values>
          <value>
            <val>37.65</val>
          </value>
        </values>
      </ddeItem>
      <ddeItem name="TSE,00862B,BID" advise="1">
        <values>
          <value>
            <val>37.630000000000003</val>
          </value>
        </values>
      </ddeItem>
      <ddeItem name="TSE,00862B,HIGH_1" advise="1">
        <values>
          <value>
            <val>37.67</val>
          </value>
        </values>
      </ddeItem>
      <ddeItem name="TSE,00862B,HST_CLOSE" advise="1">
        <values>
          <value>
            <val>0</val>
          </value>
        </values>
      </ddeItem>
      <ddeItem name="TSE,00862B,LOW_1" advise="1">
        <values>
          <value>
            <val>37.6</val>
          </value>
        </values>
      </ddeItem>
      <ddeItem name="TSE,00862B,OPEN_PRC" advise="1">
        <values>
          <value>
            <val>37.619999999999997</val>
          </value>
        </values>
      </ddeItem>
      <ddeItem name="TSE,00862B,TRDPRC_1" advise="1">
        <values>
          <value>
            <val>37.65</val>
          </value>
        </values>
      </ddeItem>
      <ddeItem name="TSE,00863B,ADJUST_CLS" advise="1">
        <values>
          <value>
            <val>37.659999999999997</val>
          </value>
        </values>
      </ddeItem>
      <ddeItem name="TSE,00863B,ASK" advise="1">
        <values>
          <value>
            <val>37.86</val>
          </value>
        </values>
      </ddeItem>
      <ddeItem name="TSE,00863B,BID" advise="1">
        <values>
          <value>
            <val>37.81</val>
          </value>
        </values>
      </ddeItem>
      <ddeItem name="TSE,00863B,HIGH_1" advise="1">
        <values>
          <value>
            <val>37.82</val>
          </value>
        </values>
      </ddeItem>
      <ddeItem name="TSE,00863B,HST_CLOSE" advise="1">
        <values>
          <value>
            <val>0</val>
          </value>
        </values>
      </ddeItem>
      <ddeItem name="TSE,00863B,LOW_1" advise="1">
        <values>
          <value>
            <val>37.79</val>
          </value>
        </values>
      </ddeItem>
      <ddeItem name="TSE,00863B,OPEN_PRC" advise="1">
        <values>
          <value>
            <val>37.799999999999997</val>
          </value>
        </values>
      </ddeItem>
      <ddeItem name="TSE,00863B,TRDPRC_1" advise="1">
        <values>
          <value>
            <val>37.82</val>
          </value>
        </values>
      </ddeItem>
      <ddeItem name="TSE,00864B,ADJUST_CLS" advise="1">
        <values>
          <value>
            <val>36.770000000000003</val>
          </value>
        </values>
      </ddeItem>
      <ddeItem name="TSE,00864B,ASK" advise="1">
        <values>
          <value>
            <val>36.79</val>
          </value>
        </values>
      </ddeItem>
      <ddeItem name="TSE,00864B,BID" advise="1">
        <values>
          <value>
            <val>36.75</val>
          </value>
        </values>
      </ddeItem>
      <ddeItem name="TSE,00864B,HIGH_1" advise="1">
        <values>
          <value>
            <val>36.799999999999997</val>
          </value>
        </values>
      </ddeItem>
      <ddeItem name="TSE,00864B,HST_CLOSE" advise="1">
        <values>
          <value>
            <val>0</val>
          </value>
        </values>
      </ddeItem>
      <ddeItem name="TSE,00864B,LOW_1" advise="1">
        <values>
          <value>
            <val>36.79</val>
          </value>
        </values>
      </ddeItem>
      <ddeItem name="TSE,00864B,OPEN_PRC" advise="1">
        <values>
          <value>
            <val>36.799999999999997</val>
          </value>
        </values>
      </ddeItem>
      <ddeItem name="TSE,00864B,TRDPRC_1" advise="1">
        <values>
          <value>
            <val>36.79</val>
          </value>
        </values>
      </ddeItem>
      <ddeItem name="TSE,00865B,ADJUST_CLS" advise="1">
        <values>
          <value>
            <val>36.6</val>
          </value>
        </values>
      </ddeItem>
      <ddeItem name="TSE,00865B,ASK" advise="1">
        <values>
          <value>
            <val>36.54</val>
          </value>
        </values>
      </ddeItem>
      <ddeItem name="TSE,00865B,BID" advise="1">
        <values>
          <value>
            <val>36.409999999999997</val>
          </value>
        </values>
      </ddeItem>
      <ddeItem name="TSE,00865B,HIGH_1" advise="1">
        <values>
          <value>
            <val>36.54</val>
          </value>
        </values>
      </ddeItem>
      <ddeItem name="TSE,00865B,HST_CLOSE" advise="1">
        <values>
          <value>
            <val>0</val>
          </value>
        </values>
      </ddeItem>
      <ddeItem name="TSE,00865B,LOW_1" advise="1">
        <values>
          <value>
            <val>36.5</val>
          </value>
        </values>
      </ddeItem>
      <ddeItem name="TSE,00865B,OPEN_PRC" advise="1">
        <values>
          <value>
            <val>36.5</val>
          </value>
        </values>
      </ddeItem>
      <ddeItem name="TSE,00865B,TRDPRC_1" advise="1">
        <values>
          <value>
            <val>36.54</val>
          </value>
        </values>
      </ddeItem>
      <ddeItem name="TSE,00867B,ADJUST_CLS" advise="1">
        <values>
          <value>
            <val>37.85</val>
          </value>
        </values>
      </ddeItem>
      <ddeItem name="TSE,00867B,ASK" advise="1">
        <values>
          <value>
            <val>37.97</val>
          </value>
        </values>
      </ddeItem>
      <ddeItem name="TSE,00867B,BID" advise="1">
        <values>
          <value>
            <val>37.770000000000003</val>
          </value>
        </values>
      </ddeItem>
      <ddeItem name="TSE,00867B,HIGH_1" advise="1">
        <values>
          <value>
            <val>37.93</val>
          </value>
        </values>
      </ddeItem>
      <ddeItem name="TSE,00867B,HST_CLOSE" advise="1">
        <values>
          <value>
            <val>0</val>
          </value>
        </values>
      </ddeItem>
      <ddeItem name="TSE,00867B,LOW_1" advise="1">
        <values>
          <value>
            <val>37.93</val>
          </value>
        </values>
      </ddeItem>
      <ddeItem name="TSE,00867B,OPEN_PRC" advise="1">
        <values>
          <value>
            <val>37.93</val>
          </value>
        </values>
      </ddeItem>
      <ddeItem name="TSE,00867B,TRDPRC_1" advise="1">
        <values>
          <value>
            <val>37.93</val>
          </value>
        </values>
      </ddeItem>
      <ddeItem name="TSE,00868B,ADJUST_CLS" advise="1">
        <values>
          <value>
            <val>0</val>
          </value>
        </values>
      </ddeItem>
      <ddeItem name="TSE,00868B,ASK" advise="1">
        <values>
          <value>
            <val>0</val>
          </value>
        </values>
      </ddeItem>
      <ddeItem name="TSE,00868B,BID" advise="1">
        <values>
          <value>
            <val>0</val>
          </value>
        </values>
      </ddeItem>
      <ddeItem name="TSE,00868B,HIGH_1" advise="1">
        <values>
          <value>
            <val>0</val>
          </value>
        </values>
      </ddeItem>
      <ddeItem name="TSE,00868B,HST_CLOSE" advise="1">
        <values>
          <value>
            <val>0</val>
          </value>
        </values>
      </ddeItem>
      <ddeItem name="TSE,00868B,LOW_1" advise="1">
        <values>
          <value>
            <val>0</val>
          </value>
        </values>
      </ddeItem>
      <ddeItem name="TSE,00868B,OPEN_PRC" advise="1">
        <values>
          <value>
            <val>0</val>
          </value>
        </values>
      </ddeItem>
      <ddeItem name="TSE,00868B,TRDPRC_1" advise="1">
        <values>
          <value>
            <val>0</val>
          </value>
        </values>
      </ddeItem>
      <ddeItem name="TSE,00869B,ADJUST_CLS" advise="1">
        <values>
          <value>
            <val>36.44</val>
          </value>
        </values>
      </ddeItem>
      <ddeItem name="TSE,00869B,ASK" advise="1">
        <values>
          <value>
            <val>36.49</val>
          </value>
        </values>
      </ddeItem>
      <ddeItem name="TSE,00869B,BID" advise="1">
        <values>
          <value>
            <val>36.380000000000003</val>
          </value>
        </values>
      </ddeItem>
      <ddeItem name="TSE,00869B,HIGH_1" advise="1">
        <values>
          <value>
            <val>36.44</val>
          </value>
        </values>
      </ddeItem>
      <ddeItem name="TSE,00869B,HST_CLOSE" advise="1">
        <values>
          <value>
            <val>0</val>
          </value>
        </values>
      </ddeItem>
      <ddeItem name="TSE,00869B,LOW_1" advise="1">
        <values>
          <value>
            <val>36.42</val>
          </value>
        </values>
      </ddeItem>
      <ddeItem name="TSE,00869B,OPEN_PRC" advise="1">
        <values>
          <value>
            <val>36.42</val>
          </value>
        </values>
      </ddeItem>
      <ddeItem name="TSE,00869B,TRDPRC_1" advise="1">
        <values>
          <value>
            <val>36.44</val>
          </value>
        </values>
      </ddeItem>
      <ddeItem name="TSE,00870B,ADJUST_CLS" advise="1">
        <values>
          <value>
            <val>37.090000000000003</val>
          </value>
        </values>
      </ddeItem>
      <ddeItem name="TSE,00870B,ASK" advise="1">
        <values>
          <value>
            <val>36.97</val>
          </value>
        </values>
      </ddeItem>
      <ddeItem name="TSE,00870B,BID" advise="1">
        <values>
          <value>
            <val>36.880000000000003</val>
          </value>
        </values>
      </ddeItem>
      <ddeItem name="TSE,00870B,HIGH_1" advise="1">
        <values>
          <value>
            <val>37</val>
          </value>
        </values>
      </ddeItem>
      <ddeItem name="TSE,00870B,HST_CLOSE" advise="1">
        <values>
          <value>
            <val>0</val>
          </value>
        </values>
      </ddeItem>
      <ddeItem name="TSE,00870B,LOW_1" advise="1">
        <values>
          <value>
            <val>36.85</val>
          </value>
        </values>
      </ddeItem>
      <ddeItem name="TSE,00870B,OPEN_PRC" advise="1">
        <values>
          <value>
            <val>37</val>
          </value>
        </values>
      </ddeItem>
      <ddeItem name="TSE,00870B,TRDPRC_1" advise="1">
        <values>
          <value>
            <val>36.97</val>
          </value>
        </values>
      </ddeItem>
      <ddeItem name="TSE,00872B,ADJUST_CLS" advise="1">
        <values>
          <value>
            <val>37.53</val>
          </value>
        </values>
      </ddeItem>
      <ddeItem name="TSE,00872B,ASK" advise="1">
        <values>
          <value>
            <val>37.6</val>
          </value>
        </values>
      </ddeItem>
      <ddeItem name="TSE,00872B,BID" advise="1">
        <values>
          <value>
            <val>37.49</val>
          </value>
        </values>
      </ddeItem>
      <ddeItem name="TSE,00872B,HIGH_1" advise="1">
        <values>
          <value>
            <val>37.6</val>
          </value>
        </values>
      </ddeItem>
      <ddeItem name="TSE,00872B,HST_CLOSE" advise="1">
        <values>
          <value>
            <val>0</val>
          </value>
        </values>
      </ddeItem>
      <ddeItem name="TSE,00872B,LOW_1" advise="1">
        <values>
          <value>
            <val>37.6</val>
          </value>
        </values>
      </ddeItem>
      <ddeItem name="TSE,00872B,OPEN_PRC" advise="1">
        <values>
          <value>
            <val>37.6</val>
          </value>
        </values>
      </ddeItem>
      <ddeItem name="TSE,00872B,TRDPRC_1" advise="1">
        <values>
          <value>
            <val>37.6</val>
          </value>
        </values>
      </ddeItem>
      <ddeItem name="TSE,00875,ADJUST_CLS" advise="1">
        <values>
          <value>
            <val>29.29</val>
          </value>
        </values>
      </ddeItem>
      <ddeItem name="TSE,00875,ASK" advise="1">
        <values>
          <value>
            <val>29.48</val>
          </value>
        </values>
      </ddeItem>
      <ddeItem name="TSE,00875,BID" advise="1">
        <values>
          <value>
            <val>29.45</val>
          </value>
        </values>
      </ddeItem>
      <ddeItem name="TSE,00875,HIGH_1" advise="1">
        <values>
          <value>
            <val>29.5</val>
          </value>
        </values>
      </ddeItem>
      <ddeItem name="TSE,00875,HST_CLOSE" advise="1">
        <values>
          <value>
            <val>0</val>
          </value>
        </values>
      </ddeItem>
      <ddeItem name="TSE,00875,LOW_1" advise="1">
        <values>
          <value>
            <val>29.3</val>
          </value>
        </values>
      </ddeItem>
      <ddeItem name="TSE,00875,OPEN_PRC" advise="1">
        <values>
          <value>
            <val>29.3</val>
          </value>
        </values>
      </ddeItem>
      <ddeItem name="TSE,00875,TRDPRC_1" advise="1">
        <values>
          <value>
            <val>29.48</val>
          </value>
        </values>
      </ddeItem>
      <ddeItem name="TSE,00876,ADJUST_CLS" advise="1">
        <values>
          <value>
            <val>26.55</val>
          </value>
        </values>
      </ddeItem>
      <ddeItem name="TSE,00876,ASK" advise="1">
        <values>
          <value>
            <val>26.96</val>
          </value>
        </values>
      </ddeItem>
      <ddeItem name="TSE,00876,BID" advise="1">
        <values>
          <value>
            <val>26.95</val>
          </value>
        </values>
      </ddeItem>
      <ddeItem name="TSE,00876,HIGH_1" advise="1">
        <values>
          <value>
            <val>27.1</val>
          </value>
        </values>
      </ddeItem>
      <ddeItem name="TSE,00876,HST_CLOSE" advise="1">
        <values>
          <value>
            <val>0</val>
          </value>
        </values>
      </ddeItem>
      <ddeItem name="TSE,00876,LOW_1" advise="1">
        <values>
          <value>
            <val>26.73</val>
          </value>
        </values>
      </ddeItem>
      <ddeItem name="TSE,00876,OPEN_PRC" advise="1">
        <values>
          <value>
            <val>26.73</val>
          </value>
        </values>
      </ddeItem>
      <ddeItem name="TSE,00876,TRDPRC_1" advise="1">
        <values>
          <value>
            <val>26.96</val>
          </value>
        </values>
      </ddeItem>
      <ddeItem name="TSE,00878,ADJUST_CLS" advise="1">
        <values>
          <value>
            <val>17.829999999999998</val>
          </value>
        </values>
      </ddeItem>
      <ddeItem name="TSE,00878,ASK" advise="1">
        <values>
          <value>
            <val>18.05</val>
          </value>
        </values>
      </ddeItem>
      <ddeItem name="TSE,00878,BID" advise="1">
        <values>
          <value>
            <val>18.04</val>
          </value>
        </values>
      </ddeItem>
      <ddeItem name="TSE,00878,HIGH_1" advise="1">
        <values>
          <value>
            <val>18.239999999999998</val>
          </value>
        </values>
      </ddeItem>
      <ddeItem name="TSE,00878,HST_CLOSE" advise="1">
        <values>
          <value>
            <val>0</val>
          </value>
        </values>
      </ddeItem>
      <ddeItem name="TSE,00878,LOW_1" advise="1">
        <values>
          <value>
            <val>17.96</val>
          </value>
        </values>
      </ddeItem>
      <ddeItem name="TSE,00878,OPEN_PRC" advise="1">
        <values>
          <value>
            <val>18</val>
          </value>
        </values>
      </ddeItem>
      <ddeItem name="TSE,00878,TRDPRC_1" advise="1">
        <values>
          <value>
            <val>18.05</val>
          </value>
        </values>
      </ddeItem>
      <ddeItem name="TSE,00879B,ADJUST_CLS" advise="1">
        <values>
          <value>
            <val>36.799999999999997</val>
          </value>
        </values>
      </ddeItem>
      <ddeItem name="TSE,00879B,ASK" advise="1">
        <values>
          <value>
            <val>36.9</val>
          </value>
        </values>
      </ddeItem>
      <ddeItem name="TSE,00879B,BID" advise="1">
        <values>
          <value>
            <val>36.630000000000003</val>
          </value>
        </values>
      </ddeItem>
      <ddeItem name="TSE,00879B,HIGH_1" advise="1">
        <values>
          <value>
            <val>36.799999999999997</val>
          </value>
        </values>
      </ddeItem>
      <ddeItem name="TSE,00879B,HST_CLOSE" advise="1">
        <values>
          <value>
            <val>0</val>
          </value>
        </values>
      </ddeItem>
      <ddeItem name="TSE,00879B,LOW_1" advise="1">
        <values>
          <value>
            <val>36.799999999999997</val>
          </value>
        </values>
      </ddeItem>
      <ddeItem name="TSE,00879B,OPEN_PRC" advise="1">
        <values>
          <value>
            <val>36.799999999999997</val>
          </value>
        </values>
      </ddeItem>
      <ddeItem name="TSE,00879B,TRDPRC_1" advise="1">
        <values>
          <value>
            <val>36.799999999999997</val>
          </value>
        </values>
      </ddeItem>
      <ddeItem name="TSE,00880B,ADJUST_CLS" advise="1">
        <values>
          <value>
            <val>34.200000000000003</val>
          </value>
        </values>
      </ddeItem>
      <ddeItem name="TSE,00880B,ASK" advise="1">
        <values>
          <value>
            <val>34.409999999999997</val>
          </value>
        </values>
      </ddeItem>
      <ddeItem name="TSE,00880B,BID" advise="1">
        <values>
          <value>
            <val>33.9</val>
          </value>
        </values>
      </ddeItem>
      <ddeItem name="TSE,00880B,HIGH_1" advise="1">
        <values>
          <value>
            <val>34.200000000000003</val>
          </value>
        </values>
      </ddeItem>
      <ddeItem name="TSE,00880B,HST_CLOSE" advise="1">
        <values>
          <value>
            <val>0</val>
          </value>
        </values>
      </ddeItem>
      <ddeItem name="TSE,00880B,LOW_1" advise="1">
        <values>
          <value>
            <val>34</val>
          </value>
        </values>
      </ddeItem>
      <ddeItem name="TSE,00880B,OPEN_PRC" advise="1">
        <values>
          <value>
            <val>34.200000000000003</val>
          </value>
        </values>
      </ddeItem>
      <ddeItem name="TSE,00880B,TRDPRC_1" advise="1">
        <values>
          <value>
            <val>34</val>
          </value>
        </values>
      </ddeItem>
      <ddeItem name="TSE,00881,ADJUST_CLS" advise="1">
        <values>
          <value>
            <val>16.22</val>
          </value>
        </values>
      </ddeItem>
      <ddeItem name="TSE,00881,ASK" advise="1">
        <values>
          <value>
            <val>16.39</val>
          </value>
        </values>
      </ddeItem>
      <ddeItem name="TSE,00881,BID" advise="1">
        <values>
          <value>
            <val>16.38</val>
          </value>
        </values>
      </ddeItem>
      <ddeItem name="TSE,00881,HIGH_1" advise="1">
        <values>
          <value>
            <val>16.64</val>
          </value>
        </values>
      </ddeItem>
      <ddeItem name="TSE,00881,HST_CLOSE" advise="1">
        <values>
          <value>
            <val>0</val>
          </value>
        </values>
      </ddeItem>
      <ddeItem name="TSE,00881,LOW_1" advise="1">
        <values>
          <value>
            <val>16.3</val>
          </value>
        </values>
      </ddeItem>
      <ddeItem name="TSE,00881,OPEN_PRC" advise="1">
        <values>
          <value>
            <val>16.440000000000001</val>
          </value>
        </values>
      </ddeItem>
      <ddeItem name="TSE,00881,TRDPRC_1" advise="1">
        <values>
          <value>
            <val>16.38</val>
          </value>
        </values>
      </ddeItem>
      <ddeItem name="TSE,00882,ADJUST_CLS" advise="1">
        <values>
          <value>
            <val>15.92</val>
          </value>
        </values>
      </ddeItem>
      <ddeItem name="TSE,00882,ASK" advise="1">
        <values>
          <value>
            <val>15.91</val>
          </value>
        </values>
      </ddeItem>
      <ddeItem name="TSE,00882,BID" advise="1">
        <values>
          <value>
            <val>15.9</val>
          </value>
        </values>
      </ddeItem>
      <ddeItem name="TSE,00882,HIGH_1" advise="1">
        <values>
          <value>
            <val>15.98</val>
          </value>
        </values>
      </ddeItem>
      <ddeItem name="TSE,00882,HST_CLOSE" advise="1">
        <values>
          <value>
            <val>0</val>
          </value>
        </values>
      </ddeItem>
      <ddeItem name="TSE,00882,LOW_1" advise="1">
        <values>
          <value>
            <val>15.88</val>
          </value>
        </values>
      </ddeItem>
      <ddeItem name="TSE,00882,OPEN_PRC" advise="1">
        <values>
          <value>
            <val>15.98</val>
          </value>
        </values>
      </ddeItem>
      <ddeItem name="TSE,00882,TRDPRC_1" advise="1">
        <values>
          <value>
            <val>15.9</val>
          </value>
        </values>
      </ddeItem>
      <ddeItem name="TSE,00883B,ADJUST_CLS" advise="1">
        <values>
          <value>
            <val>37.21</val>
          </value>
        </values>
      </ddeItem>
      <ddeItem name="TSE,00883B,ASK" advise="1">
        <values>
          <value>
            <val>37.450000000000003</val>
          </value>
        </values>
      </ddeItem>
      <ddeItem name="TSE,00883B,BID" advise="1">
        <values>
          <value>
            <val>37.42</val>
          </value>
        </values>
      </ddeItem>
      <ddeItem name="TSE,00883B,HIGH_1" advise="1">
        <values>
          <value>
            <val>37.43</val>
          </value>
        </values>
      </ddeItem>
      <ddeItem name="TSE,00883B,HST_CLOSE" advise="1">
        <values>
          <value>
            <val>0</val>
          </value>
        </values>
      </ddeItem>
      <ddeItem name="TSE,00883B,LOW_1" advise="1">
        <values>
          <value>
            <val>37.409999999999997</val>
          </value>
        </values>
      </ddeItem>
      <ddeItem name="TSE,00883B,OPEN_PRC" advise="1">
        <values>
          <value>
            <val>37.409999999999997</val>
          </value>
        </values>
      </ddeItem>
      <ddeItem name="TSE,00883B,TRDPRC_1" advise="1">
        <values>
          <value>
            <val>37.42</val>
          </value>
        </values>
      </ddeItem>
      <ddeItem name="TSE,00884B,ADJUST_CLS" advise="1">
        <values>
          <value>
            <val>37.4</val>
          </value>
        </values>
      </ddeItem>
      <ddeItem name="TSE,00884B,ASK" advise="1">
        <values>
          <value>
            <val>37.5</val>
          </value>
        </values>
      </ddeItem>
      <ddeItem name="TSE,00884B,BID" advise="1">
        <values>
          <value>
            <val>37.49</val>
          </value>
        </values>
      </ddeItem>
      <ddeItem name="TSE,00884B,HIGH_1" advise="1">
        <values>
          <value>
            <val>37.57</val>
          </value>
        </values>
      </ddeItem>
      <ddeItem name="TSE,00884B,HST_CLOSE" advise="1">
        <values>
          <value>
            <val>0</val>
          </value>
        </values>
      </ddeItem>
      <ddeItem name="TSE,00884B,LOW_1" advise="1">
        <values>
          <value>
            <val>37.49</val>
          </value>
        </values>
      </ddeItem>
      <ddeItem name="TSE,00884B,OPEN_PRC" advise="1">
        <values>
          <value>
            <val>37.51</val>
          </value>
        </values>
      </ddeItem>
      <ddeItem name="TSE,00884B,TRDPRC_1" advise="1">
        <values>
          <value>
            <val>37.49</val>
          </value>
        </values>
      </ddeItem>
      <ddeItem name="TSE,00885,ADJUST_CLS" advise="1">
        <values>
          <value>
            <val>15.26</val>
          </value>
        </values>
      </ddeItem>
      <ddeItem name="TSE,00885,ASK" advise="1">
        <values>
          <value>
            <val>15.24</val>
          </value>
        </values>
      </ddeItem>
      <ddeItem name="TSE,00885,BID" advise="1">
        <values>
          <value>
            <val>15.23</val>
          </value>
        </values>
      </ddeItem>
      <ddeItem name="TSE,00885,HIGH_1" advise="1">
        <values>
          <value>
            <val>15.28</val>
          </value>
        </values>
      </ddeItem>
      <ddeItem name="TSE,00885,HST_CLOSE" advise="1">
        <values>
          <value>
            <val>0</val>
          </value>
        </values>
      </ddeItem>
      <ddeItem name="TSE,00885,LOW_1" advise="1">
        <values>
          <value>
            <val>15.22</val>
          </value>
        </values>
      </ddeItem>
      <ddeItem name="TSE,00885,OPEN_PRC" advise="1">
        <values>
          <value>
            <val>15.28</val>
          </value>
        </values>
      </ddeItem>
      <ddeItem name="TSE,00885,TRDPRC_1" advise="1">
        <values>
          <value>
            <val>15.24</val>
          </value>
        </values>
      </ddeItem>
      <ddeItem name="TSE,00886,ADJUST_CLS" advise="1">
        <values>
          <value>
            <val>19.53</val>
          </value>
        </values>
      </ddeItem>
      <ddeItem name="TSE,00886,ASK" advise="1">
        <values>
          <value>
            <val>19.73</val>
          </value>
        </values>
      </ddeItem>
      <ddeItem name="TSE,00886,BID" advise="1">
        <values>
          <value>
            <val>19.72</val>
          </value>
        </values>
      </ddeItem>
      <ddeItem name="TSE,00886,HIGH_1" advise="1">
        <values>
          <value>
            <val>19.739999999999998</val>
          </value>
        </values>
      </ddeItem>
      <ddeItem name="TSE,00886,HST_CLOSE" advise="1">
        <values>
          <value>
            <val>0</val>
          </value>
        </values>
      </ddeItem>
      <ddeItem name="TSE,00886,LOW_1" advise="1">
        <values>
          <value>
            <val>19.670000000000002</val>
          </value>
        </values>
      </ddeItem>
      <ddeItem name="TSE,00886,OPEN_PRC" advise="1">
        <values>
          <value>
            <val>19.670000000000002</val>
          </value>
        </values>
      </ddeItem>
      <ddeItem name="TSE,00886,TRDPRC_1" advise="1">
        <values>
          <value>
            <val>19.73</val>
          </value>
        </values>
      </ddeItem>
      <ddeItem name="TSE,00887,ADJUST_CLS" advise="1">
        <values>
          <value>
            <val>20.45</val>
          </value>
        </values>
      </ddeItem>
      <ddeItem name="TSE,00887,ASK" advise="1">
        <values>
          <value>
            <val>20.82</val>
          </value>
        </values>
      </ddeItem>
      <ddeItem name="TSE,00887,BID" advise="1">
        <values>
          <value>
            <val>20.81</val>
          </value>
        </values>
      </ddeItem>
      <ddeItem name="TSE,00887,HIGH_1" advise="1">
        <values>
          <value>
            <val>20.87</val>
          </value>
        </values>
      </ddeItem>
      <ddeItem name="TSE,00887,HST_CLOSE" advise="1">
        <values>
          <value>
            <val>0</val>
          </value>
        </values>
      </ddeItem>
      <ddeItem name="TSE,00887,LOW_1" advise="1">
        <values>
          <value>
            <val>20.48</val>
          </value>
        </values>
      </ddeItem>
      <ddeItem name="TSE,00887,OPEN_PRC" advise="1">
        <values>
          <value>
            <val>20.7</val>
          </value>
        </values>
      </ddeItem>
      <ddeItem name="TSE,00887,TRDPRC_1" advise="1">
        <values>
          <value>
            <val>20.81</val>
          </value>
        </values>
      </ddeItem>
      <ddeItem name="TSE,00888,ADJUST_CLS" advise="1">
        <values>
          <value>
            <val>14.16</val>
          </value>
        </values>
      </ddeItem>
      <ddeItem name="TSE,00888,ASK" advise="1">
        <values>
          <value>
            <val>14.28</val>
          </value>
        </values>
      </ddeItem>
      <ddeItem name="TSE,00888,BID" advise="1">
        <values>
          <value>
            <val>14.27</val>
          </value>
        </values>
      </ddeItem>
      <ddeItem name="TSE,00888,HIGH_1" advise="1">
        <values>
          <value>
            <val>14.61</val>
          </value>
        </values>
      </ddeItem>
      <ddeItem name="TSE,00888,HST_CLOSE" advise="1">
        <values>
          <value>
            <val>0</val>
          </value>
        </values>
      </ddeItem>
      <ddeItem name="TSE,00888,LOW_1" advise="1">
        <values>
          <value>
            <val>14.16</val>
          </value>
        </values>
      </ddeItem>
      <ddeItem name="TSE,00888,OPEN_PRC" advise="1">
        <values>
          <value>
            <val>14.5</val>
          </value>
        </values>
      </ddeItem>
      <ddeItem name="TSE,00888,TRDPRC_1" advise="1">
        <values>
          <value>
            <val>14.27</val>
          </value>
        </values>
      </ddeItem>
      <ddeItem name="TWTRADE,00677U_7777777_GAFF,BAMT" advise="1">
        <values>
          <value>
            <val>0</val>
          </value>
        </values>
      </ddeItem>
      <ddeItem name="TWTRADE,00677U_7777777_GAFF,BQTY" advise="1">
        <values>
          <value>
            <val>0</val>
          </value>
        </values>
      </ddeItem>
      <ddeItem name="TWTRADE,00677U_7777777_GAFF,SAMT" advise="1">
        <values>
          <value>
            <val>0</val>
          </value>
        </values>
      </ddeItem>
      <ddeItem name="TWTRADE,00677U_7777777_GAFF,SQTY" advise="1">
        <values>
          <value>
            <val>0</val>
          </value>
        </values>
      </ddeItem>
      <ddeItem name="TWTRADE,00677U_7777777_GAFF,STOCKNO" advise="1">
        <values>
          <value>
            <val>0</val>
          </value>
        </values>
      </ddeItem>
      <ddeItem name="TWTRADE,00677U_7777777_GAFF,TRADERID" advise="1">
        <values>
          <value>
            <val>0</val>
          </value>
        </values>
      </ddeItem>
    </ddeItems>
  </ddeLin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XQ" ddeTopic="Quote">
    <ddeItems>
      <ddeItem name="0051.TW-TotalVolume" advise="1"/>
      <ddeItem name="0052.TW-TotalVolume" advise="1"/>
      <ddeItem name="0053.TW-TotalVolume" advise="1"/>
      <ddeItem name="0054.TW-TotalVolume" advise="1"/>
      <ddeItem name="0055.TW-TotalVolume" advise="1"/>
      <ddeItem name="0056.TW-TotalVolume" advise="1"/>
      <ddeItem name="0057.TW-TotalVolume" advise="1"/>
      <ddeItem name="006201.TW-TotalVolume" advise="1"/>
      <ddeItem name="006203.TW-TotalVolume" advise="1"/>
      <ddeItem name="006204.TW-TotalVolume" advise="1"/>
      <ddeItem name="006208.TW-TotalVolume" advise="1"/>
      <ddeItem name="00631L.TW-TotalVolume" advise="1"/>
      <ddeItem name="00632R.TW-TotalVolume" advise="1"/>
      <ddeItem name="00663L.TW-TotalVolume" advise="1"/>
      <ddeItem name="00664R.TW-TotalVolume" advise="1"/>
      <ddeItem name="00685L.TW-TotalVolume" advise="1"/>
      <ddeItem name="00692.TW-TotalVolume" advise="1"/>
      <ddeItem name="00728.TW-TotalVolume" advise="1"/>
      <ddeItem name="00731.TW-TotalVolume" advise="1"/>
      <ddeItem name="00733.TW-TotalVolume" advise="1"/>
      <ddeItem name="00850.TW-TotalVolume" advise="1"/>
      <ddeItem name="StdDocumentName" ole="1" advise="1"/>
    </ddeItems>
  </ddeLin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申贖避險口數"/>
      <sheetName val="ETF基本資料"/>
      <sheetName val="期貨契約"/>
      <sheetName val="庫存"/>
      <sheetName val="成交回報"/>
      <sheetName val="自建交易"/>
      <sheetName val="台期"/>
      <sheetName val="外期DDE"/>
      <sheetName val="DFS"/>
      <sheetName val="價差監控"/>
      <sheetName val="部位損益監控"/>
      <sheetName val="損益監控彙總"/>
      <sheetName val="totalInv"/>
      <sheetName val="yPrice"/>
      <sheetName val="FXExp"/>
    </sheetNames>
    <sheetDataSet>
      <sheetData sheetId="0"/>
      <sheetData sheetId="1">
        <row r="1">
          <cell r="A1" t="str">
            <v>格式：一般排行///文字///日期//否/</v>
          </cell>
          <cell r="B1" t="str">
            <v>表格欄位/代號種類^=^S^;^週期編號^=^D^;^AllCMenuIDs^=^M326,M326,M326,M326,M326,M326,M326,M326,M326,M326,M326,M326,M326,M326,M326,M326,M326,M326,M326,M326,M326,M326,M326,M326,M326,M326,M326,M326,M326,M326,M326,M326,M326,M326,M326,M326,M326,M326,M326,M326,M326,M326,M326,M326,M326,M326,M326,M326,M326,M326,M326,M326,M326,M326,M326,M326,M326,M326,M326,M326,M326,M326,M326^;^是否轉置^=^False^;^檢視方式^=^2^;^AllFields^=^年度,基金代號,基金簡稱,基金中文名稱,基金英文名稱,ETF類型代號,ETF類型,標的區域代號,標的區域,基金類型,追蹤指數中文名稱,追蹤指數英文名稱,追蹤指數對應代號,指數追蹤方式,指數編製機構,連結之標的ETF,標的ETF追蹤方式,標的ETF費用,基金統編,國際證券編碼,基金上市日期,基金成立日期,上市上櫃,槓桿倍數,加掛ETF,包含外國成份股,是否配息,原幣幣別,交易幣別,追蹤指數幣別,國內保管銀行代號,國內保管銀行,國外保管銀行代號,國外保管銀行,交易單位,交易價格,交易時間,升降單位,漲跌幅度(%),信用交易,證券交易稅,交易手續費費率,管理費(%),保管費(%),投信代碼,基金經理公司,申購買回方式,申購買回申報時間,申購買回基本單位(千),申購手續費(%),買回手續費(%),基金總機,基金地址,基金董事長,基金發言人,基金總經理,基金代理發言人,基金投資經理人,基金總代理人,過戶機構,過戶電話,過戶地址,備註^;^MainTable^=^^;^ListType^=^^;^SelectDate^=^TOP 1|TOP 1|TOP 1|TOP 1|TOP 1|TOP 1|TOP 1|TOP 1|TOP 1|TOP 1|TOP 1|TOP 1|TOP 1|TOP 1|TOP 1|TOP 1|TOP 1|TOP 1|TOP 1|TOP 1|TOP 1|TOP 1|TOP 1|TOP 1|TOP 1|TOP 1|TOP 1|TOP 1|TOP 1|TOP 1|TOP 1|TOP 1|TOP 1|TOP 1|TOP 1|TOP 1|TOP 1|TOP 1|TOP 1|TOP 1|TOP 1|TOP 1|TOP 1|TOP 1|TOP 1|TOP 1|TOP 1|TOP 1|TOP 1|TOP 1|TOP 1|TOP 1|TOP 1|TOP 1|TOP 1|TOP 1|TOP 1|TOP 1|TOP 1|TOP 1|TOP 1|TOP 1|TOP 1^;^SelectCMenuID^=^M326^;^SelectDate種類^=^1|1|1|1|1|1|1|1|1|1|1|1|1|1|1|1|1|1|1|1|1|1|1|1|1|1|1|1|1|1|1|1|1|1|1|1|1|1|1|1|1|1|1|1|1|1|1|1|1|1|1|1|1|1|1|1|1|1|1|1|1|1|1^;^AllFieldsNO^=^,,,,,,,,,,,,,,,,,,,,,,,,,,,,,,,,,,,,,,,,,,,,,,,,,,,,,,,,,,,,,,^;^自訂欄位公式^=^||||||||||||||||||||||||||||||||||||||||||||||||||||||||||||||^;^自訂欄位Where條件^=^||||||||||||||||||||||||||||||||||||||||||||||||||||||||||||||^;^多期數值處理方式^=^1|1|1|1|1|1|1|1|1|1|1|1|1|1|1|1|1|1|1|1|1|1|1|1|1|1|1|1|1|1|1|1|1|1|1|1|1|1|1|1|1|1|1|1|1|1|1|1|1|1|1|1|1|1|1|1|1|1|1|1|1|1|1^;^多欄指定個股方式^=^^;^多欄指定個股^=^^;^多欄指定群組名稱^=^^;^欄位顯示狀態^=^1|1|1|1|1|1|1|1|1|1|1|1|1|1|1|1|1|1|1|1|1|1|1|1|1|1|1|1|1|1|1|1|1|1|1|1|1|1|1|1|1|1|1|1|1|1|1|1|1|1|1|1|1|1|1|1|1|1|1|1|1|1|1^;^欄位轉換日期方式^=^||||||||||||||||||||||||||||||||||||||||||||||||||||||||||||||^;^欄位排序方式^=^||||||||||||||||||||||||||||||||||||||||||||||||||||||||||||||^;^欄位採用各期最新^=^||||||||||||||||||||||||||||||||||||||||||||||||||||||||||||||^;^樣本表系統定義全部代號^=^^;^單項目比較欄位^=^^;^單項目比較欄位編號^=^^;^表格類型^=^</v>
          </cell>
        </row>
        <row r="2">
          <cell r="A2" t="str">
            <v>基準日:最近一日</v>
          </cell>
          <cell r="B2" t="str">
            <v>資料日期/</v>
          </cell>
        </row>
        <row r="3">
          <cell r="A3" t="str">
            <v>更新標題:是</v>
          </cell>
          <cell r="B3" t="str">
            <v>參考標題</v>
          </cell>
        </row>
        <row r="5">
          <cell r="A5" t="str">
            <v>股票代號</v>
          </cell>
          <cell r="B5" t="str">
            <v>股票名稱</v>
          </cell>
        </row>
        <row r="6">
          <cell r="A6" t="str">
            <v>0050</v>
          </cell>
          <cell r="B6" t="str">
            <v>元大台灣50</v>
          </cell>
        </row>
        <row r="7">
          <cell r="A7" t="str">
            <v>0051</v>
          </cell>
          <cell r="B7" t="str">
            <v>元大中型100</v>
          </cell>
        </row>
        <row r="8">
          <cell r="A8" t="str">
            <v>0052</v>
          </cell>
          <cell r="B8" t="str">
            <v>富邦科技</v>
          </cell>
        </row>
        <row r="9">
          <cell r="A9" t="str">
            <v>0053</v>
          </cell>
          <cell r="B9" t="str">
            <v>元大電子</v>
          </cell>
        </row>
        <row r="10">
          <cell r="A10" t="str">
            <v>0054</v>
          </cell>
          <cell r="B10" t="str">
            <v>元大台商50</v>
          </cell>
        </row>
        <row r="11">
          <cell r="A11" t="str">
            <v>0055</v>
          </cell>
          <cell r="B11" t="str">
            <v>元大MSCI金融</v>
          </cell>
        </row>
        <row r="12">
          <cell r="A12" t="str">
            <v>0056</v>
          </cell>
          <cell r="B12" t="str">
            <v>元大高股息</v>
          </cell>
        </row>
        <row r="13">
          <cell r="A13" t="str">
            <v>0057</v>
          </cell>
          <cell r="B13" t="str">
            <v>富邦摩台</v>
          </cell>
        </row>
        <row r="14">
          <cell r="A14" t="str">
            <v>0061</v>
          </cell>
          <cell r="B14" t="str">
            <v>元大寶滬深</v>
          </cell>
        </row>
        <row r="15">
          <cell r="A15" t="str">
            <v>006201</v>
          </cell>
          <cell r="B15" t="str">
            <v>元大富櫃50</v>
          </cell>
        </row>
        <row r="16">
          <cell r="A16" t="str">
            <v>006203</v>
          </cell>
          <cell r="B16" t="str">
            <v>元大MSCI台灣</v>
          </cell>
        </row>
        <row r="17">
          <cell r="A17" t="str">
            <v>006204</v>
          </cell>
          <cell r="B17" t="str">
            <v>永豐臺灣加權</v>
          </cell>
        </row>
        <row r="18">
          <cell r="A18" t="str">
            <v>006205</v>
          </cell>
          <cell r="B18" t="str">
            <v>富邦上証</v>
          </cell>
        </row>
        <row r="19">
          <cell r="A19" t="str">
            <v>006206</v>
          </cell>
          <cell r="B19" t="str">
            <v>元大上證50</v>
          </cell>
        </row>
        <row r="20">
          <cell r="A20" t="str">
            <v>006207</v>
          </cell>
          <cell r="B20" t="str">
            <v>FH滬深</v>
          </cell>
        </row>
        <row r="21">
          <cell r="A21" t="str">
            <v>006208</v>
          </cell>
          <cell r="B21" t="str">
            <v>富邦台50</v>
          </cell>
        </row>
        <row r="22">
          <cell r="A22" t="str">
            <v>00625K</v>
          </cell>
          <cell r="B22" t="str">
            <v>富邦上証+R</v>
          </cell>
        </row>
        <row r="23">
          <cell r="A23" t="str">
            <v>00631L</v>
          </cell>
          <cell r="B23" t="str">
            <v>元大台灣50正2</v>
          </cell>
        </row>
        <row r="24">
          <cell r="A24" t="str">
            <v>00632R</v>
          </cell>
          <cell r="B24" t="str">
            <v>元大台灣50反1</v>
          </cell>
        </row>
        <row r="25">
          <cell r="A25" t="str">
            <v>00633L</v>
          </cell>
          <cell r="B25" t="str">
            <v>富邦上証正2</v>
          </cell>
        </row>
        <row r="26">
          <cell r="A26" t="str">
            <v>00634R</v>
          </cell>
          <cell r="B26" t="str">
            <v>富邦上証反1</v>
          </cell>
        </row>
        <row r="27">
          <cell r="A27" t="str">
            <v>00635U</v>
          </cell>
          <cell r="B27" t="str">
            <v>元大S&amp;P黃金</v>
          </cell>
        </row>
        <row r="28">
          <cell r="A28" t="str">
            <v>00636</v>
          </cell>
          <cell r="B28" t="str">
            <v>國泰中國A50</v>
          </cell>
        </row>
        <row r="29">
          <cell r="A29" t="str">
            <v>00636K</v>
          </cell>
          <cell r="B29" t="str">
            <v>國泰中國A50+U</v>
          </cell>
        </row>
        <row r="30">
          <cell r="A30" t="str">
            <v>00637L</v>
          </cell>
          <cell r="B30" t="str">
            <v>元大滬深300正2</v>
          </cell>
        </row>
        <row r="31">
          <cell r="A31" t="str">
            <v>00638R</v>
          </cell>
          <cell r="B31" t="str">
            <v>元大滬深300反1</v>
          </cell>
        </row>
        <row r="32">
          <cell r="A32" t="str">
            <v>00639</v>
          </cell>
          <cell r="B32" t="str">
            <v>富邦深100</v>
          </cell>
        </row>
        <row r="33">
          <cell r="A33" t="str">
            <v>00640L</v>
          </cell>
          <cell r="B33" t="str">
            <v>富邦日本正2</v>
          </cell>
        </row>
        <row r="34">
          <cell r="A34" t="str">
            <v>00641R</v>
          </cell>
          <cell r="B34" t="str">
            <v>富邦日本反1</v>
          </cell>
        </row>
        <row r="35">
          <cell r="A35" t="str">
            <v>00642U</v>
          </cell>
          <cell r="B35" t="str">
            <v>元大S&amp;P石油</v>
          </cell>
        </row>
        <row r="36">
          <cell r="A36" t="str">
            <v>00643</v>
          </cell>
          <cell r="B36" t="str">
            <v>群益深証中小</v>
          </cell>
        </row>
        <row r="37">
          <cell r="A37" t="str">
            <v>00643K</v>
          </cell>
          <cell r="B37" t="str">
            <v>群益深証中小+R</v>
          </cell>
        </row>
        <row r="38">
          <cell r="A38" t="str">
            <v>00645</v>
          </cell>
          <cell r="B38" t="str">
            <v>富邦日本</v>
          </cell>
        </row>
        <row r="39">
          <cell r="A39" t="str">
            <v>00646</v>
          </cell>
          <cell r="B39" t="str">
            <v>元大S&amp;P500</v>
          </cell>
        </row>
        <row r="40">
          <cell r="A40" t="str">
            <v>00647L</v>
          </cell>
          <cell r="B40" t="str">
            <v>元大S&amp;P500正2</v>
          </cell>
        </row>
        <row r="41">
          <cell r="A41" t="str">
            <v>00648R</v>
          </cell>
          <cell r="B41" t="str">
            <v>元大S&amp;P500反1</v>
          </cell>
        </row>
        <row r="42">
          <cell r="A42" t="str">
            <v>00650L</v>
          </cell>
          <cell r="B42" t="str">
            <v>FH香港正2</v>
          </cell>
        </row>
        <row r="43">
          <cell r="A43" t="str">
            <v>00651R</v>
          </cell>
          <cell r="B43" t="str">
            <v>FH香港反1</v>
          </cell>
        </row>
        <row r="44">
          <cell r="A44" t="str">
            <v>00652</v>
          </cell>
          <cell r="B44" t="str">
            <v>富邦印度</v>
          </cell>
        </row>
        <row r="45">
          <cell r="A45" t="str">
            <v>00653L</v>
          </cell>
          <cell r="B45" t="str">
            <v>富邦印度正2</v>
          </cell>
        </row>
        <row r="46">
          <cell r="A46" t="str">
            <v>00654R</v>
          </cell>
          <cell r="B46" t="str">
            <v>富邦印度反1</v>
          </cell>
        </row>
        <row r="47">
          <cell r="A47" t="str">
            <v>00655L</v>
          </cell>
          <cell r="B47" t="str">
            <v>國泰中國A50正2</v>
          </cell>
        </row>
        <row r="48">
          <cell r="A48" t="str">
            <v>00656R</v>
          </cell>
          <cell r="B48" t="str">
            <v>國泰中國A50反1</v>
          </cell>
        </row>
        <row r="49">
          <cell r="A49" t="str">
            <v>00657</v>
          </cell>
          <cell r="B49" t="str">
            <v>國泰日經225</v>
          </cell>
        </row>
        <row r="50">
          <cell r="A50" t="str">
            <v>00657K</v>
          </cell>
          <cell r="B50" t="str">
            <v>國泰日經225+U</v>
          </cell>
        </row>
        <row r="51">
          <cell r="A51" t="str">
            <v>00660</v>
          </cell>
          <cell r="B51" t="str">
            <v>元大歐洲50</v>
          </cell>
        </row>
        <row r="52">
          <cell r="A52" t="str">
            <v>00661</v>
          </cell>
          <cell r="B52" t="str">
            <v>元大日經225</v>
          </cell>
        </row>
        <row r="53">
          <cell r="A53" t="str">
            <v>00662</v>
          </cell>
          <cell r="B53" t="str">
            <v>富邦NASDAQ</v>
          </cell>
        </row>
        <row r="54">
          <cell r="A54" t="str">
            <v>00663L</v>
          </cell>
          <cell r="B54" t="str">
            <v>國泰臺灣加權正2</v>
          </cell>
        </row>
        <row r="55">
          <cell r="A55" t="str">
            <v>00664R</v>
          </cell>
          <cell r="B55" t="str">
            <v>國泰臺灣加權反1</v>
          </cell>
        </row>
        <row r="56">
          <cell r="A56" t="str">
            <v>00665L</v>
          </cell>
          <cell r="B56" t="str">
            <v>富邦恒生國企正2</v>
          </cell>
        </row>
        <row r="57">
          <cell r="A57" t="str">
            <v>00666R</v>
          </cell>
          <cell r="B57" t="str">
            <v>富邦恒生國企反1</v>
          </cell>
        </row>
        <row r="58">
          <cell r="A58" t="str">
            <v>00668</v>
          </cell>
          <cell r="B58" t="str">
            <v>國泰美國道瓊</v>
          </cell>
        </row>
        <row r="59">
          <cell r="A59" t="str">
            <v>00668K</v>
          </cell>
          <cell r="B59" t="str">
            <v>國泰美國道瓊+U</v>
          </cell>
        </row>
        <row r="60">
          <cell r="A60" t="str">
            <v>00669R</v>
          </cell>
          <cell r="B60" t="str">
            <v>國泰美國道瓊反1</v>
          </cell>
        </row>
        <row r="61">
          <cell r="A61" t="str">
            <v>00670L</v>
          </cell>
          <cell r="B61" t="str">
            <v>富邦NASDAQ正2</v>
          </cell>
        </row>
        <row r="62">
          <cell r="A62" t="str">
            <v>00671R</v>
          </cell>
          <cell r="B62" t="str">
            <v>富邦NASDAQ反1</v>
          </cell>
        </row>
        <row r="63">
          <cell r="A63" t="str">
            <v>00672L</v>
          </cell>
          <cell r="B63" t="str">
            <v>元大S&amp;P原油正2</v>
          </cell>
        </row>
        <row r="64">
          <cell r="A64" t="str">
            <v>00673R</v>
          </cell>
          <cell r="B64" t="str">
            <v>元大S&amp;P原油反1</v>
          </cell>
        </row>
        <row r="65">
          <cell r="A65" t="str">
            <v>00674R</v>
          </cell>
          <cell r="B65" t="str">
            <v>元大S&amp;P黃金反1</v>
          </cell>
        </row>
        <row r="66">
          <cell r="A66" t="str">
            <v>00675L</v>
          </cell>
          <cell r="B66" t="str">
            <v>富邦臺灣加權正2</v>
          </cell>
        </row>
        <row r="67">
          <cell r="A67" t="str">
            <v>00676R</v>
          </cell>
          <cell r="B67" t="str">
            <v>富邦臺灣加權反1</v>
          </cell>
        </row>
        <row r="68">
          <cell r="A68" t="str">
            <v>00677U</v>
          </cell>
          <cell r="B68" t="str">
            <v>富邦VIX</v>
          </cell>
        </row>
        <row r="69">
          <cell r="A69" t="str">
            <v>00678</v>
          </cell>
          <cell r="B69" t="str">
            <v>群益NBI生技</v>
          </cell>
        </row>
        <row r="70">
          <cell r="A70" t="str">
            <v>00679B</v>
          </cell>
          <cell r="B70" t="str">
            <v>元大美債20年</v>
          </cell>
        </row>
        <row r="71">
          <cell r="A71" t="str">
            <v>00680L</v>
          </cell>
          <cell r="B71" t="str">
            <v>元大美債20正2</v>
          </cell>
        </row>
        <row r="72">
          <cell r="A72" t="str">
            <v>00681R</v>
          </cell>
          <cell r="B72" t="str">
            <v>元大美債20反1</v>
          </cell>
        </row>
        <row r="73">
          <cell r="A73" t="str">
            <v>00682U</v>
          </cell>
          <cell r="B73" t="str">
            <v>元大美元指數</v>
          </cell>
        </row>
        <row r="74">
          <cell r="A74" t="str">
            <v>00683L</v>
          </cell>
          <cell r="B74" t="str">
            <v>元大美元指數正2</v>
          </cell>
        </row>
        <row r="75">
          <cell r="A75" t="str">
            <v>00684R</v>
          </cell>
          <cell r="B75" t="str">
            <v>元大美元指數反1</v>
          </cell>
        </row>
        <row r="76">
          <cell r="A76" t="str">
            <v>00685L</v>
          </cell>
          <cell r="B76" t="str">
            <v>群益臺灣加權正2</v>
          </cell>
        </row>
        <row r="77">
          <cell r="A77" t="str">
            <v>00686R</v>
          </cell>
          <cell r="B77" t="str">
            <v>群益臺灣加權反1</v>
          </cell>
        </row>
        <row r="78">
          <cell r="A78" t="str">
            <v>00687B</v>
          </cell>
          <cell r="B78" t="str">
            <v>國泰20年美債</v>
          </cell>
        </row>
        <row r="79">
          <cell r="A79" t="str">
            <v>00688L</v>
          </cell>
          <cell r="B79" t="str">
            <v>國泰20年美債正2</v>
          </cell>
        </row>
        <row r="80">
          <cell r="A80" t="str">
            <v>00689R</v>
          </cell>
          <cell r="B80" t="str">
            <v>國泰20年美債反1</v>
          </cell>
        </row>
        <row r="81">
          <cell r="A81" t="str">
            <v>00690</v>
          </cell>
          <cell r="B81" t="str">
            <v>兆豐藍籌30</v>
          </cell>
        </row>
        <row r="82">
          <cell r="A82" t="str">
            <v>00691R</v>
          </cell>
          <cell r="B82" t="str">
            <v>兆豐藍籌30反一</v>
          </cell>
        </row>
        <row r="83">
          <cell r="A83" t="str">
            <v>00692</v>
          </cell>
          <cell r="B83" t="str">
            <v>富邦公司治理</v>
          </cell>
        </row>
        <row r="84">
          <cell r="A84" t="str">
            <v>00693U</v>
          </cell>
          <cell r="B84" t="str">
            <v>街口S&amp;P黃豆</v>
          </cell>
        </row>
        <row r="85">
          <cell r="A85" t="str">
            <v>00694B</v>
          </cell>
          <cell r="B85" t="str">
            <v>富邦美債1-3年</v>
          </cell>
        </row>
        <row r="86">
          <cell r="A86" t="str">
            <v>00695B</v>
          </cell>
          <cell r="B86" t="str">
            <v>富邦美債7-10年</v>
          </cell>
        </row>
        <row r="87">
          <cell r="A87" t="str">
            <v>00696B</v>
          </cell>
          <cell r="B87" t="str">
            <v>富邦美債20年</v>
          </cell>
        </row>
        <row r="88">
          <cell r="A88" t="str">
            <v>00697B</v>
          </cell>
          <cell r="B88" t="str">
            <v>元大美債7-10</v>
          </cell>
        </row>
        <row r="89">
          <cell r="A89" t="str">
            <v>00700</v>
          </cell>
          <cell r="B89" t="str">
            <v>富邦恆生國企</v>
          </cell>
        </row>
        <row r="90">
          <cell r="A90" t="str">
            <v>00701</v>
          </cell>
          <cell r="B90" t="str">
            <v>國泰股利精選30</v>
          </cell>
        </row>
        <row r="91">
          <cell r="A91" t="str">
            <v>00702</v>
          </cell>
          <cell r="B91" t="str">
            <v>國泰標普低波高息</v>
          </cell>
        </row>
        <row r="92">
          <cell r="A92" t="str">
            <v>00703</v>
          </cell>
          <cell r="B92" t="str">
            <v>台新MSCI中國</v>
          </cell>
        </row>
        <row r="93">
          <cell r="A93" t="str">
            <v>00706L</v>
          </cell>
          <cell r="B93" t="str">
            <v>元大S&amp;P日圓正2</v>
          </cell>
        </row>
        <row r="94">
          <cell r="A94" t="str">
            <v>00707R</v>
          </cell>
          <cell r="B94" t="str">
            <v>元大S&amp;P日圓反1</v>
          </cell>
        </row>
        <row r="95">
          <cell r="A95" t="str">
            <v>00708L</v>
          </cell>
          <cell r="B95" t="str">
            <v>元大S&amp;P黃金正2</v>
          </cell>
        </row>
        <row r="96">
          <cell r="A96" t="str">
            <v>00709</v>
          </cell>
          <cell r="B96" t="str">
            <v>富邦歐洲</v>
          </cell>
        </row>
        <row r="97">
          <cell r="A97" t="str">
            <v>00710B</v>
          </cell>
          <cell r="B97" t="str">
            <v>FH彭博高收益債</v>
          </cell>
        </row>
        <row r="98">
          <cell r="A98" t="str">
            <v>00711B</v>
          </cell>
          <cell r="B98" t="str">
            <v>FH彭博新興債</v>
          </cell>
        </row>
        <row r="99">
          <cell r="A99" t="str">
            <v>00712</v>
          </cell>
          <cell r="B99" t="str">
            <v>FH富時不動產</v>
          </cell>
        </row>
        <row r="100">
          <cell r="A100" t="str">
            <v>00713</v>
          </cell>
          <cell r="B100" t="str">
            <v>元大台灣高息低波</v>
          </cell>
        </row>
        <row r="101">
          <cell r="A101" t="str">
            <v>00714</v>
          </cell>
          <cell r="B101" t="str">
            <v>群益道瓊美國地產</v>
          </cell>
        </row>
        <row r="102">
          <cell r="A102" t="str">
            <v>00715L</v>
          </cell>
          <cell r="B102" t="str">
            <v>街口S&amp;P布蘭特油正2</v>
          </cell>
        </row>
        <row r="103">
          <cell r="A103" t="str">
            <v>00717</v>
          </cell>
          <cell r="B103" t="str">
            <v>富邦美國特別股</v>
          </cell>
        </row>
        <row r="104">
          <cell r="A104" t="str">
            <v>00718B</v>
          </cell>
          <cell r="B104" t="str">
            <v>富邦中國政策債</v>
          </cell>
        </row>
        <row r="105">
          <cell r="A105" t="str">
            <v>00719B</v>
          </cell>
          <cell r="B105" t="str">
            <v>元大美債1-3</v>
          </cell>
        </row>
        <row r="106">
          <cell r="A106" t="str">
            <v>00720B</v>
          </cell>
          <cell r="B106" t="str">
            <v>元大投資級公司債</v>
          </cell>
        </row>
        <row r="107">
          <cell r="A107" t="str">
            <v>00721B</v>
          </cell>
          <cell r="B107" t="str">
            <v>元大中國債3-5</v>
          </cell>
        </row>
        <row r="108">
          <cell r="A108" t="str">
            <v>00722B</v>
          </cell>
          <cell r="B108" t="str">
            <v>群益15年IG電信債</v>
          </cell>
        </row>
        <row r="109">
          <cell r="A109" t="str">
            <v>00723B</v>
          </cell>
          <cell r="B109" t="str">
            <v>群益15年IG科技債</v>
          </cell>
        </row>
        <row r="110">
          <cell r="A110" t="str">
            <v>00724B</v>
          </cell>
          <cell r="B110" t="str">
            <v>群益10年IG金融債</v>
          </cell>
        </row>
        <row r="111">
          <cell r="A111" t="str">
            <v>00725B</v>
          </cell>
          <cell r="B111" t="str">
            <v>國泰投資級公司債</v>
          </cell>
        </row>
        <row r="112">
          <cell r="A112" t="str">
            <v>00726B</v>
          </cell>
          <cell r="B112" t="str">
            <v>國泰5Y+新興債</v>
          </cell>
        </row>
        <row r="113">
          <cell r="A113" t="str">
            <v>00727B</v>
          </cell>
          <cell r="B113" t="str">
            <v>國泰1-5Y高收債</v>
          </cell>
        </row>
        <row r="114">
          <cell r="A114" t="str">
            <v>00728</v>
          </cell>
          <cell r="B114" t="str">
            <v>第一金工業30</v>
          </cell>
        </row>
        <row r="115">
          <cell r="A115" t="str">
            <v>00730</v>
          </cell>
          <cell r="B115" t="str">
            <v>富邦臺灣優質高息</v>
          </cell>
        </row>
        <row r="116">
          <cell r="A116" t="str">
            <v>00731</v>
          </cell>
          <cell r="B116" t="str">
            <v>FH富時高息低波</v>
          </cell>
        </row>
        <row r="117">
          <cell r="A117" t="str">
            <v>00732</v>
          </cell>
          <cell r="B117" t="str">
            <v>國泰RMB短期報酬</v>
          </cell>
        </row>
        <row r="118">
          <cell r="A118" t="str">
            <v>00733</v>
          </cell>
          <cell r="B118" t="str">
            <v>富邦臺灣中小</v>
          </cell>
        </row>
        <row r="119">
          <cell r="A119" t="str">
            <v>00734B</v>
          </cell>
          <cell r="B119" t="str">
            <v>台新JPM新興債</v>
          </cell>
        </row>
        <row r="120">
          <cell r="A120" t="str">
            <v>00735</v>
          </cell>
          <cell r="B120" t="str">
            <v>國泰臺韓科技</v>
          </cell>
        </row>
        <row r="121">
          <cell r="A121" t="str">
            <v>00736</v>
          </cell>
          <cell r="B121" t="str">
            <v>國泰新興市場</v>
          </cell>
        </row>
        <row r="122">
          <cell r="A122" t="str">
            <v>00737</v>
          </cell>
          <cell r="B122" t="str">
            <v>國泰AI+ROBO</v>
          </cell>
        </row>
        <row r="123">
          <cell r="A123" t="str">
            <v>00738U</v>
          </cell>
          <cell r="B123" t="str">
            <v>元大道瓊白銀</v>
          </cell>
        </row>
        <row r="124">
          <cell r="A124" t="str">
            <v>00739</v>
          </cell>
          <cell r="B124" t="str">
            <v>元大MSCI A股</v>
          </cell>
        </row>
        <row r="125">
          <cell r="A125" t="str">
            <v>00740B</v>
          </cell>
          <cell r="B125" t="str">
            <v>富邦全球投等債</v>
          </cell>
        </row>
        <row r="126">
          <cell r="A126" t="str">
            <v>00741B</v>
          </cell>
          <cell r="B126" t="str">
            <v>富邦全球高收債</v>
          </cell>
        </row>
        <row r="127">
          <cell r="A127" t="str">
            <v>00742</v>
          </cell>
          <cell r="B127" t="str">
            <v>新光內需收益</v>
          </cell>
        </row>
        <row r="128">
          <cell r="A128" t="str">
            <v>00743</v>
          </cell>
          <cell r="B128" t="str">
            <v>國泰中國A150</v>
          </cell>
        </row>
        <row r="129">
          <cell r="A129" t="str">
            <v>00744B</v>
          </cell>
          <cell r="B129" t="str">
            <v>國泰中國政金債5+</v>
          </cell>
        </row>
        <row r="130">
          <cell r="A130" t="str">
            <v>00745B</v>
          </cell>
          <cell r="B130" t="str">
            <v>富邦中政債0-1</v>
          </cell>
        </row>
        <row r="131">
          <cell r="A131" t="str">
            <v>00746B</v>
          </cell>
          <cell r="B131" t="str">
            <v>富邦A級公司債</v>
          </cell>
        </row>
        <row r="132">
          <cell r="A132" t="str">
            <v>00747B</v>
          </cell>
          <cell r="B132" t="str">
            <v>FH中國政策債</v>
          </cell>
        </row>
        <row r="133">
          <cell r="A133" t="str">
            <v>00748B</v>
          </cell>
          <cell r="B133" t="str">
            <v>凱基中國債3-10</v>
          </cell>
        </row>
        <row r="134">
          <cell r="A134" t="str">
            <v>00749B</v>
          </cell>
          <cell r="B134" t="str">
            <v>凱基新興債10+</v>
          </cell>
        </row>
        <row r="135">
          <cell r="A135" t="str">
            <v>00750B</v>
          </cell>
          <cell r="B135" t="str">
            <v>凱基科技債10+</v>
          </cell>
        </row>
        <row r="136">
          <cell r="A136" t="str">
            <v>00751B</v>
          </cell>
          <cell r="B136" t="str">
            <v>元大AAA至A公司債</v>
          </cell>
        </row>
        <row r="137">
          <cell r="A137" t="str">
            <v>00752</v>
          </cell>
          <cell r="B137" t="str">
            <v>中信中國50</v>
          </cell>
        </row>
        <row r="138">
          <cell r="A138" t="str">
            <v>00753L</v>
          </cell>
          <cell r="B138" t="str">
            <v>中信中國50正2</v>
          </cell>
        </row>
        <row r="139">
          <cell r="A139" t="str">
            <v>00754B</v>
          </cell>
          <cell r="B139" t="str">
            <v>群益AAA-AA公司債</v>
          </cell>
        </row>
        <row r="140">
          <cell r="A140" t="str">
            <v>00755B</v>
          </cell>
          <cell r="B140" t="str">
            <v>群益15年IG公用債</v>
          </cell>
        </row>
        <row r="141">
          <cell r="A141" t="str">
            <v>00756B</v>
          </cell>
          <cell r="B141" t="str">
            <v>群益15年EM主權債</v>
          </cell>
        </row>
        <row r="142">
          <cell r="A142" t="str">
            <v>00757</v>
          </cell>
          <cell r="B142" t="str">
            <v>統一FANG+</v>
          </cell>
        </row>
        <row r="143">
          <cell r="A143" t="str">
            <v>00758B</v>
          </cell>
          <cell r="B143" t="str">
            <v>FH能源債</v>
          </cell>
        </row>
        <row r="144">
          <cell r="A144" t="str">
            <v>00759B</v>
          </cell>
          <cell r="B144" t="str">
            <v>FH製藥債</v>
          </cell>
        </row>
        <row r="145">
          <cell r="A145" t="str">
            <v>00760B</v>
          </cell>
          <cell r="B145" t="str">
            <v>FH新興企業債</v>
          </cell>
        </row>
        <row r="146">
          <cell r="A146" t="str">
            <v>00761B</v>
          </cell>
          <cell r="B146" t="str">
            <v>國泰A級公司債</v>
          </cell>
        </row>
        <row r="147">
          <cell r="A147" t="str">
            <v>00762</v>
          </cell>
          <cell r="B147" t="str">
            <v>元大全球AI</v>
          </cell>
        </row>
        <row r="148">
          <cell r="A148" t="str">
            <v>00763U</v>
          </cell>
          <cell r="B148" t="str">
            <v>街口道瓊銅</v>
          </cell>
        </row>
        <row r="149">
          <cell r="A149" t="str">
            <v>00764B</v>
          </cell>
          <cell r="B149" t="str">
            <v>群益25年美債</v>
          </cell>
        </row>
        <row r="150">
          <cell r="A150" t="str">
            <v>00765B</v>
          </cell>
          <cell r="B150" t="str">
            <v>群益中國政金債</v>
          </cell>
        </row>
        <row r="151">
          <cell r="A151" t="str">
            <v>00766L</v>
          </cell>
          <cell r="B151" t="str">
            <v>台新MSCI中國正2</v>
          </cell>
        </row>
        <row r="152">
          <cell r="A152" t="str">
            <v>00767</v>
          </cell>
          <cell r="B152" t="str">
            <v>FH美國金融股</v>
          </cell>
        </row>
        <row r="153">
          <cell r="A153" t="str">
            <v>00768B</v>
          </cell>
          <cell r="B153" t="str">
            <v>FH20年美債</v>
          </cell>
        </row>
        <row r="154">
          <cell r="A154" t="str">
            <v>00769B</v>
          </cell>
          <cell r="B154" t="str">
            <v>FH中國信用債</v>
          </cell>
        </row>
        <row r="155">
          <cell r="A155" t="str">
            <v>00770</v>
          </cell>
          <cell r="B155" t="str">
            <v>國泰北美科技</v>
          </cell>
        </row>
        <row r="156">
          <cell r="A156" t="str">
            <v>00771</v>
          </cell>
          <cell r="B156" t="str">
            <v>元大US高息特別股</v>
          </cell>
        </row>
        <row r="157">
          <cell r="A157" t="str">
            <v>00772B</v>
          </cell>
          <cell r="B157" t="str">
            <v>中信高評級公司債</v>
          </cell>
        </row>
        <row r="158">
          <cell r="A158" t="str">
            <v>00773B</v>
          </cell>
          <cell r="B158" t="str">
            <v>中信優先金融債</v>
          </cell>
        </row>
        <row r="159">
          <cell r="A159" t="str">
            <v>00774B</v>
          </cell>
          <cell r="B159" t="str">
            <v>新光中國政金綠債</v>
          </cell>
        </row>
        <row r="160">
          <cell r="A160" t="str">
            <v>00774C</v>
          </cell>
          <cell r="B160" t="str">
            <v>新光中政金綠債+R</v>
          </cell>
        </row>
        <row r="161">
          <cell r="A161" t="str">
            <v>00775B</v>
          </cell>
          <cell r="B161" t="str">
            <v>新光投等債15+</v>
          </cell>
        </row>
        <row r="162">
          <cell r="A162" t="str">
            <v>00776</v>
          </cell>
          <cell r="B162" t="str">
            <v>新光ICE美國權值</v>
          </cell>
        </row>
        <row r="163">
          <cell r="A163" t="str">
            <v>00777B</v>
          </cell>
          <cell r="B163" t="str">
            <v>凱基AAA至A公司債</v>
          </cell>
        </row>
        <row r="164">
          <cell r="A164" t="str">
            <v>00778B</v>
          </cell>
          <cell r="B164" t="str">
            <v>凱基金融債20+</v>
          </cell>
        </row>
        <row r="165">
          <cell r="A165" t="str">
            <v>00779B</v>
          </cell>
          <cell r="B165" t="str">
            <v>凱基美債25+</v>
          </cell>
        </row>
        <row r="166">
          <cell r="A166" t="str">
            <v>00780B</v>
          </cell>
          <cell r="B166" t="str">
            <v>國泰A級金融債</v>
          </cell>
        </row>
        <row r="167">
          <cell r="A167" t="str">
            <v>00781B</v>
          </cell>
          <cell r="B167" t="str">
            <v>國泰A級科技債</v>
          </cell>
        </row>
        <row r="168">
          <cell r="A168" t="str">
            <v>00782B</v>
          </cell>
          <cell r="B168" t="str">
            <v>國泰A級公用債</v>
          </cell>
        </row>
        <row r="169">
          <cell r="A169" t="str">
            <v>00783</v>
          </cell>
          <cell r="B169" t="str">
            <v>富邦中証500</v>
          </cell>
        </row>
        <row r="170">
          <cell r="A170" t="str">
            <v>00784B</v>
          </cell>
          <cell r="B170" t="str">
            <v>富邦中國投等債</v>
          </cell>
        </row>
        <row r="171">
          <cell r="A171" t="str">
            <v>00785B</v>
          </cell>
          <cell r="B171" t="str">
            <v>富邦金融投等債</v>
          </cell>
        </row>
        <row r="172">
          <cell r="A172" t="str">
            <v>00786B</v>
          </cell>
          <cell r="B172" t="str">
            <v>元大10年IG銀行債</v>
          </cell>
        </row>
        <row r="173">
          <cell r="A173" t="str">
            <v>00787B</v>
          </cell>
          <cell r="B173" t="str">
            <v>元大10年IG醫療債</v>
          </cell>
        </row>
        <row r="174">
          <cell r="A174" t="str">
            <v>00788B</v>
          </cell>
          <cell r="B174" t="str">
            <v>元大10年IG電能債</v>
          </cell>
        </row>
        <row r="175">
          <cell r="A175" t="str">
            <v>00789B</v>
          </cell>
          <cell r="B175" t="str">
            <v>FH公司債A3</v>
          </cell>
        </row>
        <row r="176">
          <cell r="A176" t="str">
            <v>00790B</v>
          </cell>
          <cell r="B176" t="str">
            <v>FH次順位IG金融債</v>
          </cell>
        </row>
        <row r="177">
          <cell r="A177" t="str">
            <v>00791B</v>
          </cell>
          <cell r="B177" t="str">
            <v>FH美元信用債1-5Y</v>
          </cell>
        </row>
        <row r="178">
          <cell r="A178" t="str">
            <v>00792B</v>
          </cell>
          <cell r="B178" t="str">
            <v>群益A級公司債</v>
          </cell>
        </row>
        <row r="179">
          <cell r="A179" t="str">
            <v>00793B</v>
          </cell>
          <cell r="B179" t="str">
            <v>群益AAA-A醫療債</v>
          </cell>
        </row>
        <row r="180">
          <cell r="A180" t="str">
            <v>00794B</v>
          </cell>
          <cell r="B180" t="str">
            <v>群益7+中國政金債</v>
          </cell>
        </row>
        <row r="181">
          <cell r="A181" t="str">
            <v>00795B</v>
          </cell>
          <cell r="B181" t="str">
            <v>中信美國公債20年</v>
          </cell>
        </row>
        <row r="182">
          <cell r="A182" t="str">
            <v>00796B</v>
          </cell>
          <cell r="B182" t="str">
            <v>中信中國債7-10</v>
          </cell>
        </row>
        <row r="183">
          <cell r="A183" t="str">
            <v>00797B</v>
          </cell>
          <cell r="B183" t="str">
            <v>中信中國美元IG債</v>
          </cell>
        </row>
        <row r="184">
          <cell r="A184" t="str">
            <v>00798B</v>
          </cell>
          <cell r="B184" t="str">
            <v>國泰中企A級債7+</v>
          </cell>
        </row>
        <row r="185">
          <cell r="A185" t="str">
            <v>00799B</v>
          </cell>
          <cell r="B185" t="str">
            <v>國泰A級醫療債</v>
          </cell>
        </row>
        <row r="186">
          <cell r="A186" t="str">
            <v>008201</v>
          </cell>
          <cell r="B186" t="str">
            <v>BP上證50</v>
          </cell>
        </row>
        <row r="187">
          <cell r="A187" t="str">
            <v>00830</v>
          </cell>
          <cell r="B187" t="str">
            <v>國泰費城半導體</v>
          </cell>
        </row>
        <row r="188">
          <cell r="A188" t="str">
            <v>00831B</v>
          </cell>
          <cell r="B188" t="str">
            <v>新光美債1-3</v>
          </cell>
        </row>
        <row r="189">
          <cell r="A189" t="str">
            <v>00832B</v>
          </cell>
          <cell r="B189" t="str">
            <v>新光美債20+</v>
          </cell>
        </row>
        <row r="190">
          <cell r="A190" t="str">
            <v>00833B</v>
          </cell>
          <cell r="B190" t="str">
            <v>第一金美債20+</v>
          </cell>
        </row>
        <row r="191">
          <cell r="A191" t="str">
            <v>00834B</v>
          </cell>
          <cell r="B191" t="str">
            <v>第一金金融債10+</v>
          </cell>
        </row>
        <row r="192">
          <cell r="A192" t="str">
            <v>00835B</v>
          </cell>
          <cell r="B192" t="str">
            <v>第一金科技債10+</v>
          </cell>
        </row>
        <row r="193">
          <cell r="A193" t="str">
            <v>00836B</v>
          </cell>
          <cell r="B193" t="str">
            <v>永豐10年A公司債</v>
          </cell>
        </row>
        <row r="194">
          <cell r="A194" t="str">
            <v>00837B</v>
          </cell>
          <cell r="B194" t="str">
            <v>永豐15年金融債</v>
          </cell>
        </row>
        <row r="195">
          <cell r="A195" t="str">
            <v>00838B</v>
          </cell>
          <cell r="B195" t="str">
            <v>永豐7-10年中國債</v>
          </cell>
        </row>
        <row r="196">
          <cell r="A196" t="str">
            <v>00839B</v>
          </cell>
          <cell r="B196" t="str">
            <v>凱基醫療保健債</v>
          </cell>
        </row>
        <row r="197">
          <cell r="A197" t="str">
            <v>00840B</v>
          </cell>
          <cell r="B197" t="str">
            <v>凱基IG精選15+</v>
          </cell>
        </row>
        <row r="198">
          <cell r="A198" t="str">
            <v>00841B</v>
          </cell>
          <cell r="B198" t="str">
            <v>凱基AAA-AA公司債</v>
          </cell>
        </row>
        <row r="199">
          <cell r="A199" t="str">
            <v>00842B</v>
          </cell>
          <cell r="B199" t="str">
            <v>台新美元銀行債</v>
          </cell>
        </row>
        <row r="200">
          <cell r="A200" t="str">
            <v>00843B</v>
          </cell>
          <cell r="B200" t="str">
            <v>台新中國政策債</v>
          </cell>
        </row>
        <row r="201">
          <cell r="A201" t="str">
            <v>00844B</v>
          </cell>
          <cell r="B201" t="str">
            <v>新光15年IG金融債</v>
          </cell>
        </row>
        <row r="202">
          <cell r="A202" t="str">
            <v>00845B</v>
          </cell>
          <cell r="B202" t="str">
            <v>富邦新興投等債</v>
          </cell>
        </row>
        <row r="203">
          <cell r="A203" t="str">
            <v>00846B</v>
          </cell>
          <cell r="B203" t="str">
            <v>富邦歐洲銀行債</v>
          </cell>
        </row>
        <row r="204">
          <cell r="A204" t="str">
            <v>00847B</v>
          </cell>
          <cell r="B204" t="str">
            <v>中信美國市政債</v>
          </cell>
        </row>
        <row r="205">
          <cell r="A205" t="str">
            <v>00848B</v>
          </cell>
          <cell r="B205" t="str">
            <v>中信新興亞洲債</v>
          </cell>
        </row>
        <row r="206">
          <cell r="A206" t="str">
            <v>00849B</v>
          </cell>
          <cell r="B206" t="str">
            <v>中信EM主權債0-5</v>
          </cell>
        </row>
        <row r="207">
          <cell r="A207" t="str">
            <v>00850</v>
          </cell>
          <cell r="B207" t="str">
            <v>元大臺灣ESG永續</v>
          </cell>
        </row>
        <row r="208">
          <cell r="A208" t="str">
            <v>00851</v>
          </cell>
          <cell r="B208" t="str">
            <v>台新全球AI</v>
          </cell>
        </row>
        <row r="209">
          <cell r="A209" t="str">
            <v>00852L</v>
          </cell>
          <cell r="B209" t="str">
            <v>國泰美國道瓊正2</v>
          </cell>
        </row>
        <row r="210">
          <cell r="A210" t="str">
            <v>00853B</v>
          </cell>
          <cell r="B210" t="str">
            <v>統一美債10年Aa-A</v>
          </cell>
        </row>
        <row r="211">
          <cell r="A211" t="str">
            <v>00854B</v>
          </cell>
          <cell r="B211" t="str">
            <v>富邦全球保險債</v>
          </cell>
        </row>
        <row r="212">
          <cell r="A212" t="str">
            <v>00855B</v>
          </cell>
          <cell r="B212" t="str">
            <v>富邦全球能源債</v>
          </cell>
        </row>
        <row r="213">
          <cell r="A213" t="str">
            <v>00856B</v>
          </cell>
          <cell r="B213" t="str">
            <v>永豐1-3年美公債</v>
          </cell>
        </row>
        <row r="214">
          <cell r="A214" t="str">
            <v>00857B</v>
          </cell>
          <cell r="B214" t="str">
            <v>永豐20年美公債</v>
          </cell>
        </row>
        <row r="215">
          <cell r="A215" t="str">
            <v>00858</v>
          </cell>
          <cell r="B215" t="str">
            <v>永豐美國500大</v>
          </cell>
        </row>
        <row r="216">
          <cell r="A216" t="str">
            <v>00859B</v>
          </cell>
          <cell r="B216" t="str">
            <v>群益0-1年美債</v>
          </cell>
        </row>
        <row r="217">
          <cell r="A217" t="str">
            <v>00860B</v>
          </cell>
          <cell r="B217" t="str">
            <v>群益1-5年IG債</v>
          </cell>
        </row>
        <row r="218">
          <cell r="A218" t="str">
            <v>00861</v>
          </cell>
          <cell r="B218" t="str">
            <v>元大全球未來通訊</v>
          </cell>
        </row>
        <row r="219">
          <cell r="A219" t="str">
            <v>00862B</v>
          </cell>
          <cell r="B219" t="str">
            <v>中信投資級公司債</v>
          </cell>
        </row>
        <row r="220">
          <cell r="A220" t="str">
            <v>00863B</v>
          </cell>
          <cell r="B220" t="str">
            <v>中信全球電信債</v>
          </cell>
        </row>
        <row r="221">
          <cell r="A221" t="str">
            <v>00864B</v>
          </cell>
          <cell r="B221" t="str">
            <v>中信美國公債0-1</v>
          </cell>
        </row>
        <row r="222">
          <cell r="A222" t="str">
            <v>00865B</v>
          </cell>
          <cell r="B222" t="str">
            <v>國泰US短期公債</v>
          </cell>
        </row>
        <row r="223">
          <cell r="A223" t="str">
            <v>00866</v>
          </cell>
          <cell r="B223" t="str">
            <v>新光SHILLER CAPE</v>
          </cell>
        </row>
        <row r="224">
          <cell r="A224" t="str">
            <v>00867B</v>
          </cell>
          <cell r="B224" t="str">
            <v>新光A-BBB電信債</v>
          </cell>
        </row>
        <row r="225">
          <cell r="A225" t="str">
            <v>00868B</v>
          </cell>
          <cell r="B225" t="str">
            <v>FT1-3年美公債</v>
          </cell>
        </row>
        <row r="226">
          <cell r="A226" t="str">
            <v>00869B</v>
          </cell>
          <cell r="B226" t="str">
            <v>FT10-25年公司債</v>
          </cell>
        </row>
        <row r="227">
          <cell r="A227" t="str">
            <v>00870B</v>
          </cell>
          <cell r="B227" t="str">
            <v>元大15年EM主權債</v>
          </cell>
        </row>
        <row r="228">
          <cell r="A228" t="str">
            <v>00871B</v>
          </cell>
          <cell r="B228" t="str">
            <v>元大中國政金債</v>
          </cell>
        </row>
        <row r="229">
          <cell r="A229" t="str">
            <v>00872B</v>
          </cell>
          <cell r="B229" t="str">
            <v>凱基美債1-3</v>
          </cell>
        </row>
        <row r="230">
          <cell r="A230" t="str">
            <v>00873B</v>
          </cell>
          <cell r="B230" t="str">
            <v>凱基新興債1-5</v>
          </cell>
        </row>
        <row r="231">
          <cell r="A231" t="str">
            <v>00874B</v>
          </cell>
          <cell r="B231" t="str">
            <v>凱基BBB公司債15+</v>
          </cell>
        </row>
        <row r="232">
          <cell r="A232" t="str">
            <v>00875</v>
          </cell>
          <cell r="B232" t="str">
            <v>國泰網路資安</v>
          </cell>
        </row>
      </sheetData>
      <sheetData sheetId="2"/>
      <sheetData sheetId="3"/>
      <sheetData sheetId="4"/>
      <sheetData sheetId="5"/>
      <sheetData sheetId="6">
        <row r="1">
          <cell r="A1" t="str">
            <v>代碼</v>
          </cell>
          <cell r="B1" t="str">
            <v>商品</v>
          </cell>
          <cell r="C1" t="str">
            <v>昨收</v>
          </cell>
          <cell r="D1" t="str">
            <v>開盤</v>
          </cell>
          <cell r="E1" t="str">
            <v>最高</v>
          </cell>
          <cell r="F1" t="str">
            <v>最低</v>
          </cell>
          <cell r="G1" t="str">
            <v>昨量</v>
          </cell>
          <cell r="H1" t="str">
            <v>時間</v>
          </cell>
          <cell r="I1" t="str">
            <v>成交</v>
          </cell>
          <cell r="J1" t="str">
            <v>買進</v>
          </cell>
          <cell r="K1" t="str">
            <v>賣出</v>
          </cell>
          <cell r="L1" t="str">
            <v>單量</v>
          </cell>
          <cell r="M1" t="str">
            <v>總量</v>
          </cell>
          <cell r="N1" t="str">
            <v>均價</v>
          </cell>
          <cell r="O1" t="str">
            <v>漲跌</v>
          </cell>
          <cell r="P1" t="str">
            <v>漲幅%</v>
          </cell>
          <cell r="Q1" t="str">
            <v>內外盤比圖</v>
          </cell>
          <cell r="R1" t="str">
            <v>委買</v>
          </cell>
          <cell r="S1" t="str">
            <v>委賣</v>
          </cell>
          <cell r="T1" t="str">
            <v>振幅%</v>
          </cell>
          <cell r="U1" t="str">
            <v>內外盤比%</v>
          </cell>
        </row>
        <row r="2">
          <cell r="A2" t="str">
            <v>FITX00</v>
          </cell>
          <cell r="B2" t="str">
            <v>台股指數現貨</v>
          </cell>
          <cell r="C2">
            <v>11393.23</v>
          </cell>
          <cell r="D2">
            <v>11418.01</v>
          </cell>
          <cell r="E2">
            <v>11482.36</v>
          </cell>
          <cell r="F2">
            <v>11411.94</v>
          </cell>
          <cell r="G2" t="str">
            <v>--</v>
          </cell>
          <cell r="H2" t="str">
            <v>13:33:15</v>
          </cell>
          <cell r="I2">
            <v>11479.4</v>
          </cell>
          <cell r="J2" t="str">
            <v>--</v>
          </cell>
          <cell r="K2" t="str">
            <v>--</v>
          </cell>
          <cell r="L2">
            <v>0</v>
          </cell>
          <cell r="M2" t="str">
            <v>--</v>
          </cell>
          <cell r="N2" t="str">
            <v>--</v>
          </cell>
          <cell r="O2">
            <v>86.17</v>
          </cell>
          <cell r="P2">
            <v>0.76</v>
          </cell>
          <cell r="Q2" t="str">
            <v>--</v>
          </cell>
          <cell r="R2" t="str">
            <v>--</v>
          </cell>
          <cell r="S2" t="str">
            <v>--</v>
          </cell>
          <cell r="T2">
            <v>0.62</v>
          </cell>
          <cell r="U2" t="str">
            <v>--</v>
          </cell>
        </row>
        <row r="3">
          <cell r="A3" t="str">
            <v>FITX08</v>
          </cell>
          <cell r="B3" t="str">
            <v>台股指數08(一般)</v>
          </cell>
          <cell r="C3">
            <v>11071</v>
          </cell>
          <cell r="D3">
            <v>11096</v>
          </cell>
          <cell r="E3">
            <v>11177</v>
          </cell>
          <cell r="F3">
            <v>11096</v>
          </cell>
          <cell r="G3">
            <v>97</v>
          </cell>
          <cell r="H3" t="str">
            <v>13:43:58</v>
          </cell>
          <cell r="I3">
            <v>11170</v>
          </cell>
          <cell r="J3">
            <v>11167</v>
          </cell>
          <cell r="K3">
            <v>11172</v>
          </cell>
          <cell r="L3">
            <v>1</v>
          </cell>
          <cell r="M3">
            <v>72</v>
          </cell>
          <cell r="N3">
            <v>11142</v>
          </cell>
          <cell r="O3">
            <v>99</v>
          </cell>
          <cell r="P3">
            <v>0.89</v>
          </cell>
          <cell r="Q3">
            <v>63.38</v>
          </cell>
          <cell r="R3">
            <v>1</v>
          </cell>
          <cell r="S3">
            <v>4</v>
          </cell>
          <cell r="T3">
            <v>0.73</v>
          </cell>
          <cell r="U3" t="str">
            <v>63.38%</v>
          </cell>
        </row>
        <row r="4">
          <cell r="A4" t="str">
            <v>FITX06</v>
          </cell>
          <cell r="B4" t="str">
            <v>台股指數06(一般)</v>
          </cell>
          <cell r="C4">
            <v>11358</v>
          </cell>
          <cell r="D4">
            <v>11399</v>
          </cell>
          <cell r="E4">
            <v>11473</v>
          </cell>
          <cell r="F4">
            <v>11377</v>
          </cell>
          <cell r="G4">
            <v>109338</v>
          </cell>
          <cell r="H4" t="str">
            <v>13:44:59</v>
          </cell>
          <cell r="I4">
            <v>11457</v>
          </cell>
          <cell r="J4">
            <v>11457</v>
          </cell>
          <cell r="K4">
            <v>11459</v>
          </cell>
          <cell r="L4">
            <v>1</v>
          </cell>
          <cell r="M4">
            <v>84936</v>
          </cell>
          <cell r="N4">
            <v>11427</v>
          </cell>
          <cell r="O4">
            <v>99</v>
          </cell>
          <cell r="P4">
            <v>0.87</v>
          </cell>
          <cell r="Q4">
            <v>51.78</v>
          </cell>
          <cell r="R4">
            <v>30</v>
          </cell>
          <cell r="S4">
            <v>4</v>
          </cell>
          <cell r="T4">
            <v>0.85</v>
          </cell>
          <cell r="U4" t="str">
            <v>51.78%</v>
          </cell>
        </row>
        <row r="5">
          <cell r="A5" t="str">
            <v>FITX07</v>
          </cell>
          <cell r="B5" t="str">
            <v>台股指數07(一般)</v>
          </cell>
          <cell r="C5">
            <v>11207</v>
          </cell>
          <cell r="D5">
            <v>11241</v>
          </cell>
          <cell r="E5">
            <v>11319</v>
          </cell>
          <cell r="F5">
            <v>11228</v>
          </cell>
          <cell r="G5">
            <v>1822</v>
          </cell>
          <cell r="H5" t="str">
            <v>12:54:19</v>
          </cell>
          <cell r="I5">
            <v>11310</v>
          </cell>
          <cell r="J5">
            <v>11309</v>
          </cell>
          <cell r="K5">
            <v>11311</v>
          </cell>
          <cell r="L5">
            <v>1</v>
          </cell>
          <cell r="M5">
            <v>1071</v>
          </cell>
          <cell r="N5">
            <v>11277</v>
          </cell>
          <cell r="O5">
            <v>103</v>
          </cell>
          <cell r="P5">
            <v>0.92</v>
          </cell>
          <cell r="Q5">
            <v>59.29</v>
          </cell>
          <cell r="R5">
            <v>5</v>
          </cell>
          <cell r="S5">
            <v>22</v>
          </cell>
          <cell r="T5">
            <v>0.81</v>
          </cell>
          <cell r="U5" t="str">
            <v>59.29%</v>
          </cell>
        </row>
        <row r="9">
          <cell r="A9" t="str">
            <v>FITE08</v>
          </cell>
          <cell r="B9" t="str">
            <v>電子指數08(一般)</v>
          </cell>
          <cell r="C9">
            <v>489.85</v>
          </cell>
          <cell r="D9" t="str">
            <v>--</v>
          </cell>
          <cell r="E9" t="str">
            <v>--</v>
          </cell>
          <cell r="F9" t="str">
            <v>--</v>
          </cell>
          <cell r="G9">
            <v>0</v>
          </cell>
          <cell r="H9" t="str">
            <v>--</v>
          </cell>
          <cell r="I9" t="str">
            <v>--</v>
          </cell>
          <cell r="J9">
            <v>490.4</v>
          </cell>
          <cell r="K9">
            <v>502.55</v>
          </cell>
          <cell r="L9">
            <v>0</v>
          </cell>
          <cell r="M9">
            <v>0</v>
          </cell>
          <cell r="N9" t="str">
            <v>--</v>
          </cell>
          <cell r="O9" t="str">
            <v>--</v>
          </cell>
          <cell r="P9" t="str">
            <v>--</v>
          </cell>
          <cell r="Q9" t="str">
            <v>--</v>
          </cell>
          <cell r="R9">
            <v>1</v>
          </cell>
          <cell r="S9">
            <v>1</v>
          </cell>
          <cell r="T9" t="str">
            <v>--</v>
          </cell>
          <cell r="U9" t="str">
            <v>--</v>
          </cell>
        </row>
        <row r="10">
          <cell r="A10" t="str">
            <v>FITE06</v>
          </cell>
          <cell r="B10" t="str">
            <v>電子指數06(一般)</v>
          </cell>
          <cell r="C10">
            <v>502.15</v>
          </cell>
          <cell r="D10">
            <v>503.6</v>
          </cell>
          <cell r="E10">
            <v>507.95</v>
          </cell>
          <cell r="F10">
            <v>502.95</v>
          </cell>
          <cell r="G10">
            <v>2277</v>
          </cell>
          <cell r="H10" t="str">
            <v>12:54:37</v>
          </cell>
          <cell r="I10">
            <v>507.4</v>
          </cell>
          <cell r="J10">
            <v>507.4</v>
          </cell>
          <cell r="K10">
            <v>507.55</v>
          </cell>
          <cell r="L10">
            <v>1</v>
          </cell>
          <cell r="M10">
            <v>1515</v>
          </cell>
          <cell r="N10">
            <v>505.56</v>
          </cell>
          <cell r="O10">
            <v>5.35</v>
          </cell>
          <cell r="P10">
            <v>1.07</v>
          </cell>
          <cell r="Q10">
            <v>53.51</v>
          </cell>
          <cell r="R10">
            <v>2</v>
          </cell>
          <cell r="S10">
            <v>2</v>
          </cell>
          <cell r="T10">
            <v>1</v>
          </cell>
          <cell r="U10" t="str">
            <v>53.51%</v>
          </cell>
        </row>
        <row r="11">
          <cell r="A11" t="str">
            <v>FITE07</v>
          </cell>
          <cell r="B11" t="str">
            <v>電子指數07(一般)</v>
          </cell>
          <cell r="C11">
            <v>496.8</v>
          </cell>
          <cell r="D11">
            <v>499.8</v>
          </cell>
          <cell r="E11">
            <v>502</v>
          </cell>
          <cell r="F11">
            <v>499.8</v>
          </cell>
          <cell r="G11">
            <v>22</v>
          </cell>
          <cell r="H11" t="str">
            <v>13:43:34</v>
          </cell>
          <cell r="I11">
            <v>501.8</v>
          </cell>
          <cell r="J11">
            <v>501.55</v>
          </cell>
          <cell r="K11">
            <v>501.85</v>
          </cell>
          <cell r="L11">
            <v>1</v>
          </cell>
          <cell r="M11">
            <v>26</v>
          </cell>
          <cell r="N11">
            <v>501.15</v>
          </cell>
          <cell r="O11">
            <v>5</v>
          </cell>
          <cell r="P11">
            <v>1.01</v>
          </cell>
          <cell r="Q11">
            <v>78.95</v>
          </cell>
          <cell r="R11">
            <v>3</v>
          </cell>
          <cell r="S11">
            <v>1</v>
          </cell>
          <cell r="T11">
            <v>0.44</v>
          </cell>
          <cell r="U11" t="str">
            <v>78.95%</v>
          </cell>
        </row>
        <row r="15">
          <cell r="A15" t="str">
            <v>2330</v>
          </cell>
          <cell r="B15" t="str">
            <v>台積電</v>
          </cell>
          <cell r="C15">
            <v>306</v>
          </cell>
          <cell r="D15">
            <v>308.5</v>
          </cell>
          <cell r="E15">
            <v>312</v>
          </cell>
          <cell r="F15">
            <v>308</v>
          </cell>
          <cell r="G15">
            <v>47225</v>
          </cell>
          <cell r="H15" t="str">
            <v>13:30:00</v>
          </cell>
          <cell r="I15">
            <v>311.5</v>
          </cell>
          <cell r="J15">
            <v>311.5</v>
          </cell>
          <cell r="K15">
            <v>312</v>
          </cell>
          <cell r="L15">
            <v>4860</v>
          </cell>
          <cell r="M15">
            <v>42644</v>
          </cell>
          <cell r="N15">
            <v>309.8</v>
          </cell>
          <cell r="O15">
            <v>5.5</v>
          </cell>
          <cell r="P15">
            <v>1.8</v>
          </cell>
          <cell r="Q15">
            <v>56.79</v>
          </cell>
          <cell r="R15">
            <v>68</v>
          </cell>
          <cell r="S15">
            <v>2027</v>
          </cell>
          <cell r="T15">
            <v>1.31</v>
          </cell>
          <cell r="U15" t="str">
            <v>56.79%</v>
          </cell>
        </row>
        <row r="16">
          <cell r="A16" t="str">
            <v>FICDF00</v>
          </cell>
          <cell r="B16" t="str">
            <v>台積電期現貨</v>
          </cell>
          <cell r="C16">
            <v>306</v>
          </cell>
          <cell r="D16">
            <v>308.5</v>
          </cell>
          <cell r="E16">
            <v>312</v>
          </cell>
          <cell r="F16">
            <v>308</v>
          </cell>
          <cell r="G16" t="str">
            <v>--</v>
          </cell>
          <cell r="H16" t="str">
            <v>13:30:00</v>
          </cell>
          <cell r="I16">
            <v>311.5</v>
          </cell>
          <cell r="J16" t="str">
            <v>--</v>
          </cell>
          <cell r="K16" t="str">
            <v>--</v>
          </cell>
          <cell r="L16">
            <v>0</v>
          </cell>
          <cell r="M16" t="str">
            <v>--</v>
          </cell>
          <cell r="N16" t="str">
            <v>--</v>
          </cell>
          <cell r="O16">
            <v>5.5</v>
          </cell>
          <cell r="P16">
            <v>1.8</v>
          </cell>
          <cell r="Q16" t="str">
            <v>--</v>
          </cell>
          <cell r="R16" t="str">
            <v>--</v>
          </cell>
          <cell r="S16" t="str">
            <v>--</v>
          </cell>
          <cell r="T16">
            <v>1.31</v>
          </cell>
          <cell r="U16" t="str">
            <v>--</v>
          </cell>
        </row>
        <row r="17">
          <cell r="A17" t="str">
            <v>FICDF*1</v>
          </cell>
          <cell r="B17" t="str">
            <v>台積電期近月</v>
          </cell>
          <cell r="C17">
            <v>305.5</v>
          </cell>
          <cell r="D17">
            <v>307.5</v>
          </cell>
          <cell r="E17">
            <v>312</v>
          </cell>
          <cell r="F17">
            <v>307</v>
          </cell>
          <cell r="G17">
            <v>3572</v>
          </cell>
          <cell r="H17" t="str">
            <v>13:44:58</v>
          </cell>
          <cell r="I17">
            <v>312</v>
          </cell>
          <cell r="J17">
            <v>311.5</v>
          </cell>
          <cell r="K17">
            <v>312</v>
          </cell>
          <cell r="L17">
            <v>1</v>
          </cell>
          <cell r="M17">
            <v>2438</v>
          </cell>
          <cell r="N17">
            <v>309.3</v>
          </cell>
          <cell r="O17">
            <v>6.5</v>
          </cell>
          <cell r="P17">
            <v>2.13</v>
          </cell>
          <cell r="Q17">
            <v>67.14</v>
          </cell>
          <cell r="R17">
            <v>29</v>
          </cell>
          <cell r="S17">
            <v>52</v>
          </cell>
          <cell r="T17">
            <v>1.64</v>
          </cell>
          <cell r="U17" t="str">
            <v>67.14%</v>
          </cell>
        </row>
        <row r="18">
          <cell r="A18" t="str">
            <v>FICDF*2</v>
          </cell>
          <cell r="B18" t="str">
            <v>台積電期遠月</v>
          </cell>
          <cell r="C18">
            <v>305.5</v>
          </cell>
          <cell r="D18">
            <v>307.5</v>
          </cell>
          <cell r="E18">
            <v>312</v>
          </cell>
          <cell r="F18">
            <v>307</v>
          </cell>
          <cell r="G18">
            <v>1543</v>
          </cell>
          <cell r="H18" t="str">
            <v>13:44:58</v>
          </cell>
          <cell r="I18">
            <v>312</v>
          </cell>
          <cell r="J18">
            <v>311.5</v>
          </cell>
          <cell r="K18">
            <v>312</v>
          </cell>
          <cell r="L18">
            <v>1</v>
          </cell>
          <cell r="M18">
            <v>473</v>
          </cell>
          <cell r="N18">
            <v>309.32</v>
          </cell>
          <cell r="O18">
            <v>6.5</v>
          </cell>
          <cell r="P18">
            <v>2.13</v>
          </cell>
          <cell r="Q18">
            <v>39.19</v>
          </cell>
          <cell r="R18">
            <v>8</v>
          </cell>
          <cell r="S18">
            <v>56</v>
          </cell>
          <cell r="T18">
            <v>1.64</v>
          </cell>
          <cell r="U18" t="str">
            <v>39.19%</v>
          </cell>
        </row>
      </sheetData>
      <sheetData sheetId="7">
        <row r="1">
          <cell r="D1" t="str">
            <v>Deal</v>
          </cell>
          <cell r="E1" t="str">
            <v>BidPrice</v>
          </cell>
          <cell r="F1" t="str">
            <v>AskPrice</v>
          </cell>
          <cell r="G1" t="str">
            <v>Reference</v>
          </cell>
          <cell r="H1" t="str">
            <v>BidLots</v>
          </cell>
          <cell r="I1" t="str">
            <v>AskLots</v>
          </cell>
          <cell r="J1" t="str">
            <v>Time</v>
          </cell>
          <cell r="K1" t="str">
            <v>備註</v>
          </cell>
          <cell r="L1" t="str">
            <v>淨值價格</v>
          </cell>
          <cell r="M1" t="str">
            <v>XQ淨值</v>
          </cell>
        </row>
        <row r="2">
          <cell r="B2" t="str">
            <v>TWD.FX</v>
          </cell>
          <cell r="C2" t="str">
            <v>FX</v>
          </cell>
          <cell r="D2">
            <v>29.773</v>
          </cell>
          <cell r="E2">
            <v>29.757999999999999</v>
          </cell>
          <cell r="F2">
            <v>29.788</v>
          </cell>
          <cell r="G2">
            <v>29.905999999999999</v>
          </cell>
          <cell r="H2">
            <v>0</v>
          </cell>
          <cell r="I2">
            <v>0</v>
          </cell>
          <cell r="J2" t="str">
            <v>20200605_135250035</v>
          </cell>
          <cell r="L2">
            <v>29.77</v>
          </cell>
          <cell r="M2">
            <v>29.812999999999999</v>
          </cell>
        </row>
        <row r="3">
          <cell r="B3" t="str">
            <v>CNYTW.FX</v>
          </cell>
          <cell r="C3" t="str">
            <v>FX</v>
          </cell>
          <cell r="D3">
            <v>4.1976000000000004</v>
          </cell>
          <cell r="E3">
            <v>4.1950000000000003</v>
          </cell>
          <cell r="F3">
            <v>4.2001999999999997</v>
          </cell>
          <cell r="G3">
            <v>4.2003000000000004</v>
          </cell>
          <cell r="H3">
            <v>0</v>
          </cell>
          <cell r="I3">
            <v>0</v>
          </cell>
          <cell r="J3" t="str">
            <v>20200605_135250043</v>
          </cell>
          <cell r="L3">
            <v>4.2</v>
          </cell>
          <cell r="M3">
            <v>4.2030000000000003</v>
          </cell>
        </row>
        <row r="4">
          <cell r="B4" t="str">
            <v>JPYTW.FX</v>
          </cell>
          <cell r="C4" t="str">
            <v>FX</v>
          </cell>
          <cell r="D4">
            <v>0.27250000000000002</v>
          </cell>
          <cell r="E4">
            <v>0.27229999999999999</v>
          </cell>
          <cell r="F4">
            <v>0.27260000000000001</v>
          </cell>
          <cell r="G4">
            <v>0.2742</v>
          </cell>
          <cell r="H4">
            <v>0</v>
          </cell>
          <cell r="I4">
            <v>0</v>
          </cell>
          <cell r="J4" t="str">
            <v>20200605_135253123</v>
          </cell>
          <cell r="L4">
            <v>0.27</v>
          </cell>
          <cell r="M4">
            <v>109.25</v>
          </cell>
        </row>
        <row r="5">
          <cell r="B5" t="str">
            <v>HKDTW.FX</v>
          </cell>
          <cell r="C5" t="str">
            <v>FX</v>
          </cell>
          <cell r="D5">
            <v>3.8416999999999999</v>
          </cell>
          <cell r="E5">
            <v>3.8397000000000001</v>
          </cell>
          <cell r="F5">
            <v>3.8435999999999999</v>
          </cell>
          <cell r="G5">
            <v>3.8588</v>
          </cell>
          <cell r="H5">
            <v>0</v>
          </cell>
          <cell r="I5">
            <v>0</v>
          </cell>
          <cell r="J5" t="str">
            <v>20200605_135250050</v>
          </cell>
          <cell r="L5">
            <v>3.84</v>
          </cell>
          <cell r="M5">
            <v>3.8468</v>
          </cell>
        </row>
        <row r="6">
          <cell r="B6" t="str">
            <v>TSE00</v>
          </cell>
          <cell r="C6" t="str">
            <v>V_INDEX</v>
          </cell>
          <cell r="D6">
            <v>11479.404478938146</v>
          </cell>
          <cell r="E6">
            <v>11470.261575721455</v>
          </cell>
          <cell r="F6">
            <v>11494.377306401984</v>
          </cell>
          <cell r="G6">
            <v>11393.23</v>
          </cell>
          <cell r="H6">
            <v>0</v>
          </cell>
          <cell r="I6">
            <v>0</v>
          </cell>
          <cell r="J6" t="str">
            <v>20200605_133041021</v>
          </cell>
          <cell r="L6">
            <v>11482.32</v>
          </cell>
          <cell r="M6">
            <v>11479.4</v>
          </cell>
        </row>
        <row r="7">
          <cell r="B7" t="str">
            <v>0050</v>
          </cell>
          <cell r="C7" t="str">
            <v>V_INDEX</v>
          </cell>
          <cell r="D7">
            <v>88.374418419999998</v>
          </cell>
          <cell r="E7">
            <v>88.324874940000001</v>
          </cell>
          <cell r="F7">
            <v>88.482317980000005</v>
          </cell>
          <cell r="G7">
            <v>87.592673259999998</v>
          </cell>
          <cell r="H7">
            <v>0</v>
          </cell>
          <cell r="I7">
            <v>0</v>
          </cell>
          <cell r="J7" t="str">
            <v>20200605_133015140</v>
          </cell>
          <cell r="K7" t="str">
            <v>淨值</v>
          </cell>
          <cell r="L7">
            <v>88.374418419999998</v>
          </cell>
          <cell r="M7">
            <v>88.37</v>
          </cell>
        </row>
        <row r="8">
          <cell r="B8" t="str">
            <v>0051</v>
          </cell>
          <cell r="C8" t="str">
            <v>V_INDEX</v>
          </cell>
          <cell r="D8">
            <v>35.898315279999998</v>
          </cell>
          <cell r="E8">
            <v>35.866645839999997</v>
          </cell>
          <cell r="F8">
            <v>35.953781300000003</v>
          </cell>
          <cell r="G8">
            <v>35.75735864</v>
          </cell>
          <cell r="H8">
            <v>0</v>
          </cell>
          <cell r="I8">
            <v>0</v>
          </cell>
          <cell r="J8" t="str">
            <v>20200605_133034812</v>
          </cell>
          <cell r="K8" t="str">
            <v>淨值</v>
          </cell>
          <cell r="L8">
            <v>35.898315279999998</v>
          </cell>
          <cell r="M8">
            <v>35.9</v>
          </cell>
        </row>
        <row r="9">
          <cell r="B9" t="str">
            <v>0052</v>
          </cell>
          <cell r="C9" t="str">
            <v>V_INDEX</v>
          </cell>
          <cell r="D9">
            <v>67.415901004590168</v>
          </cell>
          <cell r="E9">
            <v>67.391201599672129</v>
          </cell>
          <cell r="F9">
            <v>67.503568541639339</v>
          </cell>
          <cell r="G9">
            <v>66.414665081967215</v>
          </cell>
          <cell r="H9">
            <v>0</v>
          </cell>
          <cell r="I9">
            <v>0</v>
          </cell>
          <cell r="J9" t="str">
            <v>20200605_134459381</v>
          </cell>
          <cell r="K9" t="str">
            <v>淨值</v>
          </cell>
          <cell r="L9">
            <v>67.415901004590168</v>
          </cell>
          <cell r="M9">
            <v>67.42</v>
          </cell>
        </row>
        <row r="10">
          <cell r="B10" t="str">
            <v>0053</v>
          </cell>
          <cell r="C10" t="str">
            <v>V_INDEX</v>
          </cell>
          <cell r="D10">
            <v>40.903593659999999</v>
          </cell>
          <cell r="E10">
            <v>40.881221760000003</v>
          </cell>
          <cell r="F10">
            <v>40.962654780000001</v>
          </cell>
          <cell r="G10">
            <v>40.516364199999998</v>
          </cell>
          <cell r="H10">
            <v>0</v>
          </cell>
          <cell r="I10">
            <v>0</v>
          </cell>
          <cell r="J10" t="str">
            <v>20200605_133021552</v>
          </cell>
          <cell r="K10" t="str">
            <v>淨值</v>
          </cell>
          <cell r="L10">
            <v>40.903593659999999</v>
          </cell>
          <cell r="M10">
            <v>40.9</v>
          </cell>
        </row>
        <row r="11">
          <cell r="B11" t="str">
            <v>0054</v>
          </cell>
          <cell r="C11" t="str">
            <v>V_INDEX</v>
          </cell>
          <cell r="D11">
            <v>24.092466900000002</v>
          </cell>
          <cell r="E11">
            <v>24.0660864</v>
          </cell>
          <cell r="F11">
            <v>24.115214900000002</v>
          </cell>
          <cell r="G11">
            <v>24.1186124</v>
          </cell>
          <cell r="H11">
            <v>0</v>
          </cell>
          <cell r="I11">
            <v>0</v>
          </cell>
          <cell r="J11" t="str">
            <v>20200605_133015936</v>
          </cell>
          <cell r="K11" t="str">
            <v>淨值</v>
          </cell>
          <cell r="L11">
            <v>24.092466900000002</v>
          </cell>
          <cell r="M11">
            <v>24.09</v>
          </cell>
        </row>
        <row r="12">
          <cell r="B12" t="str">
            <v>0055</v>
          </cell>
          <cell r="C12" t="str">
            <v>V_INDEX</v>
          </cell>
          <cell r="D12">
            <v>17.8795906</v>
          </cell>
          <cell r="E12">
            <v>17.87058854</v>
          </cell>
          <cell r="F12">
            <v>17.908605699999999</v>
          </cell>
          <cell r="G12">
            <v>17.853598860000002</v>
          </cell>
          <cell r="H12">
            <v>0</v>
          </cell>
          <cell r="I12">
            <v>0</v>
          </cell>
          <cell r="J12" t="str">
            <v>20200605_132954782</v>
          </cell>
          <cell r="K12" t="str">
            <v>淨值</v>
          </cell>
          <cell r="L12">
            <v>17.8795906</v>
          </cell>
          <cell r="M12">
            <v>17.88</v>
          </cell>
        </row>
        <row r="13">
          <cell r="B13" t="str">
            <v>0056</v>
          </cell>
          <cell r="C13" t="str">
            <v>V_INDEX</v>
          </cell>
          <cell r="D13">
            <v>28.919037899999999</v>
          </cell>
          <cell r="E13">
            <v>28.8883957</v>
          </cell>
          <cell r="F13">
            <v>28.9482228</v>
          </cell>
          <cell r="G13">
            <v>28.811287199999999</v>
          </cell>
          <cell r="H13">
            <v>0</v>
          </cell>
          <cell r="I13">
            <v>0</v>
          </cell>
          <cell r="J13" t="str">
            <v>20200605_133012036</v>
          </cell>
          <cell r="K13" t="str">
            <v>淨值</v>
          </cell>
          <cell r="L13">
            <v>28.919037899999999</v>
          </cell>
          <cell r="M13">
            <v>28.92</v>
          </cell>
        </row>
        <row r="14">
          <cell r="B14" t="str">
            <v>0057</v>
          </cell>
          <cell r="C14" t="str">
            <v>V_INDEX</v>
          </cell>
          <cell r="D14">
            <v>58.34967116968371</v>
          </cell>
          <cell r="E14">
            <v>58.317114255022879</v>
          </cell>
          <cell r="F14">
            <v>58.42362747165307</v>
          </cell>
          <cell r="G14">
            <v>57.848650089516603</v>
          </cell>
          <cell r="H14">
            <v>0</v>
          </cell>
          <cell r="I14">
            <v>0</v>
          </cell>
          <cell r="J14" t="str">
            <v>20200605_134500176</v>
          </cell>
          <cell r="K14" t="str">
            <v>淨值</v>
          </cell>
          <cell r="L14">
            <v>58.34967116968371</v>
          </cell>
          <cell r="M14">
            <v>58.35</v>
          </cell>
        </row>
        <row r="15">
          <cell r="B15" t="str">
            <v>006201</v>
          </cell>
          <cell r="C15" t="str">
            <v>V_INDEX</v>
          </cell>
          <cell r="D15">
            <v>14.214835711141543</v>
          </cell>
          <cell r="E15">
            <v>14.204149215005378</v>
          </cell>
          <cell r="F15">
            <v>14.230923853076396</v>
          </cell>
          <cell r="G15">
            <v>14.150130881345984</v>
          </cell>
          <cell r="H15">
            <v>0</v>
          </cell>
          <cell r="I15">
            <v>0</v>
          </cell>
          <cell r="J15" t="str">
            <v>20200605_134459178</v>
          </cell>
          <cell r="K15" t="str">
            <v>淨值</v>
          </cell>
          <cell r="L15">
            <v>14.214835711141543</v>
          </cell>
          <cell r="M15">
            <v>14.21</v>
          </cell>
        </row>
        <row r="16">
          <cell r="B16" t="str">
            <v>006203</v>
          </cell>
          <cell r="C16" t="str">
            <v>V_INDEX</v>
          </cell>
          <cell r="D16">
            <v>41.394804399999998</v>
          </cell>
          <cell r="E16">
            <v>41.37148388</v>
          </cell>
          <cell r="F16">
            <v>41.447701600000002</v>
          </cell>
          <cell r="G16">
            <v>41.040140360000002</v>
          </cell>
          <cell r="H16">
            <v>0</v>
          </cell>
          <cell r="I16">
            <v>0</v>
          </cell>
          <cell r="J16" t="str">
            <v>20200605_133026871</v>
          </cell>
          <cell r="K16" t="str">
            <v>淨值</v>
          </cell>
          <cell r="L16">
            <v>41.394804399999998</v>
          </cell>
          <cell r="M16">
            <v>41.39</v>
          </cell>
        </row>
        <row r="17">
          <cell r="B17" t="str">
            <v>006204</v>
          </cell>
          <cell r="C17" t="str">
            <v>V_INDEX</v>
          </cell>
          <cell r="D17">
            <v>57.260004913333333</v>
          </cell>
          <cell r="E17">
            <v>57.220841559999997</v>
          </cell>
          <cell r="F17">
            <v>57.324870393333335</v>
          </cell>
          <cell r="G17">
            <v>56.859450666666667</v>
          </cell>
          <cell r="H17">
            <v>0</v>
          </cell>
          <cell r="I17">
            <v>0</v>
          </cell>
          <cell r="J17" t="str">
            <v>20200605_134500020</v>
          </cell>
          <cell r="K17" t="str">
            <v>淨值</v>
          </cell>
          <cell r="L17">
            <v>57.260004913333333</v>
          </cell>
          <cell r="M17">
            <v>57.26</v>
          </cell>
        </row>
        <row r="18">
          <cell r="B18" t="str">
            <v>006208</v>
          </cell>
          <cell r="C18" t="str">
            <v>V_INDEX</v>
          </cell>
          <cell r="D18">
            <v>50.519648262602431</v>
          </cell>
          <cell r="E18">
            <v>50.491469922274639</v>
          </cell>
          <cell r="F18">
            <v>50.581063682269679</v>
          </cell>
          <cell r="G18">
            <v>50.072467246088905</v>
          </cell>
          <cell r="H18">
            <v>0</v>
          </cell>
          <cell r="I18">
            <v>0</v>
          </cell>
          <cell r="J18" t="str">
            <v>20200605_134500176</v>
          </cell>
          <cell r="K18" t="str">
            <v>淨值</v>
          </cell>
          <cell r="L18">
            <v>50.519648262602431</v>
          </cell>
          <cell r="M18">
            <v>50.52</v>
          </cell>
        </row>
        <row r="19">
          <cell r="B19" t="str">
            <v>00692</v>
          </cell>
          <cell r="C19" t="str">
            <v>V_INDEX</v>
          </cell>
          <cell r="D19">
            <v>22.978302039583188</v>
          </cell>
          <cell r="E19">
            <v>22.964428329046012</v>
          </cell>
          <cell r="F19">
            <v>23.009410726872549</v>
          </cell>
          <cell r="G19">
            <v>22.780111826810646</v>
          </cell>
          <cell r="H19">
            <v>0</v>
          </cell>
          <cell r="I19">
            <v>0</v>
          </cell>
          <cell r="J19" t="str">
            <v>20200605_134500020</v>
          </cell>
          <cell r="K19" t="str">
            <v>淨值</v>
          </cell>
          <cell r="L19">
            <v>22.978302039583188</v>
          </cell>
          <cell r="M19">
            <v>22.98</v>
          </cell>
        </row>
        <row r="20">
          <cell r="B20" t="str">
            <v>00728</v>
          </cell>
          <cell r="C20" t="str">
            <v>V_INDEX</v>
          </cell>
          <cell r="D20">
            <v>19.961384692647648</v>
          </cell>
          <cell r="E20">
            <v>19.945377116455258</v>
          </cell>
          <cell r="F20">
            <v>19.976488205245943</v>
          </cell>
          <cell r="G20">
            <v>19.798439533949377</v>
          </cell>
          <cell r="H20">
            <v>0</v>
          </cell>
          <cell r="I20">
            <v>0</v>
          </cell>
          <cell r="J20" t="str">
            <v>20200605_134500020</v>
          </cell>
          <cell r="K20" t="str">
            <v>淨值</v>
          </cell>
          <cell r="L20">
            <v>19.961384692647648</v>
          </cell>
          <cell r="M20">
            <v>19.96</v>
          </cell>
        </row>
        <row r="21">
          <cell r="B21" t="str">
            <v>00731</v>
          </cell>
          <cell r="C21" t="str">
            <v>V_INDEX</v>
          </cell>
          <cell r="D21">
            <v>45.885590854632589</v>
          </cell>
          <cell r="E21">
            <v>45.841414337060705</v>
          </cell>
          <cell r="F21">
            <v>45.926627827476032</v>
          </cell>
          <cell r="G21">
            <v>45.663287779552718</v>
          </cell>
          <cell r="H21">
            <v>0</v>
          </cell>
          <cell r="I21">
            <v>0</v>
          </cell>
          <cell r="J21" t="str">
            <v>20200605_134500020</v>
          </cell>
          <cell r="K21" t="str">
            <v>淨值</v>
          </cell>
          <cell r="L21">
            <v>45.885590854632589</v>
          </cell>
          <cell r="M21">
            <v>45.89</v>
          </cell>
        </row>
        <row r="22">
          <cell r="B22" t="str">
            <v>00733</v>
          </cell>
          <cell r="C22" t="str">
            <v>V_INDEX</v>
          </cell>
          <cell r="D22">
            <v>21.623166456275158</v>
          </cell>
          <cell r="E22">
            <v>21.606087413099157</v>
          </cell>
          <cell r="F22">
            <v>21.656464206000734</v>
          </cell>
          <cell r="G22">
            <v>21.569952616172706</v>
          </cell>
          <cell r="H22">
            <v>0</v>
          </cell>
          <cell r="I22">
            <v>0</v>
          </cell>
          <cell r="J22" t="str">
            <v>20200605_134459178</v>
          </cell>
          <cell r="K22" t="str">
            <v>淨值</v>
          </cell>
          <cell r="L22">
            <v>21.623166456275158</v>
          </cell>
          <cell r="M22">
            <v>21.62</v>
          </cell>
        </row>
        <row r="23">
          <cell r="B23" t="str">
            <v>00735</v>
          </cell>
          <cell r="C23" t="str">
            <v>V_INDEX</v>
          </cell>
          <cell r="D23">
            <v>21.01</v>
          </cell>
          <cell r="E23">
            <v>-7.9228162514264338E+28</v>
          </cell>
          <cell r="F23">
            <v>-7.9228162514264338E+28</v>
          </cell>
          <cell r="G23">
            <v>20.76</v>
          </cell>
          <cell r="H23">
            <v>-2147483648</v>
          </cell>
          <cell r="I23">
            <v>-2147483648</v>
          </cell>
          <cell r="J23" t="str">
            <v>20200605_132928000</v>
          </cell>
          <cell r="K23" t="str">
            <v>淨值</v>
          </cell>
          <cell r="L23">
            <v>21.01</v>
          </cell>
          <cell r="M23">
            <v>21.04</v>
          </cell>
        </row>
        <row r="24">
          <cell r="B24" t="str">
            <v>00736</v>
          </cell>
          <cell r="C24" t="str">
            <v>V_INDEX</v>
          </cell>
          <cell r="D24">
            <v>18.39</v>
          </cell>
          <cell r="E24">
            <v>-7.9228162514264338E+28</v>
          </cell>
          <cell r="F24">
            <v>-7.9228162514264338E+28</v>
          </cell>
          <cell r="G24">
            <v>18.39</v>
          </cell>
          <cell r="H24">
            <v>-2147483648</v>
          </cell>
          <cell r="I24">
            <v>-2147483648</v>
          </cell>
          <cell r="J24" t="str">
            <v>20200605_132928000</v>
          </cell>
          <cell r="K24" t="str">
            <v>淨值</v>
          </cell>
          <cell r="L24">
            <v>18.39</v>
          </cell>
          <cell r="M24">
            <v>18.399999999999999</v>
          </cell>
        </row>
        <row r="25">
          <cell r="B25" t="str">
            <v>00737</v>
          </cell>
          <cell r="C25" t="str">
            <v>V_INDEX</v>
          </cell>
          <cell r="D25">
            <v>23.49</v>
          </cell>
          <cell r="E25">
            <v>-7.9228162514264338E+28</v>
          </cell>
          <cell r="F25">
            <v>-7.9228162514264338E+28</v>
          </cell>
          <cell r="G25">
            <v>23.52</v>
          </cell>
          <cell r="H25">
            <v>-2147483648</v>
          </cell>
          <cell r="I25">
            <v>-2147483648</v>
          </cell>
          <cell r="J25" t="str">
            <v>20200605_132928000</v>
          </cell>
          <cell r="K25" t="str">
            <v>淨值</v>
          </cell>
          <cell r="L25">
            <v>23.49</v>
          </cell>
          <cell r="M25">
            <v>23.5</v>
          </cell>
        </row>
        <row r="26">
          <cell r="B26" t="str">
            <v>00757</v>
          </cell>
          <cell r="C26" t="str">
            <v>V_INDEX</v>
          </cell>
          <cell r="D26">
            <v>28.43</v>
          </cell>
          <cell r="E26">
            <v>-7.9228162514264338E+28</v>
          </cell>
          <cell r="F26">
            <v>-7.9228162514264338E+28</v>
          </cell>
          <cell r="G26">
            <v>28.53</v>
          </cell>
          <cell r="H26">
            <v>-2147483648</v>
          </cell>
          <cell r="I26">
            <v>-2147483648</v>
          </cell>
          <cell r="J26" t="str">
            <v>20200605_132946000</v>
          </cell>
          <cell r="K26" t="str">
            <v>淨值</v>
          </cell>
          <cell r="L26">
            <v>28.43</v>
          </cell>
          <cell r="M26">
            <v>28.43</v>
          </cell>
        </row>
        <row r="27">
          <cell r="B27" t="str">
            <v>00767</v>
          </cell>
          <cell r="C27" t="str">
            <v>V_INDEX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 t="str">
            <v>淨值</v>
          </cell>
          <cell r="L27" t="e">
            <v>#N/A</v>
          </cell>
          <cell r="M27" t="e">
            <v>#N/A</v>
          </cell>
        </row>
        <row r="28">
          <cell r="B28" t="str">
            <v>00776</v>
          </cell>
          <cell r="C28" t="str">
            <v>V_INDEX</v>
          </cell>
          <cell r="D28">
            <v>20.67</v>
          </cell>
          <cell r="E28">
            <v>-7.9228162514264338E+28</v>
          </cell>
          <cell r="F28">
            <v>-7.9228162514264338E+28</v>
          </cell>
          <cell r="G28">
            <v>20.74</v>
          </cell>
          <cell r="H28">
            <v>-2147483648</v>
          </cell>
          <cell r="I28">
            <v>-2147483648</v>
          </cell>
          <cell r="J28" t="str">
            <v>20200605_132718000</v>
          </cell>
          <cell r="K28" t="str">
            <v>淨值</v>
          </cell>
          <cell r="L28">
            <v>20.67</v>
          </cell>
          <cell r="M28">
            <v>20.67</v>
          </cell>
        </row>
        <row r="29">
          <cell r="B29" t="str">
            <v>00850</v>
          </cell>
          <cell r="C29" t="str">
            <v>V_INDEX</v>
          </cell>
          <cell r="D29">
            <v>22.282524782612448</v>
          </cell>
          <cell r="E29">
            <v>22.267292607355429</v>
          </cell>
          <cell r="F29">
            <v>22.309335979755009</v>
          </cell>
          <cell r="G29">
            <v>22.125538576000736</v>
          </cell>
          <cell r="H29">
            <v>0</v>
          </cell>
          <cell r="I29">
            <v>0</v>
          </cell>
          <cell r="J29" t="str">
            <v>20200605_134500020</v>
          </cell>
          <cell r="K29" t="str">
            <v>淨值</v>
          </cell>
          <cell r="L29">
            <v>22.282524782612448</v>
          </cell>
          <cell r="M29">
            <v>22.28</v>
          </cell>
        </row>
        <row r="30">
          <cell r="B30" t="str">
            <v>00858</v>
          </cell>
          <cell r="C30" t="str">
            <v>V_INDEX</v>
          </cell>
          <cell r="D30">
            <v>21.13</v>
          </cell>
          <cell r="E30">
            <v>-7.9228162514264338E+28</v>
          </cell>
          <cell r="F30">
            <v>-7.9228162514264338E+28</v>
          </cell>
          <cell r="G30">
            <v>21.14</v>
          </cell>
          <cell r="H30">
            <v>-2147483648</v>
          </cell>
          <cell r="I30">
            <v>-2147483648</v>
          </cell>
          <cell r="J30" t="str">
            <v>20200605_132934000</v>
          </cell>
          <cell r="K30" t="str">
            <v>淨值</v>
          </cell>
          <cell r="L30">
            <v>21.13</v>
          </cell>
          <cell r="M30">
            <v>21.15</v>
          </cell>
        </row>
        <row r="31">
          <cell r="B31"/>
          <cell r="C31"/>
          <cell r="D31"/>
          <cell r="E31"/>
          <cell r="F31"/>
          <cell r="G31"/>
          <cell r="H31"/>
          <cell r="I31"/>
          <cell r="J31"/>
          <cell r="L31" t="str">
            <v/>
          </cell>
        </row>
        <row r="32">
          <cell r="B32" t="str">
            <v>00677U</v>
          </cell>
          <cell r="C32" t="str">
            <v>V_INDEX</v>
          </cell>
          <cell r="D32">
            <v>5.4340303686906939</v>
          </cell>
          <cell r="E32">
            <v>5.4240494192940671</v>
          </cell>
          <cell r="F32">
            <v>5.4340303686906939</v>
          </cell>
          <cell r="G32">
            <v>5.56272159555611</v>
          </cell>
          <cell r="H32">
            <v>0</v>
          </cell>
          <cell r="I32">
            <v>0</v>
          </cell>
          <cell r="J32" t="str">
            <v>20200605_135244997</v>
          </cell>
          <cell r="K32" t="str">
            <v>淨值</v>
          </cell>
          <cell r="L32">
            <v>5.4340303686906939</v>
          </cell>
          <cell r="M32">
            <v>5.7</v>
          </cell>
        </row>
        <row r="33">
          <cell r="B33" t="str">
            <v>VX-J20</v>
          </cell>
          <cell r="C33" t="str">
            <v>CFE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 t="str">
            <v>4月期貨</v>
          </cell>
          <cell r="L33">
            <v>0</v>
          </cell>
        </row>
        <row r="34">
          <cell r="B34" t="str">
            <v>VX-K20</v>
          </cell>
          <cell r="C34" t="str">
            <v>CFE</v>
          </cell>
          <cell r="D34">
            <v>28.7</v>
          </cell>
          <cell r="E34">
            <v>28.75</v>
          </cell>
          <cell r="F34">
            <v>28.95</v>
          </cell>
          <cell r="G34">
            <v>30.75</v>
          </cell>
          <cell r="H34">
            <v>7</v>
          </cell>
          <cell r="I34">
            <v>2</v>
          </cell>
          <cell r="J34" t="str">
            <v>20200520_210000267</v>
          </cell>
          <cell r="K34" t="str">
            <v>5月期貨</v>
          </cell>
          <cell r="L34">
            <v>28.85</v>
          </cell>
        </row>
        <row r="35">
          <cell r="B35" t="str">
            <v>VX-M20</v>
          </cell>
          <cell r="C35" t="str">
            <v>CFE</v>
          </cell>
          <cell r="D35">
            <v>26.1</v>
          </cell>
          <cell r="E35">
            <v>26.05</v>
          </cell>
          <cell r="F35">
            <v>26.1</v>
          </cell>
          <cell r="G35">
            <v>26.725000000000001</v>
          </cell>
          <cell r="H35">
            <v>22</v>
          </cell>
          <cell r="I35">
            <v>6</v>
          </cell>
          <cell r="J35" t="str">
            <v>20200605_135253436</v>
          </cell>
          <cell r="K35" t="str">
            <v>6月期貨</v>
          </cell>
          <cell r="L35">
            <v>26.08</v>
          </cell>
        </row>
        <row r="36">
          <cell r="B36" t="str">
            <v>VX-N20</v>
          </cell>
          <cell r="C36" t="str">
            <v>CFE</v>
          </cell>
          <cell r="D36">
            <v>28.2</v>
          </cell>
          <cell r="E36">
            <v>28.15</v>
          </cell>
          <cell r="F36">
            <v>28.2</v>
          </cell>
          <cell r="G36">
            <v>28.725000000000001</v>
          </cell>
          <cell r="H36">
            <v>17</v>
          </cell>
          <cell r="I36">
            <v>19</v>
          </cell>
          <cell r="J36" t="str">
            <v>20200605_135253436</v>
          </cell>
          <cell r="K36" t="str">
            <v>7月期貨</v>
          </cell>
          <cell r="L36">
            <v>28.18</v>
          </cell>
        </row>
        <row r="37">
          <cell r="B37" t="str">
            <v>VX-Q20</v>
          </cell>
          <cell r="C37" t="str">
            <v>CFE</v>
          </cell>
          <cell r="D37">
            <v>28.2</v>
          </cell>
          <cell r="E37">
            <v>28.15</v>
          </cell>
          <cell r="F37">
            <v>28.2</v>
          </cell>
          <cell r="G37">
            <v>28.675000000000001</v>
          </cell>
          <cell r="H37">
            <v>31</v>
          </cell>
          <cell r="I37">
            <v>10</v>
          </cell>
          <cell r="J37" t="str">
            <v>20200605_135253436</v>
          </cell>
          <cell r="K37" t="str">
            <v>8月期貨</v>
          </cell>
          <cell r="L37">
            <v>28.18</v>
          </cell>
        </row>
        <row r="38">
          <cell r="B38" t="str">
            <v>VX-U20</v>
          </cell>
          <cell r="C38" t="str">
            <v>CFE</v>
          </cell>
          <cell r="D38">
            <v>28.67</v>
          </cell>
          <cell r="E38">
            <v>28.65</v>
          </cell>
          <cell r="F38">
            <v>28.7</v>
          </cell>
          <cell r="G38">
            <v>29.074999999999999</v>
          </cell>
          <cell r="H38">
            <v>10</v>
          </cell>
          <cell r="I38">
            <v>3</v>
          </cell>
          <cell r="J38" t="str">
            <v>20200605_135253436</v>
          </cell>
          <cell r="K38" t="str">
            <v>9月期貨</v>
          </cell>
          <cell r="L38">
            <v>28.68</v>
          </cell>
        </row>
        <row r="39">
          <cell r="B39" t="str">
            <v>VX-V20</v>
          </cell>
          <cell r="C39" t="str">
            <v>CFE</v>
          </cell>
          <cell r="D39">
            <v>30.7</v>
          </cell>
          <cell r="E39">
            <v>30.65</v>
          </cell>
          <cell r="F39">
            <v>30.7</v>
          </cell>
          <cell r="G39">
            <v>30.975000000000001</v>
          </cell>
          <cell r="H39">
            <v>5</v>
          </cell>
          <cell r="I39">
            <v>2</v>
          </cell>
          <cell r="J39" t="str">
            <v>20200605_135237649</v>
          </cell>
          <cell r="K39" t="str">
            <v>10月期貨</v>
          </cell>
          <cell r="L39">
            <v>30.68</v>
          </cell>
        </row>
        <row r="40">
          <cell r="B40" t="str">
            <v>VX-X20</v>
          </cell>
          <cell r="C40" t="str">
            <v>CFE</v>
          </cell>
          <cell r="D40">
            <v>28.7</v>
          </cell>
          <cell r="E40">
            <v>28.65</v>
          </cell>
          <cell r="F40">
            <v>28.7</v>
          </cell>
          <cell r="G40">
            <v>28.95</v>
          </cell>
          <cell r="H40">
            <v>1</v>
          </cell>
          <cell r="I40">
            <v>3</v>
          </cell>
          <cell r="J40" t="str">
            <v>20200605_135253436</v>
          </cell>
          <cell r="K40" t="str">
            <v>11月期貨</v>
          </cell>
          <cell r="L40">
            <v>28.68</v>
          </cell>
        </row>
        <row r="41">
          <cell r="B41" t="str">
            <v>VX-Z20</v>
          </cell>
          <cell r="C41" t="str">
            <v>CFE</v>
          </cell>
          <cell r="D41">
            <v>27.17</v>
          </cell>
          <cell r="E41">
            <v>27.05</v>
          </cell>
          <cell r="F41">
            <v>27.15</v>
          </cell>
          <cell r="G41">
            <v>27.4</v>
          </cell>
          <cell r="H41">
            <v>9</v>
          </cell>
          <cell r="I41">
            <v>1</v>
          </cell>
          <cell r="J41" t="str">
            <v>20200605_135241674</v>
          </cell>
          <cell r="K41" t="str">
            <v>12月期貨</v>
          </cell>
          <cell r="L41">
            <v>27.1</v>
          </cell>
        </row>
        <row r="42">
          <cell r="B42"/>
          <cell r="C42"/>
          <cell r="D42"/>
          <cell r="E42"/>
          <cell r="F42"/>
          <cell r="G42"/>
          <cell r="H42"/>
          <cell r="I42"/>
          <cell r="J42"/>
          <cell r="L42" t="str">
            <v/>
          </cell>
        </row>
        <row r="43">
          <cell r="B43" t="str">
            <v>00715L</v>
          </cell>
          <cell r="C43" t="str">
            <v>V_INDEX</v>
          </cell>
          <cell r="D43">
            <v>3.3307185295494279</v>
          </cell>
          <cell r="E43">
            <v>3.3274105422228981</v>
          </cell>
          <cell r="F43">
            <v>3.3307185295494279</v>
          </cell>
          <cell r="G43">
            <v>3.2910226816310697</v>
          </cell>
          <cell r="H43">
            <v>0</v>
          </cell>
          <cell r="I43">
            <v>0</v>
          </cell>
          <cell r="J43" t="str">
            <v>20200605_135253717</v>
          </cell>
          <cell r="K43" t="str">
            <v>淨值</v>
          </cell>
          <cell r="L43">
            <v>3.3307185295494279</v>
          </cell>
          <cell r="M43">
            <v>3.17</v>
          </cell>
        </row>
        <row r="44">
          <cell r="B44" t="str">
            <v>BRN-M20</v>
          </cell>
          <cell r="C44" t="str">
            <v>ICE_EU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6月期貨</v>
          </cell>
          <cell r="L44">
            <v>0</v>
          </cell>
        </row>
        <row r="45">
          <cell r="B45" t="str">
            <v>BRN-N20</v>
          </cell>
          <cell r="C45" t="str">
            <v>ICE_EU</v>
          </cell>
          <cell r="D45">
            <v>35.01</v>
          </cell>
          <cell r="E45">
            <v>35.01</v>
          </cell>
          <cell r="F45">
            <v>35.020000000000003</v>
          </cell>
          <cell r="G45">
            <v>35.29</v>
          </cell>
          <cell r="H45">
            <v>0</v>
          </cell>
          <cell r="I45">
            <v>6</v>
          </cell>
          <cell r="J45" t="str">
            <v>20200529_150004922</v>
          </cell>
          <cell r="K45" t="str">
            <v>7月期貨</v>
          </cell>
          <cell r="L45">
            <v>35.020000000000003</v>
          </cell>
        </row>
        <row r="46">
          <cell r="B46" t="str">
            <v>BRN-Q20</v>
          </cell>
          <cell r="C46" t="str">
            <v>ICE_EU</v>
          </cell>
          <cell r="D46">
            <v>40.229999999999997</v>
          </cell>
          <cell r="E46">
            <v>40.21</v>
          </cell>
          <cell r="F46">
            <v>40.229999999999997</v>
          </cell>
          <cell r="G46">
            <v>39.99</v>
          </cell>
          <cell r="H46">
            <v>6</v>
          </cell>
          <cell r="I46">
            <v>1</v>
          </cell>
          <cell r="J46" t="str">
            <v>20200605_135253530</v>
          </cell>
          <cell r="K46" t="str">
            <v>8月期貨</v>
          </cell>
          <cell r="L46">
            <v>40.22</v>
          </cell>
        </row>
        <row r="47">
          <cell r="B47" t="str">
            <v>BRN-U20</v>
          </cell>
          <cell r="C47" t="str">
            <v>ICE_EU</v>
          </cell>
          <cell r="D47">
            <v>40.36</v>
          </cell>
          <cell r="E47">
            <v>40.36</v>
          </cell>
          <cell r="F47">
            <v>40.380000000000003</v>
          </cell>
          <cell r="G47">
            <v>40.17</v>
          </cell>
          <cell r="H47">
            <v>4</v>
          </cell>
          <cell r="I47">
            <v>1</v>
          </cell>
          <cell r="J47" t="str">
            <v>20200605_135252797</v>
          </cell>
          <cell r="K47" t="str">
            <v>9月期貨</v>
          </cell>
          <cell r="L47">
            <v>40.369999999999997</v>
          </cell>
        </row>
        <row r="48">
          <cell r="B48" t="str">
            <v>BRN-V20</v>
          </cell>
          <cell r="C48" t="str">
            <v>ICE_EU</v>
          </cell>
          <cell r="D48">
            <v>40.659999999999997</v>
          </cell>
          <cell r="E48">
            <v>40.64</v>
          </cell>
          <cell r="F48">
            <v>40.67</v>
          </cell>
          <cell r="G48">
            <v>40.49</v>
          </cell>
          <cell r="H48">
            <v>10</v>
          </cell>
          <cell r="I48">
            <v>5</v>
          </cell>
          <cell r="J48" t="str">
            <v>20200605_135253530</v>
          </cell>
          <cell r="K48" t="str">
            <v>10月期貨</v>
          </cell>
          <cell r="L48">
            <v>40.659999999999997</v>
          </cell>
        </row>
        <row r="49">
          <cell r="B49" t="str">
            <v>BRN-X20</v>
          </cell>
          <cell r="C49" t="str">
            <v>ICE_EU</v>
          </cell>
          <cell r="D49">
            <v>40.98</v>
          </cell>
          <cell r="E49">
            <v>40.97</v>
          </cell>
          <cell r="F49">
            <v>41</v>
          </cell>
          <cell r="G49">
            <v>40.85</v>
          </cell>
          <cell r="H49">
            <v>5</v>
          </cell>
          <cell r="I49">
            <v>11</v>
          </cell>
          <cell r="J49" t="str">
            <v>20200605_135253530</v>
          </cell>
          <cell r="K49" t="str">
            <v>11月期貨</v>
          </cell>
          <cell r="L49">
            <v>40.99</v>
          </cell>
        </row>
        <row r="50">
          <cell r="B50" t="str">
            <v>BRN-Z20</v>
          </cell>
          <cell r="C50" t="str">
            <v>ICE_EU</v>
          </cell>
          <cell r="D50">
            <v>41.34</v>
          </cell>
          <cell r="E50">
            <v>41.32</v>
          </cell>
          <cell r="F50">
            <v>41.34</v>
          </cell>
          <cell r="G50">
            <v>41.22</v>
          </cell>
          <cell r="H50">
            <v>4</v>
          </cell>
          <cell r="I50">
            <v>7</v>
          </cell>
          <cell r="J50" t="str">
            <v>20200605_135253530</v>
          </cell>
          <cell r="K50" t="str">
            <v>12月期貨</v>
          </cell>
          <cell r="L50">
            <v>41.33</v>
          </cell>
        </row>
        <row r="51">
          <cell r="L51" t="str">
            <v/>
          </cell>
        </row>
        <row r="52">
          <cell r="B52" t="str">
            <v>00642U</v>
          </cell>
          <cell r="C52" t="str">
            <v>V_INDEX</v>
          </cell>
          <cell r="D52">
            <v>7.3349038838159073</v>
          </cell>
          <cell r="E52">
            <v>7.3330062575706227</v>
          </cell>
          <cell r="F52">
            <v>7.3349038838159073</v>
          </cell>
          <cell r="G52">
            <v>7.345891999841891</v>
          </cell>
          <cell r="H52">
            <v>0</v>
          </cell>
          <cell r="I52">
            <v>0</v>
          </cell>
          <cell r="J52" t="str">
            <v>20200605_135253405</v>
          </cell>
          <cell r="K52" t="str">
            <v>淨值</v>
          </cell>
          <cell r="L52">
            <v>7.3349038838159073</v>
          </cell>
          <cell r="M52">
            <v>7.19</v>
          </cell>
        </row>
        <row r="53">
          <cell r="B53" t="str">
            <v>00672L</v>
          </cell>
          <cell r="C53" t="str">
            <v>V_INDEX</v>
          </cell>
          <cell r="D53">
            <v>0.79898377375741592</v>
          </cell>
          <cell r="E53">
            <v>0.79862292963136305</v>
          </cell>
          <cell r="F53">
            <v>0.79898377375741592</v>
          </cell>
          <cell r="G53">
            <v>0.79955199994399562</v>
          </cell>
          <cell r="H53">
            <v>0</v>
          </cell>
          <cell r="I53">
            <v>0</v>
          </cell>
          <cell r="J53" t="str">
            <v>20200605_135253405</v>
          </cell>
          <cell r="K53" t="str">
            <v>淨值</v>
          </cell>
          <cell r="L53">
            <v>0.79898377375741592</v>
          </cell>
          <cell r="M53">
            <v>0.77</v>
          </cell>
        </row>
        <row r="54">
          <cell r="B54" t="str">
            <v>00673R</v>
          </cell>
          <cell r="C54" t="str">
            <v>V_INDEX</v>
          </cell>
          <cell r="D54">
            <v>33.281436929185837</v>
          </cell>
          <cell r="E54">
            <v>33.281436929185837</v>
          </cell>
          <cell r="F54">
            <v>33.290264518113268</v>
          </cell>
          <cell r="G54">
            <v>33.417109977555597</v>
          </cell>
          <cell r="H54">
            <v>0</v>
          </cell>
          <cell r="I54">
            <v>0</v>
          </cell>
          <cell r="J54" t="str">
            <v>20200605_135253405</v>
          </cell>
          <cell r="K54" t="str">
            <v>淨值</v>
          </cell>
          <cell r="L54">
            <v>33.281436929185837</v>
          </cell>
          <cell r="M54">
            <v>34.1</v>
          </cell>
        </row>
        <row r="55">
          <cell r="B55" t="str">
            <v>CL-K20</v>
          </cell>
          <cell r="C55" t="str">
            <v>NYMEX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5月期貨</v>
          </cell>
          <cell r="L55">
            <v>0</v>
          </cell>
        </row>
        <row r="56">
          <cell r="B56" t="str">
            <v>CL-M20</v>
          </cell>
          <cell r="C56" t="str">
            <v>NYMEX</v>
          </cell>
          <cell r="D56">
            <v>32.36</v>
          </cell>
          <cell r="E56">
            <v>0</v>
          </cell>
          <cell r="F56">
            <v>0</v>
          </cell>
          <cell r="G56">
            <v>31.82</v>
          </cell>
          <cell r="H56">
            <v>0</v>
          </cell>
          <cell r="I56">
            <v>0</v>
          </cell>
          <cell r="J56" t="str">
            <v>20200520_050000641</v>
          </cell>
          <cell r="K56" t="str">
            <v>6月期貨</v>
          </cell>
          <cell r="L56">
            <v>0</v>
          </cell>
        </row>
        <row r="57">
          <cell r="B57" t="str">
            <v>CL-N20</v>
          </cell>
          <cell r="C57" t="str">
            <v>NYMEX</v>
          </cell>
          <cell r="D57">
            <v>37.5</v>
          </cell>
          <cell r="E57">
            <v>37.49</v>
          </cell>
          <cell r="F57">
            <v>37.5</v>
          </cell>
          <cell r="G57">
            <v>37.409999999999997</v>
          </cell>
          <cell r="H57">
            <v>4</v>
          </cell>
          <cell r="I57">
            <v>5</v>
          </cell>
          <cell r="J57" t="str">
            <v>20200605_135253720</v>
          </cell>
          <cell r="K57" t="str">
            <v>7月期貨</v>
          </cell>
          <cell r="L57">
            <v>37.5</v>
          </cell>
        </row>
        <row r="58">
          <cell r="B58" t="str">
            <v>CL-Q20</v>
          </cell>
          <cell r="C58" t="str">
            <v>NYMEX</v>
          </cell>
          <cell r="D58">
            <v>37.81</v>
          </cell>
          <cell r="E58">
            <v>37.79</v>
          </cell>
          <cell r="F58">
            <v>37.81</v>
          </cell>
          <cell r="G58">
            <v>37.72</v>
          </cell>
          <cell r="H58">
            <v>10</v>
          </cell>
          <cell r="I58">
            <v>10</v>
          </cell>
          <cell r="J58" t="str">
            <v>20200605_135253390</v>
          </cell>
          <cell r="K58" t="str">
            <v>8月期貨</v>
          </cell>
          <cell r="L58">
            <v>37.799999999999997</v>
          </cell>
        </row>
        <row r="59">
          <cell r="B59" t="str">
            <v>CL-U20</v>
          </cell>
          <cell r="C59" t="str">
            <v>NYMEX</v>
          </cell>
          <cell r="D59">
            <v>38.08</v>
          </cell>
          <cell r="E59">
            <v>38.08</v>
          </cell>
          <cell r="F59">
            <v>38.1</v>
          </cell>
          <cell r="G59">
            <v>38</v>
          </cell>
          <cell r="H59">
            <v>10</v>
          </cell>
          <cell r="I59">
            <v>42</v>
          </cell>
          <cell r="J59" t="str">
            <v>20200605_135253631</v>
          </cell>
          <cell r="K59" t="str">
            <v>9月期貨</v>
          </cell>
          <cell r="L59">
            <v>38.090000000000003</v>
          </cell>
        </row>
        <row r="60">
          <cell r="B60" t="str">
            <v>CL-V20</v>
          </cell>
          <cell r="C60" t="str">
            <v>NYMEX</v>
          </cell>
          <cell r="D60">
            <v>38.299999999999997</v>
          </cell>
          <cell r="E60">
            <v>38.28</v>
          </cell>
          <cell r="F60">
            <v>38.299999999999997</v>
          </cell>
          <cell r="G60">
            <v>38.21</v>
          </cell>
          <cell r="H60">
            <v>13</v>
          </cell>
          <cell r="I60">
            <v>34</v>
          </cell>
          <cell r="J60" t="str">
            <v>20200605_135253401</v>
          </cell>
          <cell r="K60" t="str">
            <v>10月期貨</v>
          </cell>
          <cell r="L60">
            <v>38.29</v>
          </cell>
        </row>
        <row r="61">
          <cell r="B61" t="str">
            <v>CL-X20</v>
          </cell>
          <cell r="C61" t="str">
            <v>NYMEX</v>
          </cell>
          <cell r="D61">
            <v>38.46</v>
          </cell>
          <cell r="E61">
            <v>38.5</v>
          </cell>
          <cell r="F61">
            <v>38.520000000000003</v>
          </cell>
          <cell r="G61">
            <v>38.44</v>
          </cell>
          <cell r="H61">
            <v>6</v>
          </cell>
          <cell r="I61">
            <v>6</v>
          </cell>
          <cell r="J61" t="str">
            <v>20200605_135252797</v>
          </cell>
          <cell r="K61" t="str">
            <v>11月期貨</v>
          </cell>
          <cell r="L61">
            <v>38.51</v>
          </cell>
        </row>
        <row r="62">
          <cell r="B62" t="str">
            <v>CL-Z20</v>
          </cell>
          <cell r="C62" t="str">
            <v>NYMEX</v>
          </cell>
          <cell r="D62">
            <v>38.74</v>
          </cell>
          <cell r="E62">
            <v>38.729999999999997</v>
          </cell>
          <cell r="F62">
            <v>38.74</v>
          </cell>
          <cell r="G62">
            <v>38.68</v>
          </cell>
          <cell r="H62">
            <v>4</v>
          </cell>
          <cell r="I62">
            <v>2</v>
          </cell>
          <cell r="J62" t="str">
            <v>20200605_135253390</v>
          </cell>
          <cell r="K62" t="str">
            <v>12月期貨</v>
          </cell>
          <cell r="L62">
            <v>38.74</v>
          </cell>
        </row>
        <row r="63">
          <cell r="L63" t="str">
            <v/>
          </cell>
        </row>
        <row r="64">
          <cell r="B64" t="str">
            <v>00693U</v>
          </cell>
          <cell r="C64" t="str">
            <v>V_INDEX</v>
          </cell>
          <cell r="D64">
            <v>13.882463178009703</v>
          </cell>
          <cell r="E64">
            <v>13.882463178009703</v>
          </cell>
          <cell r="F64">
            <v>13.886434565966887</v>
          </cell>
          <cell r="G64">
            <v>13.834806522523486</v>
          </cell>
          <cell r="H64">
            <v>0</v>
          </cell>
          <cell r="I64">
            <v>0</v>
          </cell>
          <cell r="J64" t="str">
            <v>20200605_135227119</v>
          </cell>
          <cell r="K64" t="str">
            <v>淨值</v>
          </cell>
          <cell r="L64">
            <v>13.882463178009703</v>
          </cell>
          <cell r="M64">
            <v>13.66</v>
          </cell>
        </row>
        <row r="65">
          <cell r="B65" t="str">
            <v>ZS-Q20</v>
          </cell>
          <cell r="C65" t="str">
            <v>CBOT</v>
          </cell>
          <cell r="D65">
            <v>872</v>
          </cell>
          <cell r="E65">
            <v>871.5</v>
          </cell>
          <cell r="F65">
            <v>872</v>
          </cell>
          <cell r="G65">
            <v>868.75</v>
          </cell>
          <cell r="H65">
            <v>60</v>
          </cell>
          <cell r="I65">
            <v>83</v>
          </cell>
          <cell r="J65" t="str">
            <v>20200605_135252890</v>
          </cell>
          <cell r="K65" t="str">
            <v>8月期貨</v>
          </cell>
          <cell r="L65">
            <v>871.75</v>
          </cell>
        </row>
        <row r="66">
          <cell r="B66" t="str">
            <v>ZS-N20</v>
          </cell>
          <cell r="C66" t="str">
            <v>CBOT</v>
          </cell>
          <cell r="D66">
            <v>870.75</v>
          </cell>
          <cell r="E66">
            <v>870.75</v>
          </cell>
          <cell r="F66">
            <v>871</v>
          </cell>
          <cell r="G66">
            <v>867.75</v>
          </cell>
          <cell r="H66">
            <v>11</v>
          </cell>
          <cell r="I66">
            <v>53</v>
          </cell>
          <cell r="J66" t="str">
            <v>20200605_135252828</v>
          </cell>
          <cell r="K66" t="str">
            <v>7月期貨</v>
          </cell>
          <cell r="L66">
            <v>870.88</v>
          </cell>
        </row>
        <row r="67">
          <cell r="B67" t="str">
            <v>ZS-U20</v>
          </cell>
          <cell r="C67" t="str">
            <v>CBOT</v>
          </cell>
          <cell r="D67">
            <v>873.25</v>
          </cell>
          <cell r="E67">
            <v>873</v>
          </cell>
          <cell r="F67">
            <v>873.25</v>
          </cell>
          <cell r="G67">
            <v>870.25</v>
          </cell>
          <cell r="H67">
            <v>43</v>
          </cell>
          <cell r="I67">
            <v>15</v>
          </cell>
          <cell r="J67" t="str">
            <v>20200605_135252890</v>
          </cell>
          <cell r="K67" t="str">
            <v>9月期貨</v>
          </cell>
          <cell r="L67">
            <v>873.13</v>
          </cell>
        </row>
        <row r="68">
          <cell r="B68" t="str">
            <v>ZS-X20</v>
          </cell>
          <cell r="C68" t="str">
            <v>CBOT</v>
          </cell>
          <cell r="D68">
            <v>879.5</v>
          </cell>
          <cell r="E68">
            <v>879.25</v>
          </cell>
          <cell r="F68">
            <v>879.5</v>
          </cell>
          <cell r="G68">
            <v>876.75</v>
          </cell>
          <cell r="H68">
            <v>36</v>
          </cell>
          <cell r="I68">
            <v>25</v>
          </cell>
          <cell r="J68" t="str">
            <v>20200605_135252890</v>
          </cell>
          <cell r="K68" t="str">
            <v>3月期貨</v>
          </cell>
          <cell r="L68">
            <v>879.38</v>
          </cell>
        </row>
        <row r="69">
          <cell r="L69" t="str">
            <v/>
          </cell>
        </row>
        <row r="70">
          <cell r="B70" t="str">
            <v>00852L</v>
          </cell>
          <cell r="C70" t="str">
            <v>V_INDEX</v>
          </cell>
          <cell r="D70">
            <v>13.087537415042171</v>
          </cell>
          <cell r="E70">
            <v>13.086559841668707</v>
          </cell>
          <cell r="F70">
            <v>13.088514988415637</v>
          </cell>
          <cell r="G70">
            <v>12.852919805410703</v>
          </cell>
          <cell r="H70">
            <v>0</v>
          </cell>
          <cell r="I70">
            <v>0</v>
          </cell>
          <cell r="J70" t="str">
            <v>20200605_135253405</v>
          </cell>
          <cell r="K70" t="str">
            <v>淨值</v>
          </cell>
          <cell r="L70">
            <v>13.087537415042171</v>
          </cell>
          <cell r="M70">
            <v>12.82</v>
          </cell>
        </row>
        <row r="71">
          <cell r="B71" t="str">
            <v>00668</v>
          </cell>
          <cell r="C71" t="str">
            <v>V_INDEX</v>
          </cell>
          <cell r="D71">
            <v>28.45</v>
          </cell>
          <cell r="E71">
            <v>-7.9228162514264338E+28</v>
          </cell>
          <cell r="F71">
            <v>-7.9228162514264338E+28</v>
          </cell>
          <cell r="G71">
            <v>28.51</v>
          </cell>
          <cell r="H71">
            <v>-2147483648</v>
          </cell>
          <cell r="I71">
            <v>-2147483648</v>
          </cell>
          <cell r="J71" t="str">
            <v>20200605_132928000</v>
          </cell>
          <cell r="K71" t="str">
            <v>淨值</v>
          </cell>
          <cell r="L71">
            <v>28.45</v>
          </cell>
          <cell r="M71">
            <v>28.5</v>
          </cell>
        </row>
        <row r="72">
          <cell r="B72" t="str">
            <v>00669R</v>
          </cell>
          <cell r="C72" t="str">
            <v>V_INDEX</v>
          </cell>
          <cell r="D72">
            <v>11.244566355552044</v>
          </cell>
          <cell r="E72">
            <v>11.244130612171773</v>
          </cell>
          <cell r="F72">
            <v>11.245002098932311</v>
          </cell>
          <cell r="G72">
            <v>11.35663203262048</v>
          </cell>
          <cell r="H72">
            <v>0</v>
          </cell>
          <cell r="I72">
            <v>0</v>
          </cell>
          <cell r="J72" t="str">
            <v>20200605_135253405</v>
          </cell>
          <cell r="K72" t="str">
            <v>淨值</v>
          </cell>
          <cell r="L72">
            <v>11.244566355552044</v>
          </cell>
          <cell r="M72">
            <v>11.37</v>
          </cell>
        </row>
        <row r="73">
          <cell r="B73" t="str">
            <v>YM-H21</v>
          </cell>
          <cell r="C73" t="str">
            <v>CBOT</v>
          </cell>
          <cell r="D73">
            <v>-7.9228162514264338E+28</v>
          </cell>
          <cell r="E73">
            <v>0</v>
          </cell>
          <cell r="F73">
            <v>0</v>
          </cell>
          <cell r="G73">
            <v>26056</v>
          </cell>
          <cell r="H73">
            <v>0</v>
          </cell>
          <cell r="I73">
            <v>0</v>
          </cell>
          <cell r="J73" t="str">
            <v>20200605_072004125</v>
          </cell>
          <cell r="K73" t="str">
            <v>3月期貨</v>
          </cell>
          <cell r="L73">
            <v>0</v>
          </cell>
        </row>
        <row r="74">
          <cell r="B74" t="str">
            <v>YM-M20</v>
          </cell>
          <cell r="C74" t="str">
            <v>CBOT</v>
          </cell>
          <cell r="D74">
            <v>26493</v>
          </cell>
          <cell r="E74">
            <v>26492</v>
          </cell>
          <cell r="F74">
            <v>26494</v>
          </cell>
          <cell r="G74">
            <v>26253</v>
          </cell>
          <cell r="H74">
            <v>1</v>
          </cell>
          <cell r="I74">
            <v>1</v>
          </cell>
          <cell r="J74" t="str">
            <v>20200605_135253169</v>
          </cell>
          <cell r="K74" t="str">
            <v>6月期貨</v>
          </cell>
          <cell r="L74">
            <v>26493</v>
          </cell>
        </row>
        <row r="75">
          <cell r="B75" t="str">
            <v>YM-U20</v>
          </cell>
          <cell r="C75" t="str">
            <v>CBOT</v>
          </cell>
          <cell r="D75">
            <v>26354</v>
          </cell>
          <cell r="E75">
            <v>26357</v>
          </cell>
          <cell r="F75">
            <v>26373</v>
          </cell>
          <cell r="G75">
            <v>26124</v>
          </cell>
          <cell r="H75">
            <v>1</v>
          </cell>
          <cell r="I75">
            <v>1</v>
          </cell>
          <cell r="J75" t="str">
            <v>20200605_135253169</v>
          </cell>
          <cell r="K75" t="str">
            <v>9月期貨</v>
          </cell>
          <cell r="L75">
            <v>26365</v>
          </cell>
        </row>
        <row r="76">
          <cell r="B76" t="str">
            <v>YM-Z20</v>
          </cell>
          <cell r="C76" t="str">
            <v>CBOT</v>
          </cell>
          <cell r="D76">
            <v>26160</v>
          </cell>
          <cell r="E76">
            <v>26231</v>
          </cell>
          <cell r="F76">
            <v>26308</v>
          </cell>
          <cell r="G76">
            <v>26061</v>
          </cell>
          <cell r="H76">
            <v>5</v>
          </cell>
          <cell r="I76">
            <v>3</v>
          </cell>
          <cell r="J76" t="str">
            <v>20200605_135252963</v>
          </cell>
          <cell r="K76" t="str">
            <v>12月期貨</v>
          </cell>
          <cell r="L76">
            <v>26269.5</v>
          </cell>
        </row>
        <row r="77">
          <cell r="L77" t="str">
            <v/>
          </cell>
        </row>
        <row r="78">
          <cell r="B78" t="str">
            <v>00861</v>
          </cell>
          <cell r="C78" t="str">
            <v>V_INDEX</v>
          </cell>
          <cell r="D78">
            <v>21.47</v>
          </cell>
          <cell r="E78">
            <v>-7.9228162514264338E+28</v>
          </cell>
          <cell r="F78">
            <v>-7.9228162514264338E+28</v>
          </cell>
          <cell r="G78">
            <v>21.44</v>
          </cell>
          <cell r="H78">
            <v>-2147483648</v>
          </cell>
          <cell r="I78">
            <v>-2147483648</v>
          </cell>
          <cell r="J78" t="str">
            <v>20200605_132945000</v>
          </cell>
          <cell r="K78" t="str">
            <v>淨值</v>
          </cell>
          <cell r="L78">
            <v>21.47</v>
          </cell>
          <cell r="M78">
            <v>21.58</v>
          </cell>
        </row>
        <row r="79">
          <cell r="B79" t="str">
            <v>00875</v>
          </cell>
          <cell r="C79" t="str">
            <v>V_INDEX</v>
          </cell>
          <cell r="D79">
            <v>24.85</v>
          </cell>
          <cell r="E79">
            <v>-7.9228162514264338E+28</v>
          </cell>
          <cell r="F79">
            <v>-7.9228162514264338E+28</v>
          </cell>
          <cell r="G79">
            <v>24.87</v>
          </cell>
          <cell r="H79">
            <v>-2147483648</v>
          </cell>
          <cell r="I79">
            <v>-2147483648</v>
          </cell>
          <cell r="J79" t="str">
            <v>20200605_132928000</v>
          </cell>
          <cell r="K79" t="str">
            <v>淨值</v>
          </cell>
          <cell r="L79">
            <v>24.85</v>
          </cell>
          <cell r="M79">
            <v>25.25</v>
          </cell>
        </row>
        <row r="80">
          <cell r="B80" t="str">
            <v>00670L</v>
          </cell>
          <cell r="C80" t="str">
            <v>V_INDEX</v>
          </cell>
          <cell r="D80">
            <v>48.427787478252853</v>
          </cell>
          <cell r="E80">
            <v>48.422788846774566</v>
          </cell>
          <cell r="F80">
            <v>48.435285425470298</v>
          </cell>
          <cell r="G80">
            <v>47.91032981449608</v>
          </cell>
          <cell r="H80">
            <v>0</v>
          </cell>
          <cell r="I80">
            <v>0</v>
          </cell>
          <cell r="J80" t="str">
            <v>20200605_135253514</v>
          </cell>
          <cell r="K80" t="str">
            <v>淨值</v>
          </cell>
          <cell r="L80">
            <v>48.427787478252853</v>
          </cell>
          <cell r="M80">
            <v>48.32</v>
          </cell>
        </row>
        <row r="81">
          <cell r="B81" t="str">
            <v>00671R</v>
          </cell>
          <cell r="C81" t="str">
            <v>V_INDEX</v>
          </cell>
          <cell r="D81">
            <v>9.0093377545305842</v>
          </cell>
          <cell r="E81">
            <v>9.0086361968689523</v>
          </cell>
          <cell r="F81">
            <v>9.0098054596383381</v>
          </cell>
          <cell r="G81">
            <v>9.0646618028838635</v>
          </cell>
          <cell r="H81">
            <v>0</v>
          </cell>
          <cell r="I81">
            <v>0</v>
          </cell>
          <cell r="J81" t="str">
            <v>20200605_135253514</v>
          </cell>
          <cell r="K81" t="str">
            <v>淨值</v>
          </cell>
          <cell r="L81">
            <v>9.0093377545305842</v>
          </cell>
          <cell r="M81">
            <v>9.02</v>
          </cell>
        </row>
        <row r="82">
          <cell r="B82" t="str">
            <v>NQ-H21</v>
          </cell>
          <cell r="C82" t="str">
            <v>CME</v>
          </cell>
          <cell r="D82">
            <v>9585</v>
          </cell>
          <cell r="E82">
            <v>9602.5</v>
          </cell>
          <cell r="F82">
            <v>9685.25</v>
          </cell>
          <cell r="G82">
            <v>9604.5</v>
          </cell>
          <cell r="H82">
            <v>3</v>
          </cell>
          <cell r="I82">
            <v>3</v>
          </cell>
          <cell r="J82" t="str">
            <v>20200605_135253249</v>
          </cell>
          <cell r="K82" t="str">
            <v>3月期貨</v>
          </cell>
          <cell r="L82">
            <v>9643.8799999999992</v>
          </cell>
        </row>
        <row r="83">
          <cell r="B83" t="str">
            <v>NQ-M20</v>
          </cell>
          <cell r="C83" t="str">
            <v>CME</v>
          </cell>
          <cell r="D83">
            <v>9678.5</v>
          </cell>
          <cell r="E83">
            <v>9678</v>
          </cell>
          <cell r="F83">
            <v>9679.25</v>
          </cell>
          <cell r="G83">
            <v>9626.25</v>
          </cell>
          <cell r="H83">
            <v>3</v>
          </cell>
          <cell r="I83">
            <v>3</v>
          </cell>
          <cell r="J83" t="str">
            <v>20200605_135253514</v>
          </cell>
          <cell r="K83" t="str">
            <v>6月期貨</v>
          </cell>
          <cell r="L83">
            <v>9678.6299999999992</v>
          </cell>
        </row>
        <row r="84">
          <cell r="B84" t="str">
            <v>NQ-U20</v>
          </cell>
          <cell r="C84" t="str">
            <v>CME</v>
          </cell>
          <cell r="D84">
            <v>9655</v>
          </cell>
          <cell r="E84">
            <v>9658.75</v>
          </cell>
          <cell r="F84">
            <v>9663.75</v>
          </cell>
          <cell r="G84">
            <v>9608.25</v>
          </cell>
          <cell r="H84">
            <v>1</v>
          </cell>
          <cell r="I84">
            <v>2</v>
          </cell>
          <cell r="J84" t="str">
            <v>20200605_135253514</v>
          </cell>
          <cell r="K84" t="str">
            <v>9月期貨</v>
          </cell>
          <cell r="L84">
            <v>9661.25</v>
          </cell>
        </row>
        <row r="85">
          <cell r="B85" t="str">
            <v>NQ-Z20</v>
          </cell>
          <cell r="C85" t="str">
            <v>CME</v>
          </cell>
          <cell r="D85">
            <v>9635.25</v>
          </cell>
          <cell r="E85">
            <v>9639.25</v>
          </cell>
          <cell r="F85">
            <v>9675.25</v>
          </cell>
          <cell r="G85">
            <v>9611.75</v>
          </cell>
          <cell r="H85">
            <v>5</v>
          </cell>
          <cell r="I85">
            <v>8</v>
          </cell>
          <cell r="J85" t="str">
            <v>20200605_135253514</v>
          </cell>
          <cell r="K85" t="str">
            <v>12月期貨</v>
          </cell>
          <cell r="L85">
            <v>9657.25</v>
          </cell>
        </row>
        <row r="86">
          <cell r="L86" t="str">
            <v/>
          </cell>
        </row>
        <row r="87">
          <cell r="B87" t="str">
            <v>00647L</v>
          </cell>
          <cell r="C87" t="str">
            <v>V_INDEX</v>
          </cell>
          <cell r="D87">
            <v>36.421924498257688</v>
          </cell>
          <cell r="E87">
            <v>36.416123909398564</v>
          </cell>
          <cell r="F87">
            <v>36.427725087116805</v>
          </cell>
          <cell r="G87">
            <v>35.950252009377088</v>
          </cell>
          <cell r="H87">
            <v>0</v>
          </cell>
          <cell r="I87">
            <v>0</v>
          </cell>
          <cell r="J87" t="str">
            <v>20200605_135253405</v>
          </cell>
          <cell r="K87" t="str">
            <v>淨值</v>
          </cell>
          <cell r="L87">
            <v>36.421924498257688</v>
          </cell>
          <cell r="M87">
            <v>35.96</v>
          </cell>
        </row>
        <row r="88">
          <cell r="B88" t="str">
            <v>00648R</v>
          </cell>
          <cell r="C88" t="str">
            <v>V_INDEX</v>
          </cell>
          <cell r="D88">
            <v>10.459453932814148</v>
          </cell>
          <cell r="E88">
            <v>10.458610406711221</v>
          </cell>
          <cell r="F88">
            <v>10.460297458917072</v>
          </cell>
          <cell r="G88">
            <v>10.547276000603162</v>
          </cell>
          <cell r="H88">
            <v>0</v>
          </cell>
          <cell r="I88">
            <v>0</v>
          </cell>
          <cell r="J88" t="str">
            <v>20200605_135253405</v>
          </cell>
          <cell r="K88" t="str">
            <v>淨值</v>
          </cell>
          <cell r="L88">
            <v>10.459453932814148</v>
          </cell>
          <cell r="M88">
            <v>10.54</v>
          </cell>
        </row>
        <row r="89">
          <cell r="B89" t="str">
            <v>ES-H21</v>
          </cell>
          <cell r="C89" t="str">
            <v>CME</v>
          </cell>
          <cell r="D89">
            <v>3088</v>
          </cell>
          <cell r="E89">
            <v>3087.5</v>
          </cell>
          <cell r="F89">
            <v>3116.5</v>
          </cell>
          <cell r="G89">
            <v>3085.5</v>
          </cell>
          <cell r="H89">
            <v>1</v>
          </cell>
          <cell r="I89">
            <v>1</v>
          </cell>
          <cell r="J89" t="str">
            <v>20200605_135231618</v>
          </cell>
          <cell r="K89" t="str">
            <v>3月期貨</v>
          </cell>
          <cell r="L89">
            <v>3102</v>
          </cell>
        </row>
        <row r="90">
          <cell r="B90" t="str">
            <v>ES-M20</v>
          </cell>
          <cell r="C90" t="str">
            <v>CME</v>
          </cell>
          <cell r="D90">
            <v>3134.5</v>
          </cell>
          <cell r="E90">
            <v>3134.25</v>
          </cell>
          <cell r="F90">
            <v>3134.75</v>
          </cell>
          <cell r="G90">
            <v>3110.5</v>
          </cell>
          <cell r="H90">
            <v>39</v>
          </cell>
          <cell r="I90">
            <v>19</v>
          </cell>
          <cell r="J90" t="str">
            <v>20200605_135253382</v>
          </cell>
          <cell r="K90" t="str">
            <v>6月期貨</v>
          </cell>
          <cell r="L90">
            <v>3134.5</v>
          </cell>
        </row>
        <row r="91">
          <cell r="B91" t="str">
            <v>ES-U20</v>
          </cell>
          <cell r="C91" t="str">
            <v>CME</v>
          </cell>
          <cell r="D91">
            <v>3124</v>
          </cell>
          <cell r="E91">
            <v>3123.75</v>
          </cell>
          <cell r="F91">
            <v>3124</v>
          </cell>
          <cell r="G91">
            <v>3099.75</v>
          </cell>
          <cell r="H91">
            <v>4</v>
          </cell>
          <cell r="I91">
            <v>2</v>
          </cell>
          <cell r="J91" t="str">
            <v>20200605_135253279</v>
          </cell>
          <cell r="K91" t="str">
            <v>9月期貨</v>
          </cell>
          <cell r="L91">
            <v>3123.88</v>
          </cell>
        </row>
        <row r="92">
          <cell r="B92" t="str">
            <v>ES-Z20</v>
          </cell>
          <cell r="C92" t="str">
            <v>CME</v>
          </cell>
          <cell r="D92">
            <v>3113.75</v>
          </cell>
          <cell r="E92">
            <v>3113.5</v>
          </cell>
          <cell r="F92">
            <v>3117</v>
          </cell>
          <cell r="G92">
            <v>3091.5</v>
          </cell>
          <cell r="H92">
            <v>1</v>
          </cell>
          <cell r="I92">
            <v>1</v>
          </cell>
          <cell r="J92" t="str">
            <v>20200605_135253273</v>
          </cell>
          <cell r="K92" t="str">
            <v>12月期貨</v>
          </cell>
          <cell r="L92">
            <v>3115.25</v>
          </cell>
        </row>
        <row r="93">
          <cell r="B93"/>
          <cell r="C93"/>
          <cell r="D93"/>
          <cell r="E93"/>
          <cell r="F93"/>
          <cell r="G93"/>
          <cell r="H93"/>
          <cell r="I93"/>
          <cell r="J93"/>
        </row>
        <row r="94">
          <cell r="B94" t="str">
            <v>MME-H21</v>
          </cell>
          <cell r="C94" t="str">
            <v>NYBOT</v>
          </cell>
          <cell r="D94">
            <v>0</v>
          </cell>
          <cell r="E94">
            <v>0</v>
          </cell>
          <cell r="F94">
            <v>0</v>
          </cell>
          <cell r="G94">
            <v>979.1</v>
          </cell>
          <cell r="H94">
            <v>0</v>
          </cell>
          <cell r="I94">
            <v>0</v>
          </cell>
          <cell r="J94" t="str">
            <v>20200605_073531072</v>
          </cell>
          <cell r="K94" t="str">
            <v>3月期貨</v>
          </cell>
          <cell r="L94">
            <v>0</v>
          </cell>
        </row>
        <row r="95">
          <cell r="B95" t="str">
            <v>MME-M20</v>
          </cell>
          <cell r="C95" t="str">
            <v>NYBOT</v>
          </cell>
          <cell r="D95">
            <v>995.8</v>
          </cell>
          <cell r="E95">
            <v>995.5</v>
          </cell>
          <cell r="F95">
            <v>995.8</v>
          </cell>
          <cell r="G95">
            <v>985.5</v>
          </cell>
          <cell r="H95">
            <v>3</v>
          </cell>
          <cell r="I95">
            <v>1</v>
          </cell>
          <cell r="J95" t="str">
            <v>20200605_135253296</v>
          </cell>
          <cell r="K95" t="str">
            <v>6月期貨</v>
          </cell>
          <cell r="L95">
            <v>995.65</v>
          </cell>
        </row>
        <row r="96">
          <cell r="B96" t="str">
            <v>MME-U20</v>
          </cell>
          <cell r="C96" t="str">
            <v>NYBOT</v>
          </cell>
          <cell r="D96">
            <v>976.5</v>
          </cell>
          <cell r="E96">
            <v>986.6</v>
          </cell>
          <cell r="F96">
            <v>988.2</v>
          </cell>
          <cell r="G96">
            <v>977.5</v>
          </cell>
          <cell r="H96">
            <v>1</v>
          </cell>
          <cell r="I96">
            <v>1</v>
          </cell>
          <cell r="J96" t="str">
            <v>20200605_135253530</v>
          </cell>
          <cell r="K96" t="str">
            <v>9月期貨</v>
          </cell>
          <cell r="L96">
            <v>987.4</v>
          </cell>
        </row>
        <row r="97">
          <cell r="B97" t="str">
            <v>MME-Z20</v>
          </cell>
          <cell r="C97" t="str">
            <v>NYBOT</v>
          </cell>
          <cell r="D97">
            <v>0</v>
          </cell>
          <cell r="E97">
            <v>0</v>
          </cell>
          <cell r="F97">
            <v>0</v>
          </cell>
          <cell r="G97">
            <v>978.2</v>
          </cell>
          <cell r="H97">
            <v>0</v>
          </cell>
          <cell r="I97">
            <v>0</v>
          </cell>
          <cell r="J97" t="str">
            <v>20200605_073531072</v>
          </cell>
          <cell r="K97" t="str">
            <v>12月期貨</v>
          </cell>
          <cell r="L97">
            <v>0</v>
          </cell>
        </row>
        <row r="98">
          <cell r="L98" t="str">
            <v/>
          </cell>
        </row>
        <row r="99">
          <cell r="B99" t="str">
            <v>00645</v>
          </cell>
          <cell r="C99" t="str">
            <v>V_INDEX</v>
          </cell>
          <cell r="D99">
            <v>20.82</v>
          </cell>
          <cell r="E99">
            <v>-7.9228162514264338E+28</v>
          </cell>
          <cell r="F99">
            <v>-7.9228162514264338E+28</v>
          </cell>
          <cell r="G99">
            <v>20.77</v>
          </cell>
          <cell r="H99">
            <v>-2147483648</v>
          </cell>
          <cell r="I99">
            <v>-2147483648</v>
          </cell>
          <cell r="J99" t="str">
            <v>20200605_132941000</v>
          </cell>
          <cell r="K99" t="str">
            <v>淨值</v>
          </cell>
          <cell r="L99">
            <v>20.82</v>
          </cell>
          <cell r="M99">
            <v>35.96</v>
          </cell>
        </row>
        <row r="100">
          <cell r="B100" t="str">
            <v>00640L</v>
          </cell>
          <cell r="C100" t="str">
            <v>V_INDEX</v>
          </cell>
          <cell r="D100">
            <v>19.53642294167269</v>
          </cell>
          <cell r="E100">
            <v>19.524761308855478</v>
          </cell>
          <cell r="F100">
            <v>19.537400523950325</v>
          </cell>
          <cell r="G100">
            <v>19.482949929619949</v>
          </cell>
          <cell r="H100">
            <v>0</v>
          </cell>
          <cell r="I100">
            <v>0</v>
          </cell>
          <cell r="J100" t="str">
            <v>20200605_135253202</v>
          </cell>
          <cell r="K100" t="str">
            <v>淨值</v>
          </cell>
          <cell r="L100">
            <v>19.53642294167269</v>
          </cell>
          <cell r="M100">
            <v>35.96</v>
          </cell>
        </row>
        <row r="101">
          <cell r="B101" t="str">
            <v>00641R</v>
          </cell>
          <cell r="C101" t="str">
            <v>V_INDEX</v>
          </cell>
          <cell r="D101">
            <v>13.664538210688162</v>
          </cell>
          <cell r="E101">
            <v>13.664822069670521</v>
          </cell>
          <cell r="F101">
            <v>13.668838868694856</v>
          </cell>
          <cell r="G101">
            <v>13.720875177264732</v>
          </cell>
          <cell r="H101">
            <v>0</v>
          </cell>
          <cell r="I101">
            <v>0</v>
          </cell>
          <cell r="J101" t="str">
            <v>20200605_135253202</v>
          </cell>
          <cell r="K101" t="str">
            <v>淨值</v>
          </cell>
          <cell r="L101">
            <v>13.664538210688162</v>
          </cell>
          <cell r="M101">
            <v>10.54</v>
          </cell>
        </row>
        <row r="102">
          <cell r="B102" t="str">
            <v>00657</v>
          </cell>
          <cell r="C102" t="str">
            <v>V_INDEX</v>
          </cell>
          <cell r="D102">
            <v>28.32</v>
          </cell>
          <cell r="E102">
            <v>-7.9228162514264338E+28</v>
          </cell>
          <cell r="F102">
            <v>-7.9228162514264338E+28</v>
          </cell>
          <cell r="G102">
            <v>28.21</v>
          </cell>
          <cell r="H102">
            <v>-2147483648</v>
          </cell>
          <cell r="I102">
            <v>-2147483648</v>
          </cell>
          <cell r="J102" t="str">
            <v>20200605_132928000</v>
          </cell>
          <cell r="K102" t="str">
            <v>淨值</v>
          </cell>
          <cell r="L102">
            <v>28.32</v>
          </cell>
          <cell r="M102">
            <v>35.96</v>
          </cell>
        </row>
        <row r="103">
          <cell r="B103" t="str">
            <v>00657K</v>
          </cell>
          <cell r="C103" t="str">
            <v>V_INDEX</v>
          </cell>
          <cell r="D103">
            <v>9.5</v>
          </cell>
          <cell r="E103">
            <v>-7.9228162514264338E+28</v>
          </cell>
          <cell r="F103">
            <v>-7.9228162514264338E+28</v>
          </cell>
          <cell r="G103">
            <v>9.44</v>
          </cell>
          <cell r="H103">
            <v>-2147483648</v>
          </cell>
          <cell r="I103">
            <v>-2147483648</v>
          </cell>
          <cell r="J103" t="str">
            <v>20200605_132843000</v>
          </cell>
          <cell r="K103" t="str">
            <v>淨值</v>
          </cell>
          <cell r="L103">
            <v>9.5</v>
          </cell>
          <cell r="M103">
            <v>35.96</v>
          </cell>
        </row>
        <row r="104">
          <cell r="B104" t="str">
            <v>NK-M20</v>
          </cell>
          <cell r="C104" t="str">
            <v>SGX</v>
          </cell>
          <cell r="D104">
            <v>22845</v>
          </cell>
          <cell r="E104">
            <v>22840</v>
          </cell>
          <cell r="F104">
            <v>22845</v>
          </cell>
          <cell r="G104">
            <v>22765</v>
          </cell>
          <cell r="H104">
            <v>44</v>
          </cell>
          <cell r="I104">
            <v>21</v>
          </cell>
          <cell r="J104" t="str">
            <v>20200605_135253765</v>
          </cell>
          <cell r="K104" t="str">
            <v>6月期貨</v>
          </cell>
          <cell r="L104">
            <v>22842.5</v>
          </cell>
        </row>
        <row r="105">
          <cell r="B105" t="str">
            <v>NK-U20</v>
          </cell>
          <cell r="C105" t="str">
            <v>SGX</v>
          </cell>
          <cell r="D105">
            <v>22785</v>
          </cell>
          <cell r="E105">
            <v>22780</v>
          </cell>
          <cell r="F105">
            <v>22790</v>
          </cell>
          <cell r="G105">
            <v>22695</v>
          </cell>
          <cell r="H105">
            <v>19</v>
          </cell>
          <cell r="I105">
            <v>7</v>
          </cell>
          <cell r="J105" t="str">
            <v>20200605_135253350</v>
          </cell>
          <cell r="K105" t="str">
            <v>9月期貨</v>
          </cell>
          <cell r="L105">
            <v>22785</v>
          </cell>
        </row>
        <row r="106">
          <cell r="B106" t="str">
            <v>NK-Z20</v>
          </cell>
          <cell r="C106" t="str">
            <v>SGX</v>
          </cell>
          <cell r="D106">
            <v>-7.9228162514264338E+28</v>
          </cell>
          <cell r="E106">
            <v>22600</v>
          </cell>
          <cell r="F106">
            <v>22665</v>
          </cell>
          <cell r="G106">
            <v>22585</v>
          </cell>
          <cell r="H106">
            <v>5</v>
          </cell>
          <cell r="I106">
            <v>5</v>
          </cell>
          <cell r="J106" t="str">
            <v>20200605_135253174</v>
          </cell>
          <cell r="K106" t="str">
            <v>12月期貨</v>
          </cell>
          <cell r="L106">
            <v>0</v>
          </cell>
        </row>
        <row r="107">
          <cell r="B107" t="str">
            <v>TOPIX-M20</v>
          </cell>
          <cell r="C107" t="str">
            <v>JPX</v>
          </cell>
          <cell r="D107">
            <v>1612</v>
          </cell>
          <cell r="E107">
            <v>1611.5</v>
          </cell>
          <cell r="F107">
            <v>1612</v>
          </cell>
          <cell r="G107">
            <v>1608</v>
          </cell>
          <cell r="H107">
            <v>31</v>
          </cell>
          <cell r="I107">
            <v>70</v>
          </cell>
          <cell r="J107" t="str">
            <v>20200605_135253593</v>
          </cell>
          <cell r="K107" t="str">
            <v>6月期貨</v>
          </cell>
          <cell r="L107">
            <v>1611.75</v>
          </cell>
        </row>
        <row r="108">
          <cell r="B108" t="str">
            <v>TOPIX-U20</v>
          </cell>
          <cell r="C108" t="str">
            <v>JPX</v>
          </cell>
          <cell r="D108">
            <v>1608.5</v>
          </cell>
          <cell r="E108">
            <v>1608.5</v>
          </cell>
          <cell r="F108">
            <v>1609</v>
          </cell>
          <cell r="G108">
            <v>1604</v>
          </cell>
          <cell r="H108">
            <v>2</v>
          </cell>
          <cell r="I108">
            <v>53</v>
          </cell>
          <cell r="J108" t="str">
            <v>20200605_135253393</v>
          </cell>
          <cell r="K108" t="str">
            <v>9月期貨</v>
          </cell>
          <cell r="L108">
            <v>1608.75</v>
          </cell>
          <cell r="M108">
            <v>35.96</v>
          </cell>
        </row>
        <row r="109">
          <cell r="B109" t="str">
            <v>TOPIX-Z20</v>
          </cell>
          <cell r="C109" t="str">
            <v>JPX</v>
          </cell>
          <cell r="D109">
            <v>-7.9228162514264338E+28</v>
          </cell>
          <cell r="E109">
            <v>-7.9228162514264338E+28</v>
          </cell>
          <cell r="F109">
            <v>-7.9228162514264338E+28</v>
          </cell>
          <cell r="G109">
            <v>1591</v>
          </cell>
          <cell r="H109">
            <v>-2147483648</v>
          </cell>
          <cell r="I109">
            <v>-2147483648</v>
          </cell>
          <cell r="J109" t="str">
            <v>20200605_072003542</v>
          </cell>
          <cell r="K109" t="str">
            <v>12月期貨</v>
          </cell>
          <cell r="L109">
            <v>35.96</v>
          </cell>
          <cell r="M109">
            <v>35.96</v>
          </cell>
        </row>
        <row r="110">
          <cell r="B110"/>
          <cell r="L110" t="str">
            <v/>
          </cell>
        </row>
        <row r="111">
          <cell r="B111" t="str">
            <v>00706L</v>
          </cell>
          <cell r="C111" t="str">
            <v>V_INDEX</v>
          </cell>
          <cell r="D111">
            <v>16.84140248978774</v>
          </cell>
          <cell r="E111">
            <v>16.8395540671216</v>
          </cell>
          <cell r="F111">
            <v>16.84140248978774</v>
          </cell>
          <cell r="G111">
            <v>16.90767299578059</v>
          </cell>
          <cell r="H111">
            <v>0</v>
          </cell>
          <cell r="I111">
            <v>0</v>
          </cell>
          <cell r="J111" t="str">
            <v>20200605_135251627</v>
          </cell>
          <cell r="K111" t="str">
            <v>淨值</v>
          </cell>
          <cell r="L111">
            <v>16.84140248978774</v>
          </cell>
        </row>
        <row r="112">
          <cell r="B112" t="str">
            <v>00707R</v>
          </cell>
          <cell r="C112" t="str">
            <v>V_INDEX</v>
          </cell>
          <cell r="D112">
            <v>20.083927924005142</v>
          </cell>
          <cell r="E112">
            <v>20.083927924005142</v>
          </cell>
          <cell r="F112">
            <v>20.085005895168894</v>
          </cell>
          <cell r="G112">
            <v>20.06366694129763</v>
          </cell>
          <cell r="H112">
            <v>0</v>
          </cell>
          <cell r="I112">
            <v>0</v>
          </cell>
          <cell r="J112" t="str">
            <v>20200605_135251627</v>
          </cell>
          <cell r="K112" t="str">
            <v>淨值</v>
          </cell>
          <cell r="L112">
            <v>20.083927924005142</v>
          </cell>
        </row>
        <row r="113">
          <cell r="B113"/>
          <cell r="C113"/>
          <cell r="D113"/>
          <cell r="E113"/>
          <cell r="F113"/>
          <cell r="G113"/>
          <cell r="H113"/>
          <cell r="I113"/>
          <cell r="J113"/>
        </row>
        <row r="114">
          <cell r="B114" t="str">
            <v>00650L</v>
          </cell>
          <cell r="C114" t="str">
            <v>V_INDEX</v>
          </cell>
          <cell r="D114">
            <v>22.473301389713743</v>
          </cell>
          <cell r="E114">
            <v>22.469634635942509</v>
          </cell>
          <cell r="F114">
            <v>22.471468012828126</v>
          </cell>
          <cell r="G114">
            <v>22.231295640812448</v>
          </cell>
          <cell r="H114">
            <v>0</v>
          </cell>
          <cell r="I114">
            <v>0</v>
          </cell>
          <cell r="J114" t="str">
            <v>20200605_135253514</v>
          </cell>
          <cell r="K114" t="str">
            <v>淨值</v>
          </cell>
          <cell r="L114">
            <v>22.473301389713743</v>
          </cell>
          <cell r="M114">
            <v>35.96</v>
          </cell>
        </row>
        <row r="115">
          <cell r="B115" t="str">
            <v>00651R</v>
          </cell>
          <cell r="C115" t="str">
            <v>V_INDEX</v>
          </cell>
          <cell r="D115">
            <v>8.7236706830424477</v>
          </cell>
          <cell r="E115">
            <v>8.7240309818286281</v>
          </cell>
          <cell r="F115">
            <v>8.7243912806148103</v>
          </cell>
          <cell r="G115">
            <v>8.7712301228183573</v>
          </cell>
          <cell r="H115">
            <v>0</v>
          </cell>
          <cell r="I115">
            <v>0</v>
          </cell>
          <cell r="J115" t="str">
            <v>20200605_135253530</v>
          </cell>
          <cell r="K115" t="str">
            <v>淨值</v>
          </cell>
          <cell r="L115">
            <v>8.7236706830424477</v>
          </cell>
          <cell r="M115">
            <v>35.96</v>
          </cell>
        </row>
        <row r="116">
          <cell r="B116" t="str">
            <v>00655L</v>
          </cell>
          <cell r="C116" t="str">
            <v>V_INDEX</v>
          </cell>
          <cell r="D116">
            <v>32.054666027276873</v>
          </cell>
          <cell r="E116">
            <v>32.054666027276873</v>
          </cell>
          <cell r="F116">
            <v>32.066482020181574</v>
          </cell>
          <cell r="G116">
            <v>32.161623018519165</v>
          </cell>
          <cell r="H116">
            <v>0</v>
          </cell>
          <cell r="I116">
            <v>0</v>
          </cell>
          <cell r="J116" t="str">
            <v>20200605_135252859</v>
          </cell>
          <cell r="K116" t="str">
            <v>淨值</v>
          </cell>
          <cell r="L116">
            <v>32.054666027276873</v>
          </cell>
          <cell r="M116">
            <v>10.54</v>
          </cell>
        </row>
        <row r="117">
          <cell r="B117" t="str">
            <v>00666R</v>
          </cell>
          <cell r="C117" t="str">
            <v>V_INDEX</v>
          </cell>
          <cell r="D117">
            <v>13.370881019133076</v>
          </cell>
          <cell r="E117">
            <v>13.36951444515616</v>
          </cell>
          <cell r="F117">
            <v>13.372247593109989</v>
          </cell>
          <cell r="G117">
            <v>13.43938903462749</v>
          </cell>
          <cell r="H117">
            <v>0</v>
          </cell>
          <cell r="I117">
            <v>0</v>
          </cell>
          <cell r="J117" t="str">
            <v>20200605_135253327</v>
          </cell>
          <cell r="K117" t="str">
            <v>淨值</v>
          </cell>
          <cell r="L117">
            <v>13.370881019133076</v>
          </cell>
          <cell r="M117">
            <v>35.96</v>
          </cell>
        </row>
        <row r="118">
          <cell r="B118" t="str">
            <v>00700</v>
          </cell>
          <cell r="C118" t="str">
            <v>V_INDEX</v>
          </cell>
          <cell r="D118">
            <v>18.84</v>
          </cell>
          <cell r="E118">
            <v>-7.9228162514264338E+28</v>
          </cell>
          <cell r="F118">
            <v>-7.9228162514264338E+28</v>
          </cell>
          <cell r="G118">
            <v>18.93</v>
          </cell>
          <cell r="H118">
            <v>-2147483648</v>
          </cell>
          <cell r="I118">
            <v>-2147483648</v>
          </cell>
          <cell r="J118" t="str">
            <v>20200605_132941000</v>
          </cell>
          <cell r="K118" t="str">
            <v>淨值</v>
          </cell>
          <cell r="L118">
            <v>18.84</v>
          </cell>
          <cell r="M118">
            <v>35.96</v>
          </cell>
        </row>
        <row r="119">
          <cell r="B119" t="str">
            <v>HHI-K20</v>
          </cell>
          <cell r="C119" t="str">
            <v>HKEX</v>
          </cell>
          <cell r="D119">
            <v>9558</v>
          </cell>
          <cell r="E119">
            <v>9557</v>
          </cell>
          <cell r="F119">
            <v>9559</v>
          </cell>
          <cell r="G119">
            <v>9566</v>
          </cell>
          <cell r="H119">
            <v>356</v>
          </cell>
          <cell r="I119">
            <v>359</v>
          </cell>
          <cell r="J119" t="str">
            <v>20200528_160000431</v>
          </cell>
          <cell r="K119" t="str">
            <v>5月期貨</v>
          </cell>
          <cell r="L119">
            <v>9558</v>
          </cell>
        </row>
        <row r="120">
          <cell r="B120" t="str">
            <v>HHI-M20</v>
          </cell>
          <cell r="C120" t="str">
            <v>HKEX</v>
          </cell>
          <cell r="D120">
            <v>9934</v>
          </cell>
          <cell r="E120">
            <v>9933</v>
          </cell>
          <cell r="F120">
            <v>9935</v>
          </cell>
          <cell r="G120">
            <v>9925</v>
          </cell>
          <cell r="H120">
            <v>13</v>
          </cell>
          <cell r="I120">
            <v>7</v>
          </cell>
          <cell r="J120" t="str">
            <v>20200605_135253639</v>
          </cell>
          <cell r="K120" t="str">
            <v>6月期貨</v>
          </cell>
          <cell r="L120">
            <v>9934</v>
          </cell>
        </row>
        <row r="121">
          <cell r="B121" t="str">
            <v>HHI-U20</v>
          </cell>
          <cell r="C121" t="str">
            <v>HKEX</v>
          </cell>
          <cell r="D121">
            <v>9793</v>
          </cell>
          <cell r="E121">
            <v>9806</v>
          </cell>
          <cell r="F121">
            <v>9809</v>
          </cell>
          <cell r="G121">
            <v>9798</v>
          </cell>
          <cell r="H121">
            <v>0</v>
          </cell>
          <cell r="I121">
            <v>7</v>
          </cell>
          <cell r="J121" t="str">
            <v>20200605_135253265</v>
          </cell>
          <cell r="K121" t="str">
            <v>9月期貨</v>
          </cell>
          <cell r="L121">
            <v>9807.5</v>
          </cell>
        </row>
        <row r="122">
          <cell r="B122" t="str">
            <v>MHI-K20</v>
          </cell>
          <cell r="C122" t="str">
            <v>HKEX</v>
          </cell>
          <cell r="D122">
            <v>23128</v>
          </cell>
          <cell r="E122">
            <v>23128</v>
          </cell>
          <cell r="F122">
            <v>23129</v>
          </cell>
          <cell r="G122">
            <v>23205</v>
          </cell>
          <cell r="H122">
            <v>108</v>
          </cell>
          <cell r="I122">
            <v>1</v>
          </cell>
          <cell r="J122" t="str">
            <v>20200528_160000431</v>
          </cell>
          <cell r="K122" t="str">
            <v>5月期貨</v>
          </cell>
          <cell r="L122">
            <v>23128.5</v>
          </cell>
        </row>
        <row r="123">
          <cell r="B123" t="str">
            <v>MHI-M20</v>
          </cell>
          <cell r="C123" t="str">
            <v>HKEX</v>
          </cell>
          <cell r="D123">
            <v>24422</v>
          </cell>
          <cell r="E123">
            <v>24421</v>
          </cell>
          <cell r="F123">
            <v>24423</v>
          </cell>
          <cell r="G123">
            <v>24291</v>
          </cell>
          <cell r="H123">
            <v>1</v>
          </cell>
          <cell r="I123">
            <v>4</v>
          </cell>
          <cell r="J123" t="str">
            <v>20200605_135253514</v>
          </cell>
          <cell r="K123" t="str">
            <v>6月期貨</v>
          </cell>
          <cell r="L123">
            <v>24422</v>
          </cell>
        </row>
        <row r="124">
          <cell r="B124" t="str">
            <v>MHI-U20</v>
          </cell>
          <cell r="C124" t="str">
            <v>HKEX</v>
          </cell>
          <cell r="D124">
            <v>24144</v>
          </cell>
          <cell r="E124">
            <v>24173</v>
          </cell>
          <cell r="F124">
            <v>24177</v>
          </cell>
          <cell r="G124">
            <v>24049</v>
          </cell>
          <cell r="H124">
            <v>0</v>
          </cell>
          <cell r="I124">
            <v>4</v>
          </cell>
          <cell r="J124" t="str">
            <v>20200605_135253405</v>
          </cell>
          <cell r="K124" t="str">
            <v>9月期貨</v>
          </cell>
          <cell r="L124">
            <v>24175</v>
          </cell>
        </row>
        <row r="125">
          <cell r="B125"/>
          <cell r="C125"/>
          <cell r="D125"/>
          <cell r="E125"/>
          <cell r="F125"/>
          <cell r="G125"/>
          <cell r="H125"/>
          <cell r="I125"/>
          <cell r="J125"/>
        </row>
        <row r="126">
          <cell r="B126" t="str">
            <v>00652</v>
          </cell>
          <cell r="C126" t="str">
            <v>V_INDEX</v>
          </cell>
          <cell r="D126">
            <v>18.5</v>
          </cell>
          <cell r="E126">
            <v>-7.9228162514264338E+28</v>
          </cell>
          <cell r="F126">
            <v>-7.9228162514264338E+28</v>
          </cell>
          <cell r="G126">
            <v>18.440000000000001</v>
          </cell>
          <cell r="H126">
            <v>-2147483648</v>
          </cell>
          <cell r="I126">
            <v>-2147483648</v>
          </cell>
          <cell r="J126" t="str">
            <v>20200605_132941000</v>
          </cell>
          <cell r="K126" t="str">
            <v>淨值</v>
          </cell>
          <cell r="L126">
            <v>18.5</v>
          </cell>
          <cell r="M126">
            <v>18.52</v>
          </cell>
        </row>
        <row r="127">
          <cell r="B127" t="str">
            <v>00653L</v>
          </cell>
          <cell r="C127" t="str">
            <v>V_INDEX</v>
          </cell>
          <cell r="D127">
            <v>18.199854351356983</v>
          </cell>
          <cell r="E127">
            <v>18.198058703761923</v>
          </cell>
          <cell r="F127">
            <v>18.201649998952039</v>
          </cell>
          <cell r="G127">
            <v>17.978989697164828</v>
          </cell>
          <cell r="H127">
            <v>0</v>
          </cell>
          <cell r="I127">
            <v>0</v>
          </cell>
          <cell r="J127" t="str">
            <v>20200605_135253733</v>
          </cell>
          <cell r="K127" t="str">
            <v>淨值</v>
          </cell>
          <cell r="L127">
            <v>18.199854351356983</v>
          </cell>
          <cell r="M127">
            <v>18.190000000000001</v>
          </cell>
        </row>
        <row r="128">
          <cell r="B128" t="str">
            <v>00654R</v>
          </cell>
          <cell r="C128" t="str">
            <v>V_INDEX</v>
          </cell>
          <cell r="D128">
            <v>14.679122587043761</v>
          </cell>
          <cell r="E128">
            <v>14.678385366711256</v>
          </cell>
          <cell r="F128">
            <v>14.679859807376264</v>
          </cell>
          <cell r="G128">
            <v>14.769800687941908</v>
          </cell>
          <cell r="H128">
            <v>0</v>
          </cell>
          <cell r="I128">
            <v>0</v>
          </cell>
          <cell r="J128" t="str">
            <v>20200605_135253733</v>
          </cell>
          <cell r="K128" t="str">
            <v>淨值</v>
          </cell>
          <cell r="L128">
            <v>14.679122587043761</v>
          </cell>
          <cell r="M128">
            <v>14.67</v>
          </cell>
        </row>
        <row r="129">
          <cell r="B129" t="str">
            <v>IN-K20</v>
          </cell>
          <cell r="C129" t="str">
            <v>SGX</v>
          </cell>
          <cell r="D129">
            <v>9490</v>
          </cell>
          <cell r="E129">
            <v>0</v>
          </cell>
          <cell r="F129">
            <v>0</v>
          </cell>
          <cell r="G129">
            <v>9297</v>
          </cell>
          <cell r="H129">
            <v>0</v>
          </cell>
          <cell r="I129">
            <v>0</v>
          </cell>
          <cell r="J129" t="str">
            <v>20200528_182852125</v>
          </cell>
          <cell r="K129" t="str">
            <v>5月期貨</v>
          </cell>
          <cell r="L129">
            <v>0</v>
          </cell>
        </row>
        <row r="130">
          <cell r="B130" t="str">
            <v>IN-M20</v>
          </cell>
          <cell r="C130" t="str">
            <v>SGX</v>
          </cell>
          <cell r="D130">
            <v>10086</v>
          </cell>
          <cell r="E130">
            <v>10085.5</v>
          </cell>
          <cell r="F130">
            <v>10086.5</v>
          </cell>
          <cell r="G130">
            <v>10024.5</v>
          </cell>
          <cell r="H130">
            <v>1</v>
          </cell>
          <cell r="I130">
            <v>2</v>
          </cell>
          <cell r="J130" t="str">
            <v>20200605_135253732</v>
          </cell>
          <cell r="K130" t="str">
            <v>6月期貨</v>
          </cell>
          <cell r="L130">
            <v>10086</v>
          </cell>
        </row>
        <row r="131">
          <cell r="B131" t="str">
            <v>IN-N20</v>
          </cell>
          <cell r="C131" t="str">
            <v>SGX</v>
          </cell>
          <cell r="D131">
            <v>10094.5</v>
          </cell>
          <cell r="E131">
            <v>10079.5</v>
          </cell>
          <cell r="F131">
            <v>10088.5</v>
          </cell>
          <cell r="G131">
            <v>10050.5</v>
          </cell>
          <cell r="H131">
            <v>1</v>
          </cell>
          <cell r="I131">
            <v>1</v>
          </cell>
          <cell r="J131" t="str">
            <v>20200605_135253733</v>
          </cell>
          <cell r="K131" t="str">
            <v>7月期貨</v>
          </cell>
          <cell r="L131">
            <v>10084</v>
          </cell>
        </row>
        <row r="132">
          <cell r="B132"/>
          <cell r="C132"/>
          <cell r="D132"/>
          <cell r="E132"/>
          <cell r="F132"/>
          <cell r="G132"/>
          <cell r="H132"/>
          <cell r="I132"/>
          <cell r="J132"/>
        </row>
        <row r="133">
          <cell r="B133" t="str">
            <v>TW-K20</v>
          </cell>
          <cell r="C133" t="str">
            <v>SGX</v>
          </cell>
          <cell r="D133">
            <v>413.1</v>
          </cell>
          <cell r="E133">
            <v>0</v>
          </cell>
          <cell r="F133">
            <v>0</v>
          </cell>
          <cell r="G133">
            <v>415.8</v>
          </cell>
          <cell r="H133">
            <v>0</v>
          </cell>
          <cell r="I133">
            <v>0</v>
          </cell>
          <cell r="J133" t="str">
            <v>20200528_140307417</v>
          </cell>
          <cell r="K133" t="str">
            <v>5月期貨</v>
          </cell>
          <cell r="L133">
            <v>0</v>
          </cell>
        </row>
        <row r="134">
          <cell r="B134" t="str">
            <v>TW-M20</v>
          </cell>
          <cell r="C134" t="str">
            <v>SGX</v>
          </cell>
          <cell r="D134">
            <v>433.7</v>
          </cell>
          <cell r="E134">
            <v>433.7</v>
          </cell>
          <cell r="F134">
            <v>433.8</v>
          </cell>
          <cell r="G134">
            <v>428.8</v>
          </cell>
          <cell r="H134">
            <v>21</v>
          </cell>
          <cell r="I134">
            <v>3</v>
          </cell>
          <cell r="J134" t="str">
            <v>20200605_135009745</v>
          </cell>
          <cell r="K134" t="str">
            <v>6月期貨</v>
          </cell>
          <cell r="L134">
            <v>433.75</v>
          </cell>
        </row>
        <row r="135">
          <cell r="B135" t="str">
            <v>TW-N20</v>
          </cell>
          <cell r="C135" t="str">
            <v>SGX</v>
          </cell>
          <cell r="D135">
            <v>425.9</v>
          </cell>
          <cell r="E135">
            <v>421.8</v>
          </cell>
          <cell r="F135">
            <v>435</v>
          </cell>
          <cell r="G135">
            <v>420.6</v>
          </cell>
          <cell r="H135">
            <v>1</v>
          </cell>
          <cell r="I135">
            <v>2</v>
          </cell>
          <cell r="J135" t="str">
            <v>20200605_134757638</v>
          </cell>
          <cell r="K135" t="str">
            <v>7月期貨</v>
          </cell>
          <cell r="L135">
            <v>428.4</v>
          </cell>
        </row>
        <row r="136">
          <cell r="B136"/>
          <cell r="C136"/>
          <cell r="D136"/>
          <cell r="E136"/>
          <cell r="F136"/>
          <cell r="G136"/>
          <cell r="H136"/>
          <cell r="I136"/>
          <cell r="J136"/>
          <cell r="K136"/>
          <cell r="L136"/>
        </row>
        <row r="137">
          <cell r="B137" t="str">
            <v>CN-J20</v>
          </cell>
          <cell r="C137" t="str">
            <v>SGX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4月期貨</v>
          </cell>
          <cell r="L137">
            <v>0</v>
          </cell>
        </row>
        <row r="138">
          <cell r="B138" t="str">
            <v>CN-K20</v>
          </cell>
          <cell r="C138" t="str">
            <v>SGX</v>
          </cell>
          <cell r="D138">
            <v>13292.5</v>
          </cell>
          <cell r="E138">
            <v>12950</v>
          </cell>
          <cell r="F138">
            <v>13550</v>
          </cell>
          <cell r="G138">
            <v>13257.5</v>
          </cell>
          <cell r="H138">
            <v>6</v>
          </cell>
          <cell r="I138">
            <v>1</v>
          </cell>
          <cell r="J138" t="str">
            <v>20200528_164816262</v>
          </cell>
          <cell r="K138" t="str">
            <v>5月期貨</v>
          </cell>
          <cell r="L138">
            <v>13250</v>
          </cell>
        </row>
        <row r="139">
          <cell r="B139" t="str">
            <v>CN-M20</v>
          </cell>
          <cell r="C139" t="str">
            <v>SGX</v>
          </cell>
          <cell r="D139">
            <v>13630</v>
          </cell>
          <cell r="E139">
            <v>13630</v>
          </cell>
          <cell r="F139">
            <v>13632.5</v>
          </cell>
          <cell r="G139">
            <v>13637.5</v>
          </cell>
          <cell r="H139">
            <v>99</v>
          </cell>
          <cell r="I139">
            <v>122</v>
          </cell>
          <cell r="J139" t="str">
            <v>20200605_135253599</v>
          </cell>
          <cell r="K139" t="str">
            <v>6月期貨</v>
          </cell>
          <cell r="L139">
            <v>13631.25</v>
          </cell>
          <cell r="M139">
            <v>48.98</v>
          </cell>
        </row>
        <row r="140">
          <cell r="B140" t="str">
            <v>CN-N20</v>
          </cell>
          <cell r="C140" t="str">
            <v>SGX</v>
          </cell>
          <cell r="D140">
            <v>13415</v>
          </cell>
          <cell r="E140">
            <v>13432.5</v>
          </cell>
          <cell r="F140">
            <v>13435</v>
          </cell>
          <cell r="G140">
            <v>13452.5</v>
          </cell>
          <cell r="H140">
            <v>2</v>
          </cell>
          <cell r="I140">
            <v>4</v>
          </cell>
          <cell r="J140" t="str">
            <v>20200605_135253246</v>
          </cell>
          <cell r="K140" t="str">
            <v>7月期貨</v>
          </cell>
          <cell r="L140">
            <v>13433.75</v>
          </cell>
          <cell r="M140">
            <v>9.7200000000000006</v>
          </cell>
        </row>
        <row r="141">
          <cell r="B141"/>
          <cell r="C141"/>
          <cell r="D141"/>
          <cell r="E141"/>
          <cell r="F141"/>
          <cell r="G141"/>
          <cell r="H141"/>
          <cell r="I141"/>
          <cell r="J141"/>
          <cell r="L141" t="str">
            <v/>
          </cell>
          <cell r="M141">
            <v>44.07</v>
          </cell>
        </row>
        <row r="142">
          <cell r="B142" t="str">
            <v>00631L</v>
          </cell>
          <cell r="C142" t="str">
            <v>V_INDEX</v>
          </cell>
          <cell r="D142">
            <v>48.983719807639957</v>
          </cell>
          <cell r="E142">
            <v>48.983719807639957</v>
          </cell>
          <cell r="F142">
            <v>49.00694818981944</v>
          </cell>
          <cell r="G142">
            <v>48.137880047182648</v>
          </cell>
          <cell r="H142">
            <v>0</v>
          </cell>
          <cell r="I142">
            <v>0</v>
          </cell>
          <cell r="J142" t="str">
            <v>20200605_134500020</v>
          </cell>
          <cell r="K142" t="str">
            <v>淨值</v>
          </cell>
          <cell r="L142">
            <v>48.983719807639957</v>
          </cell>
          <cell r="M142">
            <v>5.6</v>
          </cell>
        </row>
        <row r="143">
          <cell r="B143" t="str">
            <v>00632R</v>
          </cell>
          <cell r="C143" t="str">
            <v>V_INDEX</v>
          </cell>
          <cell r="D143">
            <v>9.7179341507911694</v>
          </cell>
          <cell r="E143">
            <v>9.716037842276382</v>
          </cell>
          <cell r="F143">
            <v>9.7179341507911694</v>
          </cell>
          <cell r="G143">
            <v>9.8036450696187316</v>
          </cell>
          <cell r="H143">
            <v>0</v>
          </cell>
          <cell r="I143">
            <v>0</v>
          </cell>
          <cell r="J143" t="str">
            <v>20200605_134500020</v>
          </cell>
          <cell r="K143" t="str">
            <v>淨值</v>
          </cell>
          <cell r="L143">
            <v>9.7179341507911694</v>
          </cell>
          <cell r="M143">
            <v>44.07</v>
          </cell>
        </row>
        <row r="144">
          <cell r="B144" t="str">
            <v>00633L</v>
          </cell>
          <cell r="C144" t="str">
            <v>V_INDEX</v>
          </cell>
          <cell r="D144">
            <v>43.928396056725958</v>
          </cell>
          <cell r="E144">
            <v>43.92977237601837</v>
          </cell>
          <cell r="F144">
            <v>43.9470494663558</v>
          </cell>
          <cell r="G144">
            <v>44.120056088566251</v>
          </cell>
          <cell r="H144">
            <v>0</v>
          </cell>
          <cell r="I144">
            <v>0</v>
          </cell>
          <cell r="J144" t="str">
            <v>20200605_135252859</v>
          </cell>
          <cell r="K144" t="str">
            <v>淨值</v>
          </cell>
          <cell r="L144">
            <v>43.928396056725958</v>
          </cell>
          <cell r="M144">
            <v>11.03</v>
          </cell>
        </row>
        <row r="145">
          <cell r="B145" t="str">
            <v>00634R</v>
          </cell>
          <cell r="C145" t="str">
            <v>V_INDEX</v>
          </cell>
          <cell r="D145">
            <v>5.5954264410778842</v>
          </cell>
          <cell r="E145">
            <v>5.5919264016785739</v>
          </cell>
          <cell r="F145">
            <v>5.5935143570260228</v>
          </cell>
          <cell r="G145">
            <v>5.5968018378361117</v>
          </cell>
          <cell r="H145">
            <v>0</v>
          </cell>
          <cell r="I145">
            <v>0</v>
          </cell>
          <cell r="J145" t="str">
            <v>20200605_135252859</v>
          </cell>
          <cell r="K145" t="str">
            <v>淨值</v>
          </cell>
          <cell r="L145">
            <v>5.5954264410778842</v>
          </cell>
          <cell r="M145">
            <v>20.72</v>
          </cell>
        </row>
        <row r="146">
          <cell r="B146" t="str">
            <v>00663L</v>
          </cell>
          <cell r="C146" t="str">
            <v>V_INDEX</v>
          </cell>
          <cell r="D146">
            <v>44.001963796704572</v>
          </cell>
          <cell r="E146">
            <v>44.001963796704572</v>
          </cell>
          <cell r="F146">
            <v>44.017094917614294</v>
          </cell>
          <cell r="G146">
            <v>43.252973311673244</v>
          </cell>
          <cell r="H146">
            <v>0</v>
          </cell>
          <cell r="I146">
            <v>0</v>
          </cell>
          <cell r="J146" t="str">
            <v>20200605_134500020</v>
          </cell>
          <cell r="K146" t="str">
            <v>淨值</v>
          </cell>
          <cell r="L146">
            <v>44.001963796704572</v>
          </cell>
          <cell r="M146">
            <v>17.03</v>
          </cell>
        </row>
        <row r="147">
          <cell r="B147" t="str">
            <v>00664R</v>
          </cell>
          <cell r="C147" t="str">
            <v>V_INDEX</v>
          </cell>
          <cell r="D147">
            <v>11.033438787114671</v>
          </cell>
          <cell r="E147">
            <v>11.031480015129548</v>
          </cell>
          <cell r="F147">
            <v>11.033438787114671</v>
          </cell>
          <cell r="G147">
            <v>11.130398000378237</v>
          </cell>
          <cell r="H147">
            <v>0</v>
          </cell>
          <cell r="I147">
            <v>0</v>
          </cell>
          <cell r="J147" t="str">
            <v>20200605_134500020</v>
          </cell>
          <cell r="K147" t="str">
            <v>淨值</v>
          </cell>
          <cell r="L147">
            <v>11.033438787114671</v>
          </cell>
          <cell r="M147">
            <v>11.24</v>
          </cell>
        </row>
        <row r="148">
          <cell r="B148" t="str">
            <v>00665L</v>
          </cell>
          <cell r="C148" t="str">
            <v>V_INDEX</v>
          </cell>
          <cell r="D148">
            <v>21.569447660756257</v>
          </cell>
          <cell r="E148">
            <v>21.565099341364622</v>
          </cell>
          <cell r="F148">
            <v>21.573795980147896</v>
          </cell>
          <cell r="G148">
            <v>21.627206360179741</v>
          </cell>
          <cell r="H148">
            <v>0</v>
          </cell>
          <cell r="I148">
            <v>0</v>
          </cell>
          <cell r="J148" t="str">
            <v>20200605_135253327</v>
          </cell>
          <cell r="K148" t="str">
            <v>淨值</v>
          </cell>
          <cell r="L148">
            <v>21.569447660756257</v>
          </cell>
          <cell r="M148">
            <v>11.24</v>
          </cell>
        </row>
        <row r="149">
          <cell r="B149" t="str">
            <v>00636</v>
          </cell>
          <cell r="C149" t="str">
            <v>V_INDEX</v>
          </cell>
          <cell r="D149">
            <v>20.75</v>
          </cell>
          <cell r="E149">
            <v>-7.9228162514264338E+28</v>
          </cell>
          <cell r="F149">
            <v>-7.9228162514264338E+28</v>
          </cell>
          <cell r="G149">
            <v>20.72</v>
          </cell>
          <cell r="H149">
            <v>-2147483648</v>
          </cell>
          <cell r="I149">
            <v>-2147483648</v>
          </cell>
          <cell r="J149" t="str">
            <v>20200605_135228000</v>
          </cell>
          <cell r="K149" t="str">
            <v>淨值</v>
          </cell>
          <cell r="L149">
            <v>20.75</v>
          </cell>
          <cell r="M149">
            <v>32.130000000000003</v>
          </cell>
        </row>
        <row r="150">
          <cell r="B150" t="str">
            <v>00637L</v>
          </cell>
          <cell r="C150" t="str">
            <v>V_INDEX</v>
          </cell>
          <cell r="D150">
            <v>16.986589524496193</v>
          </cell>
          <cell r="E150">
            <v>16.986600223814047</v>
          </cell>
          <cell r="F150">
            <v>16.993146363534958</v>
          </cell>
          <cell r="G150">
            <v>17.064907380441646</v>
          </cell>
          <cell r="H150">
            <v>0</v>
          </cell>
          <cell r="I150">
            <v>0</v>
          </cell>
          <cell r="J150" t="str">
            <v>20200605_135252859</v>
          </cell>
          <cell r="K150" t="str">
            <v>淨值</v>
          </cell>
          <cell r="L150">
            <v>16.986589524496193</v>
          </cell>
          <cell r="M150">
            <v>10.199999999999999</v>
          </cell>
        </row>
        <row r="151">
          <cell r="B151" t="str">
            <v>00638R</v>
          </cell>
          <cell r="C151" t="str">
            <v>V_INDEX</v>
          </cell>
          <cell r="D151">
            <v>11.220870543062837</v>
          </cell>
          <cell r="E151">
            <v>11.21843048553704</v>
          </cell>
          <cell r="F151">
            <v>11.220722280697755</v>
          </cell>
          <cell r="G151">
            <v>11.237361359862412</v>
          </cell>
          <cell r="H151">
            <v>0</v>
          </cell>
          <cell r="I151">
            <v>0</v>
          </cell>
          <cell r="J151" t="str">
            <v>20200605_135252859</v>
          </cell>
          <cell r="K151" t="str">
            <v>淨值</v>
          </cell>
          <cell r="L151">
            <v>11.220870543062837</v>
          </cell>
          <cell r="M151">
            <v>16.45</v>
          </cell>
        </row>
        <row r="152">
          <cell r="B152" t="str">
            <v>00655L</v>
          </cell>
          <cell r="C152" t="str">
            <v>V_INDEX</v>
          </cell>
          <cell r="D152">
            <v>32.054666027276873</v>
          </cell>
          <cell r="E152">
            <v>32.054666027276873</v>
          </cell>
          <cell r="F152">
            <v>32.066482020181574</v>
          </cell>
          <cell r="G152">
            <v>32.161623018519165</v>
          </cell>
          <cell r="H152">
            <v>0</v>
          </cell>
          <cell r="I152">
            <v>0</v>
          </cell>
          <cell r="J152" t="str">
            <v>20200605_135252859</v>
          </cell>
          <cell r="K152" t="str">
            <v>淨值</v>
          </cell>
          <cell r="L152">
            <v>32.054666027276873</v>
          </cell>
          <cell r="M152">
            <v>13.28</v>
          </cell>
        </row>
        <row r="153">
          <cell r="B153" t="str">
            <v>00656R</v>
          </cell>
          <cell r="C153" t="str">
            <v>V_INDEX</v>
          </cell>
          <cell r="D153">
            <v>10.182295505876777</v>
          </cell>
          <cell r="E153">
            <v>10.180417977090725</v>
          </cell>
          <cell r="F153">
            <v>10.182295505876777</v>
          </cell>
          <cell r="G153">
            <v>10.190294184303834</v>
          </cell>
          <cell r="H153">
            <v>0</v>
          </cell>
          <cell r="I153">
            <v>0</v>
          </cell>
          <cell r="J153" t="str">
            <v>20200605_135252859</v>
          </cell>
          <cell r="K153" t="str">
            <v>淨值</v>
          </cell>
          <cell r="L153">
            <v>10.182295505876777</v>
          </cell>
          <cell r="M153">
            <v>25.35</v>
          </cell>
        </row>
        <row r="154">
          <cell r="B154" t="str">
            <v>00685L</v>
          </cell>
          <cell r="C154" t="str">
            <v>V_INDEX</v>
          </cell>
          <cell r="D154">
            <v>16.464088088899178</v>
          </cell>
          <cell r="E154">
            <v>16.452859937492764</v>
          </cell>
          <cell r="F154">
            <v>16.46853304780646</v>
          </cell>
          <cell r="G154">
            <v>16.098096654705405</v>
          </cell>
          <cell r="H154">
            <v>0</v>
          </cell>
          <cell r="I154">
            <v>0</v>
          </cell>
          <cell r="J154" t="str">
            <v>20200605_134500020</v>
          </cell>
          <cell r="K154" t="str">
            <v>淨值</v>
          </cell>
          <cell r="L154">
            <v>16.464088088899178</v>
          </cell>
          <cell r="M154">
            <v>17.71</v>
          </cell>
        </row>
        <row r="155">
          <cell r="B155" t="str">
            <v>00691R</v>
          </cell>
          <cell r="C155" t="str">
            <v>V_INDEX</v>
          </cell>
          <cell r="D155">
            <v>13.288505347593583</v>
          </cell>
          <cell r="E155">
            <v>13.286366310160428</v>
          </cell>
          <cell r="F155">
            <v>13.288505347593583</v>
          </cell>
          <cell r="G155">
            <v>13.394387700534757</v>
          </cell>
          <cell r="H155">
            <v>0</v>
          </cell>
          <cell r="I155">
            <v>0</v>
          </cell>
          <cell r="J155" t="str">
            <v>20200605_134500020</v>
          </cell>
          <cell r="K155" t="str">
            <v>淨值</v>
          </cell>
          <cell r="L155">
            <v>13.288505347593583</v>
          </cell>
          <cell r="M155">
            <v>29.41</v>
          </cell>
        </row>
        <row r="156">
          <cell r="B156" t="str">
            <v>00753L</v>
          </cell>
          <cell r="C156" t="str">
            <v>V_INDEX</v>
          </cell>
          <cell r="D156">
            <v>25.285175150142759</v>
          </cell>
          <cell r="E156">
            <v>25.373270800433197</v>
          </cell>
          <cell r="F156">
            <v>25.472378407009941</v>
          </cell>
          <cell r="G156">
            <v>25.285175150142759</v>
          </cell>
          <cell r="H156">
            <v>0</v>
          </cell>
          <cell r="I156">
            <v>0</v>
          </cell>
          <cell r="J156" t="str">
            <v>20200605_135206917</v>
          </cell>
          <cell r="K156" t="str">
            <v>淨值</v>
          </cell>
          <cell r="L156">
            <v>25.285175150142759</v>
          </cell>
          <cell r="M156">
            <v>30.78</v>
          </cell>
        </row>
        <row r="157">
          <cell r="B157" t="str">
            <v>0061</v>
          </cell>
          <cell r="C157" t="str">
            <v>V_INDEX</v>
          </cell>
          <cell r="D157">
            <v>17.73</v>
          </cell>
          <cell r="E157">
            <v>-7.9228162514264338E+28</v>
          </cell>
          <cell r="F157">
            <v>-7.9228162514264338E+28</v>
          </cell>
          <cell r="G157">
            <v>17.73</v>
          </cell>
          <cell r="H157">
            <v>-2147483648</v>
          </cell>
          <cell r="I157">
            <v>-2147483648</v>
          </cell>
          <cell r="J157" t="str">
            <v>20200605_135245000</v>
          </cell>
          <cell r="K157" t="str">
            <v>淨值</v>
          </cell>
          <cell r="L157">
            <v>17.73</v>
          </cell>
          <cell r="M157">
            <v>23.17</v>
          </cell>
        </row>
        <row r="158">
          <cell r="B158" t="str">
            <v>006205</v>
          </cell>
          <cell r="C158" t="str">
            <v>V_INDEX</v>
          </cell>
          <cell r="D158">
            <v>29.43</v>
          </cell>
          <cell r="E158">
            <v>-7.9228162514264338E+28</v>
          </cell>
          <cell r="F158">
            <v>-7.9228162514264338E+28</v>
          </cell>
          <cell r="G158">
            <v>29.4</v>
          </cell>
          <cell r="H158">
            <v>-2147483648</v>
          </cell>
          <cell r="I158">
            <v>-2147483648</v>
          </cell>
          <cell r="J158" t="str">
            <v>20200605_135239000</v>
          </cell>
          <cell r="K158" t="str">
            <v>淨值</v>
          </cell>
          <cell r="L158">
            <v>29.43</v>
          </cell>
          <cell r="M158">
            <v>11.62</v>
          </cell>
        </row>
        <row r="159">
          <cell r="B159" t="str">
            <v>006206</v>
          </cell>
          <cell r="C159" t="str">
            <v>V_INDEX</v>
          </cell>
          <cell r="D159">
            <v>30.94</v>
          </cell>
          <cell r="E159">
            <v>-7.9228162514264338E+28</v>
          </cell>
          <cell r="F159">
            <v>-7.9228162514264338E+28</v>
          </cell>
          <cell r="G159">
            <v>30.79</v>
          </cell>
          <cell r="H159">
            <v>-2147483648</v>
          </cell>
          <cell r="I159">
            <v>-2147483648</v>
          </cell>
          <cell r="J159" t="str">
            <v>20200605_135245000</v>
          </cell>
          <cell r="K159" t="str">
            <v>淨值</v>
          </cell>
          <cell r="L159">
            <v>30.94</v>
          </cell>
          <cell r="M159">
            <v>13.96</v>
          </cell>
        </row>
        <row r="160">
          <cell r="B160" t="str">
            <v>006207</v>
          </cell>
          <cell r="C160" t="str">
            <v>V_INDEX</v>
          </cell>
          <cell r="D160">
            <v>23.19</v>
          </cell>
          <cell r="E160">
            <v>-7.9228162514264338E+28</v>
          </cell>
          <cell r="F160">
            <v>-7.9228162514264338E+28</v>
          </cell>
          <cell r="G160">
            <v>23.21</v>
          </cell>
          <cell r="H160">
            <v>-2147483648</v>
          </cell>
          <cell r="I160">
            <v>-2147483648</v>
          </cell>
          <cell r="J160" t="str">
            <v>20200605_135248000</v>
          </cell>
          <cell r="K160" t="str">
            <v>淨值</v>
          </cell>
          <cell r="L160">
            <v>23.19</v>
          </cell>
          <cell r="M160">
            <v>11.62</v>
          </cell>
        </row>
        <row r="161">
          <cell r="B161" t="str">
            <v>00639</v>
          </cell>
          <cell r="C161" t="str">
            <v>V_INDEX</v>
          </cell>
          <cell r="D161">
            <v>11.64</v>
          </cell>
          <cell r="E161">
            <v>-7.9228162514264338E+28</v>
          </cell>
          <cell r="F161">
            <v>-7.9228162514264338E+28</v>
          </cell>
          <cell r="G161">
            <v>11.63</v>
          </cell>
          <cell r="H161">
            <v>-2147483648</v>
          </cell>
          <cell r="I161">
            <v>-2147483648</v>
          </cell>
          <cell r="J161" t="str">
            <v>20200605_135239000</v>
          </cell>
          <cell r="K161" t="str">
            <v>淨值</v>
          </cell>
          <cell r="L161">
            <v>11.64</v>
          </cell>
          <cell r="M161">
            <v>13.96</v>
          </cell>
        </row>
        <row r="162">
          <cell r="B162" t="str">
            <v>00643</v>
          </cell>
          <cell r="C162" t="str">
            <v>V_INDEX</v>
          </cell>
          <cell r="D162">
            <v>13.96</v>
          </cell>
          <cell r="E162">
            <v>-7.9228162514264338E+28</v>
          </cell>
          <cell r="F162">
            <v>-7.9228162514264338E+28</v>
          </cell>
          <cell r="G162">
            <v>13.93</v>
          </cell>
          <cell r="H162">
            <v>-2147483648</v>
          </cell>
          <cell r="I162">
            <v>-2147483648</v>
          </cell>
          <cell r="J162" t="str">
            <v>20200605_135245000</v>
          </cell>
          <cell r="K162" t="str">
            <v>淨值</v>
          </cell>
          <cell r="L162">
            <v>13.96</v>
          </cell>
          <cell r="M162">
            <v>21.16</v>
          </cell>
        </row>
        <row r="163">
          <cell r="B163" t="str">
            <v>00639</v>
          </cell>
          <cell r="C163" t="str">
            <v>V_INDEX</v>
          </cell>
          <cell r="D163">
            <v>11.64</v>
          </cell>
          <cell r="E163">
            <v>-7.9228162514264338E+28</v>
          </cell>
          <cell r="F163">
            <v>-7.9228162514264338E+28</v>
          </cell>
          <cell r="G163">
            <v>11.63</v>
          </cell>
          <cell r="H163">
            <v>-2147483648</v>
          </cell>
          <cell r="I163">
            <v>-2147483648</v>
          </cell>
          <cell r="J163" t="str">
            <v>20200605_135239000</v>
          </cell>
          <cell r="K163" t="str">
            <v>淨值</v>
          </cell>
          <cell r="L163">
            <v>11.64</v>
          </cell>
          <cell r="M163">
            <v>20.78</v>
          </cell>
        </row>
        <row r="164">
          <cell r="B164" t="str">
            <v>00643</v>
          </cell>
          <cell r="C164" t="str">
            <v>V_INDEX</v>
          </cell>
          <cell r="D164">
            <v>13.96</v>
          </cell>
          <cell r="E164">
            <v>-7.9228162514264338E+28</v>
          </cell>
          <cell r="F164">
            <v>-7.9228162514264338E+28</v>
          </cell>
          <cell r="G164">
            <v>13.93</v>
          </cell>
          <cell r="H164">
            <v>-2147483648</v>
          </cell>
          <cell r="I164">
            <v>-2147483648</v>
          </cell>
          <cell r="J164" t="str">
            <v>20200605_135245000</v>
          </cell>
          <cell r="K164" t="str">
            <v>淨值</v>
          </cell>
          <cell r="L164">
            <v>13.96</v>
          </cell>
          <cell r="M164">
            <v>24.46</v>
          </cell>
        </row>
        <row r="165">
          <cell r="B165" t="str">
            <v>00739</v>
          </cell>
          <cell r="C165" t="str">
            <v>V_INDEX</v>
          </cell>
          <cell r="D165">
            <v>21.17</v>
          </cell>
          <cell r="E165">
            <v>-7.9228162514264338E+28</v>
          </cell>
          <cell r="F165">
            <v>-7.9228162514264338E+28</v>
          </cell>
          <cell r="G165">
            <v>21.18</v>
          </cell>
          <cell r="H165">
            <v>-2147483648</v>
          </cell>
          <cell r="I165">
            <v>-2147483648</v>
          </cell>
          <cell r="J165" t="str">
            <v>20200605_132945000</v>
          </cell>
          <cell r="K165" t="str">
            <v>淨值</v>
          </cell>
          <cell r="L165">
            <v>21.17</v>
          </cell>
          <cell r="M165">
            <v>9.4499999999999993</v>
          </cell>
        </row>
        <row r="166">
          <cell r="B166" t="str">
            <v>00743</v>
          </cell>
          <cell r="C166" t="str">
            <v>V_INDEX</v>
          </cell>
          <cell r="D166">
            <v>20.81</v>
          </cell>
          <cell r="E166">
            <v>-7.9228162514264338E+28</v>
          </cell>
          <cell r="F166">
            <v>-7.9228162514264338E+28</v>
          </cell>
          <cell r="G166">
            <v>20.78</v>
          </cell>
          <cell r="H166">
            <v>-2147483648</v>
          </cell>
          <cell r="I166">
            <v>-2147483648</v>
          </cell>
          <cell r="J166" t="str">
            <v>20200605_132928000</v>
          </cell>
          <cell r="K166" t="str">
            <v>淨值</v>
          </cell>
          <cell r="L166">
            <v>20.81</v>
          </cell>
          <cell r="M166">
            <v>18.66</v>
          </cell>
        </row>
        <row r="167">
          <cell r="B167" t="str">
            <v>00752</v>
          </cell>
          <cell r="C167" t="str">
            <v>V_INDEX</v>
          </cell>
          <cell r="D167">
            <v>24.32</v>
          </cell>
          <cell r="E167">
            <v>-7.9228162514264338E+28</v>
          </cell>
          <cell r="F167">
            <v>-7.9228162514264338E+28</v>
          </cell>
          <cell r="G167">
            <v>24.47</v>
          </cell>
          <cell r="H167">
            <v>-2147483648</v>
          </cell>
          <cell r="I167">
            <v>-2147483648</v>
          </cell>
          <cell r="J167" t="str">
            <v>20200605_133007000</v>
          </cell>
          <cell r="K167" t="str">
            <v>淨值</v>
          </cell>
          <cell r="L167">
            <v>24.32</v>
          </cell>
          <cell r="M167">
            <v>99.56</v>
          </cell>
        </row>
        <row r="168">
          <cell r="B168" t="str">
            <v>00766L</v>
          </cell>
          <cell r="C168" t="str">
            <v>V_INDEX</v>
          </cell>
          <cell r="D168">
            <v>9.4700000000000006</v>
          </cell>
          <cell r="E168">
            <v>-7.9228162514264338E+28</v>
          </cell>
          <cell r="F168">
            <v>-7.9228162514264338E+28</v>
          </cell>
          <cell r="G168">
            <v>9.51</v>
          </cell>
          <cell r="H168">
            <v>-2147483648</v>
          </cell>
          <cell r="I168">
            <v>-2147483648</v>
          </cell>
          <cell r="J168" t="str">
            <v>20200605_132945000</v>
          </cell>
          <cell r="K168" t="str">
            <v>淨值</v>
          </cell>
          <cell r="L168">
            <v>9.4700000000000006</v>
          </cell>
        </row>
        <row r="169">
          <cell r="B169" t="str">
            <v>00783</v>
          </cell>
          <cell r="C169" t="str">
            <v>V_INDEX</v>
          </cell>
          <cell r="D169">
            <v>18.61</v>
          </cell>
          <cell r="E169">
            <v>-7.9228162514264338E+28</v>
          </cell>
          <cell r="F169">
            <v>-7.9228162514264338E+28</v>
          </cell>
          <cell r="G169">
            <v>18.649999999999999</v>
          </cell>
          <cell r="H169">
            <v>-2147483648</v>
          </cell>
          <cell r="I169">
            <v>-2147483648</v>
          </cell>
          <cell r="J169" t="str">
            <v>20200605_132941000</v>
          </cell>
          <cell r="K169" t="str">
            <v>淨值</v>
          </cell>
          <cell r="L169">
            <v>18.61</v>
          </cell>
        </row>
        <row r="170">
          <cell r="B170" t="str">
            <v>008201</v>
          </cell>
          <cell r="C170" t="str">
            <v>V_INDEX</v>
          </cell>
          <cell r="D170">
            <v>99.56</v>
          </cell>
          <cell r="E170">
            <v>-7.9228162514264338E+28</v>
          </cell>
          <cell r="F170">
            <v>-7.9228162514264338E+28</v>
          </cell>
          <cell r="G170">
            <v>99.66</v>
          </cell>
          <cell r="H170">
            <v>-2147483648</v>
          </cell>
          <cell r="I170">
            <v>-2147483648</v>
          </cell>
          <cell r="J170" t="str">
            <v>20200605_132949000</v>
          </cell>
          <cell r="K170" t="str">
            <v>淨值</v>
          </cell>
          <cell r="L170">
            <v>99.56</v>
          </cell>
        </row>
        <row r="171">
          <cell r="B171" t="str">
            <v>NCH-J20</v>
          </cell>
          <cell r="C171" t="str">
            <v>SGX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4月期貨</v>
          </cell>
          <cell r="L171">
            <v>0</v>
          </cell>
        </row>
        <row r="172">
          <cell r="B172" t="str">
            <v>NCH-K20</v>
          </cell>
          <cell r="C172" t="str">
            <v>SGX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5月期貨</v>
          </cell>
          <cell r="L172">
            <v>0</v>
          </cell>
        </row>
        <row r="173">
          <cell r="B173" t="str">
            <v>NCH-M20</v>
          </cell>
          <cell r="C173" t="str">
            <v>SGX</v>
          </cell>
          <cell r="D173">
            <v>917.1</v>
          </cell>
          <cell r="E173">
            <v>918.7</v>
          </cell>
          <cell r="F173">
            <v>920.5</v>
          </cell>
          <cell r="G173">
            <v>917.1</v>
          </cell>
          <cell r="H173">
            <v>2</v>
          </cell>
          <cell r="I173">
            <v>2</v>
          </cell>
          <cell r="J173" t="str">
            <v>20200605_135206904</v>
          </cell>
          <cell r="K173" t="str">
            <v>6月期貨</v>
          </cell>
          <cell r="L173">
            <v>919.6</v>
          </cell>
          <cell r="M173">
            <v>45.89</v>
          </cell>
        </row>
        <row r="174">
          <cell r="B174" t="str">
            <v>NCH-N20</v>
          </cell>
          <cell r="C174" t="str">
            <v>SGX</v>
          </cell>
          <cell r="D174">
            <v>920.1</v>
          </cell>
          <cell r="E174">
            <v>919.4</v>
          </cell>
          <cell r="F174">
            <v>921.4</v>
          </cell>
          <cell r="G174">
            <v>917.2</v>
          </cell>
          <cell r="H174">
            <v>10</v>
          </cell>
          <cell r="I174">
            <v>10</v>
          </cell>
          <cell r="J174" t="str">
            <v>20200605_135205922</v>
          </cell>
          <cell r="K174" t="str">
            <v>7月期貨</v>
          </cell>
          <cell r="L174">
            <v>920.4</v>
          </cell>
        </row>
        <row r="175">
          <cell r="M175">
            <v>24.11</v>
          </cell>
        </row>
        <row r="176">
          <cell r="B176" t="str">
            <v>00731</v>
          </cell>
          <cell r="C176" t="str">
            <v>V_INDEX</v>
          </cell>
          <cell r="D176">
            <v>45.885590854632589</v>
          </cell>
          <cell r="E176">
            <v>45.841414337060705</v>
          </cell>
          <cell r="F176">
            <v>45.926627827476032</v>
          </cell>
          <cell r="G176">
            <v>45.663287779552718</v>
          </cell>
          <cell r="H176">
            <v>0</v>
          </cell>
          <cell r="I176">
            <v>0</v>
          </cell>
          <cell r="J176" t="str">
            <v>20200605_134500020</v>
          </cell>
          <cell r="K176" t="str">
            <v>淨值</v>
          </cell>
          <cell r="L176">
            <v>45.885590854632589</v>
          </cell>
          <cell r="M176">
            <v>27.01</v>
          </cell>
        </row>
        <row r="177">
          <cell r="M177">
            <v>14.28</v>
          </cell>
        </row>
        <row r="178">
          <cell r="B178" t="str">
            <v>00635U</v>
          </cell>
          <cell r="C178" t="str">
            <v>V_INDEX</v>
          </cell>
          <cell r="D178">
            <v>24.103675366922527</v>
          </cell>
          <cell r="E178">
            <v>24.10086469479015</v>
          </cell>
          <cell r="F178">
            <v>24.102270030856339</v>
          </cell>
          <cell r="G178">
            <v>24.25927400204964</v>
          </cell>
          <cell r="H178">
            <v>0</v>
          </cell>
          <cell r="I178">
            <v>0</v>
          </cell>
          <cell r="J178" t="str">
            <v>20200605_135253187</v>
          </cell>
          <cell r="K178" t="str">
            <v>淨值</v>
          </cell>
          <cell r="L178">
            <v>24.103675366922527</v>
          </cell>
        </row>
        <row r="179">
          <cell r="B179" t="str">
            <v>00708L</v>
          </cell>
          <cell r="C179" t="str">
            <v>V_INDEX</v>
          </cell>
          <cell r="D179">
            <v>27.003835380522844</v>
          </cell>
          <cell r="E179">
            <v>26.99758783343027</v>
          </cell>
          <cell r="F179">
            <v>27.000711606976559</v>
          </cell>
          <cell r="G179">
            <v>27.34822899851951</v>
          </cell>
          <cell r="H179">
            <v>0</v>
          </cell>
          <cell r="I179">
            <v>0</v>
          </cell>
          <cell r="J179" t="str">
            <v>20200605_135253187</v>
          </cell>
          <cell r="K179" t="str">
            <v>淨值</v>
          </cell>
          <cell r="L179">
            <v>27.003835380522844</v>
          </cell>
        </row>
        <row r="180">
          <cell r="B180" t="str">
            <v>00674R</v>
          </cell>
          <cell r="C180" t="str">
            <v>V_INDEX</v>
          </cell>
          <cell r="D180">
            <v>14.272166456640194</v>
          </cell>
          <cell r="E180">
            <v>14.273018864910567</v>
          </cell>
          <cell r="F180">
            <v>14.273871273180937</v>
          </cell>
          <cell r="G180">
            <v>14.197790978600189</v>
          </cell>
          <cell r="H180">
            <v>0</v>
          </cell>
          <cell r="I180">
            <v>0</v>
          </cell>
          <cell r="J180" t="str">
            <v>20200605_135253187</v>
          </cell>
          <cell r="K180" t="str">
            <v>淨值</v>
          </cell>
          <cell r="L180">
            <v>14.272166456640194</v>
          </cell>
        </row>
        <row r="181">
          <cell r="B181" t="str">
            <v>GC-M20</v>
          </cell>
          <cell r="C181" t="str">
            <v>NYMEX</v>
          </cell>
          <cell r="D181">
            <v>1708.1</v>
          </cell>
          <cell r="E181">
            <v>1710</v>
          </cell>
          <cell r="F181">
            <v>1710.5</v>
          </cell>
          <cell r="G181">
            <v>1718.9</v>
          </cell>
          <cell r="H181">
            <v>1</v>
          </cell>
          <cell r="I181">
            <v>2</v>
          </cell>
          <cell r="J181" t="str">
            <v>20200605_135253093</v>
          </cell>
          <cell r="K181" t="str">
            <v>6月期貨</v>
          </cell>
          <cell r="L181">
            <v>1710.25</v>
          </cell>
        </row>
        <row r="182">
          <cell r="B182" t="str">
            <v>GC-Q20</v>
          </cell>
          <cell r="C182" t="str">
            <v>NYMEX</v>
          </cell>
          <cell r="D182">
            <v>1717.7</v>
          </cell>
          <cell r="E182">
            <v>1717.5</v>
          </cell>
          <cell r="F182">
            <v>1717.6</v>
          </cell>
          <cell r="G182">
            <v>1727.4</v>
          </cell>
          <cell r="H182">
            <v>4</v>
          </cell>
          <cell r="I182">
            <v>2</v>
          </cell>
          <cell r="J182" t="str">
            <v>20200605_135253296</v>
          </cell>
          <cell r="K182" t="str">
            <v>8月期貨</v>
          </cell>
          <cell r="L182">
            <v>1717.55</v>
          </cell>
        </row>
        <row r="183">
          <cell r="B183" t="str">
            <v>GC-V20</v>
          </cell>
          <cell r="C183" t="str">
            <v>NYMEX</v>
          </cell>
          <cell r="D183">
            <v>1728.5</v>
          </cell>
          <cell r="E183">
            <v>1728.2</v>
          </cell>
          <cell r="F183">
            <v>1728.5</v>
          </cell>
          <cell r="G183">
            <v>1738.1</v>
          </cell>
          <cell r="H183">
            <v>0</v>
          </cell>
          <cell r="I183">
            <v>1</v>
          </cell>
          <cell r="J183" t="str">
            <v>20200605_135253093</v>
          </cell>
          <cell r="K183" t="str">
            <v>10月期貨</v>
          </cell>
          <cell r="L183">
            <v>1728.35</v>
          </cell>
          <cell r="M183">
            <v>45.89</v>
          </cell>
        </row>
        <row r="184">
          <cell r="B184" t="str">
            <v>GC-Z20</v>
          </cell>
          <cell r="C184" t="str">
            <v>NYMEX</v>
          </cell>
          <cell r="D184">
            <v>1736.2</v>
          </cell>
          <cell r="E184">
            <v>1735.8</v>
          </cell>
          <cell r="F184">
            <v>1736.1</v>
          </cell>
          <cell r="G184">
            <v>1746.4</v>
          </cell>
          <cell r="H184">
            <v>4</v>
          </cell>
          <cell r="I184">
            <v>1</v>
          </cell>
          <cell r="J184" t="str">
            <v>20200605_135253093</v>
          </cell>
          <cell r="K184" t="str">
            <v>12月期貨</v>
          </cell>
          <cell r="L184">
            <v>1735.95</v>
          </cell>
        </row>
        <row r="185">
          <cell r="B185"/>
          <cell r="C185"/>
          <cell r="D185"/>
          <cell r="E185"/>
          <cell r="F185"/>
          <cell r="G185"/>
          <cell r="H185"/>
          <cell r="I185"/>
          <cell r="J185"/>
          <cell r="K185"/>
          <cell r="L185"/>
        </row>
        <row r="186">
          <cell r="B186" t="str">
            <v>00763U</v>
          </cell>
          <cell r="C186" t="str">
            <v>V_INDEX</v>
          </cell>
          <cell r="D186">
            <v>17.139634789777411</v>
          </cell>
          <cell r="E186">
            <v>17.136183149216819</v>
          </cell>
          <cell r="F186">
            <v>17.139634789777411</v>
          </cell>
          <cell r="G186">
            <v>17.001569167353669</v>
          </cell>
          <cell r="H186">
            <v>0</v>
          </cell>
          <cell r="I186">
            <v>0</v>
          </cell>
          <cell r="J186" t="str">
            <v>20200605_135253717</v>
          </cell>
          <cell r="K186" t="str">
            <v>淨值</v>
          </cell>
          <cell r="L186">
            <v>17.139634789777411</v>
          </cell>
        </row>
        <row r="187">
          <cell r="B187" t="str">
            <v>HG-N20</v>
          </cell>
          <cell r="C187" t="str">
            <v>NYMEX</v>
          </cell>
          <cell r="D187">
            <v>2.5095000000000001</v>
          </cell>
          <cell r="E187">
            <v>2.5089999999999999</v>
          </cell>
          <cell r="F187">
            <v>2.5095000000000001</v>
          </cell>
          <cell r="G187">
            <v>2.4895</v>
          </cell>
          <cell r="H187">
            <v>5</v>
          </cell>
          <cell r="I187">
            <v>10</v>
          </cell>
          <cell r="J187" t="str">
            <v>20200605_135253639</v>
          </cell>
          <cell r="K187" t="str">
            <v>7月期貨</v>
          </cell>
          <cell r="L187">
            <v>2.5099999999999998</v>
          </cell>
        </row>
        <row r="188">
          <cell r="B188" t="str">
            <v>HG-Q20</v>
          </cell>
          <cell r="C188" t="str">
            <v>NYMEX</v>
          </cell>
          <cell r="D188">
            <v>2.4990000000000001</v>
          </cell>
          <cell r="E188">
            <v>2.516</v>
          </cell>
          <cell r="F188">
            <v>2.5169999999999999</v>
          </cell>
          <cell r="G188">
            <v>2.4965000000000002</v>
          </cell>
          <cell r="H188">
            <v>4</v>
          </cell>
          <cell r="I188">
            <v>2</v>
          </cell>
          <cell r="J188" t="str">
            <v>20200605_135253639</v>
          </cell>
          <cell r="K188" t="str">
            <v>8月期貨</v>
          </cell>
          <cell r="L188">
            <v>2.52</v>
          </cell>
          <cell r="M188">
            <v>45.89</v>
          </cell>
        </row>
        <row r="189">
          <cell r="B189" t="str">
            <v>HG-V20</v>
          </cell>
          <cell r="C189" t="str">
            <v>NYMEX</v>
          </cell>
          <cell r="D189">
            <v>2.5154999999999998</v>
          </cell>
          <cell r="E189">
            <v>2.5274999999999999</v>
          </cell>
          <cell r="F189">
            <v>2.5289999999999999</v>
          </cell>
          <cell r="G189">
            <v>2.508</v>
          </cell>
          <cell r="H189">
            <v>1</v>
          </cell>
          <cell r="I189">
            <v>2</v>
          </cell>
          <cell r="J189" t="str">
            <v>20200605_135253249</v>
          </cell>
          <cell r="K189" t="str">
            <v>9月期貨</v>
          </cell>
          <cell r="L189">
            <v>2.5299999999999998</v>
          </cell>
        </row>
        <row r="190">
          <cell r="B190"/>
        </row>
        <row r="191">
          <cell r="B191" t="str">
            <v>00738U</v>
          </cell>
          <cell r="C191" t="str">
            <v>V_INDEX</v>
          </cell>
          <cell r="D191">
            <v>19.682498673098312</v>
          </cell>
          <cell r="E191">
            <v>19.682498673098312</v>
          </cell>
          <cell r="F191">
            <v>19.687986790900776</v>
          </cell>
          <cell r="G191">
            <v>19.779699997340401</v>
          </cell>
          <cell r="H191">
            <v>0</v>
          </cell>
          <cell r="I191">
            <v>0</v>
          </cell>
          <cell r="J191" t="str">
            <v>20200605_135248975</v>
          </cell>
          <cell r="K191" t="str">
            <v>淨值</v>
          </cell>
          <cell r="L191">
            <v>19.682498673098312</v>
          </cell>
        </row>
        <row r="192">
          <cell r="B192" t="str">
            <v>SI-M20</v>
          </cell>
          <cell r="C192" t="str">
            <v>NYMEX</v>
          </cell>
          <cell r="D192">
            <v>17.934999999999999</v>
          </cell>
          <cell r="E192">
            <v>17.95</v>
          </cell>
          <cell r="F192">
            <v>17.975000000000001</v>
          </cell>
          <cell r="G192">
            <v>18.024000000000001</v>
          </cell>
          <cell r="H192">
            <v>2</v>
          </cell>
          <cell r="I192">
            <v>3</v>
          </cell>
          <cell r="J192" t="str">
            <v>20200605_135252875</v>
          </cell>
          <cell r="K192" t="str">
            <v>6月期貨</v>
          </cell>
          <cell r="L192">
            <v>17.96</v>
          </cell>
        </row>
        <row r="193">
          <cell r="B193" t="str">
            <v>SI-N20</v>
          </cell>
          <cell r="C193" t="str">
            <v>NYMEX</v>
          </cell>
          <cell r="D193">
            <v>18</v>
          </cell>
          <cell r="E193">
            <v>18</v>
          </cell>
          <cell r="F193">
            <v>18.004999999999999</v>
          </cell>
          <cell r="G193">
            <v>18.061</v>
          </cell>
          <cell r="H193">
            <v>5</v>
          </cell>
          <cell r="I193">
            <v>3</v>
          </cell>
          <cell r="J193" t="str">
            <v>20200605_135252875</v>
          </cell>
          <cell r="K193" t="str">
            <v>7月期貨</v>
          </cell>
          <cell r="L193">
            <v>18</v>
          </cell>
        </row>
        <row r="194">
          <cell r="B194" t="str">
            <v>SI-Q20</v>
          </cell>
          <cell r="C194" t="str">
            <v>NYMEX</v>
          </cell>
          <cell r="D194">
            <v>18.094999999999999</v>
          </cell>
          <cell r="E194">
            <v>18.059999999999999</v>
          </cell>
          <cell r="F194">
            <v>18.074999999999999</v>
          </cell>
          <cell r="G194">
            <v>18.116</v>
          </cell>
          <cell r="H194">
            <v>2</v>
          </cell>
          <cell r="I194">
            <v>1</v>
          </cell>
          <cell r="J194" t="str">
            <v>20200605_135252875</v>
          </cell>
          <cell r="K194" t="str">
            <v>8月期貨</v>
          </cell>
          <cell r="L194">
            <v>18.07</v>
          </cell>
        </row>
        <row r="195">
          <cell r="B195"/>
          <cell r="C195"/>
          <cell r="D195"/>
          <cell r="E195"/>
          <cell r="F195"/>
          <cell r="G195"/>
          <cell r="H195"/>
          <cell r="I195"/>
          <cell r="J195"/>
        </row>
        <row r="196">
          <cell r="B196" t="str">
            <v>UB-M20</v>
          </cell>
          <cell r="C196" t="str">
            <v>CBOT</v>
          </cell>
          <cell r="D196">
            <v>211.8125</v>
          </cell>
          <cell r="E196">
            <v>210.15625</v>
          </cell>
          <cell r="F196">
            <v>210.3125</v>
          </cell>
          <cell r="G196">
            <v>211.3125</v>
          </cell>
          <cell r="H196">
            <v>1</v>
          </cell>
          <cell r="I196">
            <v>3</v>
          </cell>
          <cell r="J196" t="str">
            <v>20200605_135253327</v>
          </cell>
          <cell r="K196" t="str">
            <v>6月期貨</v>
          </cell>
          <cell r="L196">
            <v>210.23</v>
          </cell>
        </row>
        <row r="197">
          <cell r="B197" t="str">
            <v>UB-U20</v>
          </cell>
          <cell r="C197" t="str">
            <v>CBOT</v>
          </cell>
          <cell r="D197">
            <v>208.46875</v>
          </cell>
          <cell r="E197">
            <v>208.4375</v>
          </cell>
          <cell r="F197">
            <v>208.46875</v>
          </cell>
          <cell r="G197">
            <v>209.5625</v>
          </cell>
          <cell r="H197">
            <v>4</v>
          </cell>
          <cell r="I197">
            <v>7</v>
          </cell>
          <cell r="J197" t="str">
            <v>20200605_135253514</v>
          </cell>
          <cell r="K197" t="str">
            <v>9月期貨</v>
          </cell>
          <cell r="L197">
            <v>208.45</v>
          </cell>
        </row>
        <row r="198">
          <cell r="B198" t="str">
            <v>UB-Z20</v>
          </cell>
          <cell r="C198" t="str">
            <v>CBOT</v>
          </cell>
          <cell r="D198">
            <v>0</v>
          </cell>
          <cell r="E198">
            <v>0</v>
          </cell>
          <cell r="F198">
            <v>0</v>
          </cell>
          <cell r="G198">
            <v>209.5625</v>
          </cell>
          <cell r="H198">
            <v>0</v>
          </cell>
          <cell r="I198">
            <v>0</v>
          </cell>
          <cell r="J198" t="str">
            <v>20200605_073531041</v>
          </cell>
          <cell r="K198" t="str">
            <v>12月期貨</v>
          </cell>
          <cell r="L198">
            <v>0</v>
          </cell>
        </row>
        <row r="199">
          <cell r="B199" t="str">
            <v>ZB-M20</v>
          </cell>
          <cell r="C199" t="str">
            <v>CBOT</v>
          </cell>
          <cell r="D199">
            <v>175.25</v>
          </cell>
          <cell r="E199">
            <v>175.15625</v>
          </cell>
          <cell r="F199">
            <v>175.1875</v>
          </cell>
          <cell r="G199">
            <v>175.625</v>
          </cell>
          <cell r="H199">
            <v>11</v>
          </cell>
          <cell r="I199">
            <v>5</v>
          </cell>
          <cell r="J199" t="str">
            <v>20200605_135253327</v>
          </cell>
          <cell r="K199" t="str">
            <v>6月期貨</v>
          </cell>
          <cell r="L199">
            <v>175.17</v>
          </cell>
        </row>
        <row r="200">
          <cell r="B200" t="str">
            <v>ZB-U20</v>
          </cell>
          <cell r="C200" t="str">
            <v>CBOT</v>
          </cell>
          <cell r="D200">
            <v>173.5625</v>
          </cell>
          <cell r="E200">
            <v>173.53125</v>
          </cell>
          <cell r="F200">
            <v>173.5625</v>
          </cell>
          <cell r="G200">
            <v>174</v>
          </cell>
          <cell r="H200">
            <v>256</v>
          </cell>
          <cell r="I200">
            <v>33</v>
          </cell>
          <cell r="J200" t="str">
            <v>20200605_135253514</v>
          </cell>
          <cell r="K200" t="str">
            <v>9月期貨</v>
          </cell>
          <cell r="L200">
            <v>173.55</v>
          </cell>
        </row>
        <row r="201">
          <cell r="B201" t="str">
            <v>ZB-Z20</v>
          </cell>
          <cell r="C201" t="str">
            <v>CBOT</v>
          </cell>
          <cell r="D201">
            <v>0</v>
          </cell>
          <cell r="E201">
            <v>0</v>
          </cell>
          <cell r="F201">
            <v>0</v>
          </cell>
          <cell r="G201">
            <v>173</v>
          </cell>
          <cell r="H201">
            <v>0</v>
          </cell>
          <cell r="I201">
            <v>0</v>
          </cell>
          <cell r="J201" t="str">
            <v>20200605_073531057</v>
          </cell>
          <cell r="K201" t="str">
            <v>12月期貨</v>
          </cell>
          <cell r="L201">
            <v>0</v>
          </cell>
        </row>
        <row r="202">
          <cell r="B202" t="str">
            <v>TN-M20</v>
          </cell>
          <cell r="C202" t="str">
            <v>CBOT</v>
          </cell>
          <cell r="D202">
            <v>154.8125</v>
          </cell>
          <cell r="E202">
            <v>154.609375</v>
          </cell>
          <cell r="F202">
            <v>154.65625</v>
          </cell>
          <cell r="G202">
            <v>154.890625</v>
          </cell>
          <cell r="H202">
            <v>21</v>
          </cell>
          <cell r="I202">
            <v>5</v>
          </cell>
          <cell r="J202" t="str">
            <v>20200605_135253093</v>
          </cell>
          <cell r="K202" t="str">
            <v>6月期貨</v>
          </cell>
          <cell r="L202">
            <v>154.63</v>
          </cell>
        </row>
        <row r="203">
          <cell r="B203" t="str">
            <v>TN-U20</v>
          </cell>
          <cell r="C203" t="str">
            <v>CBOT</v>
          </cell>
          <cell r="D203">
            <v>154.640625</v>
          </cell>
          <cell r="E203">
            <v>154.625</v>
          </cell>
          <cell r="F203">
            <v>154.640625</v>
          </cell>
          <cell r="G203">
            <v>154.90625</v>
          </cell>
          <cell r="H203">
            <v>115</v>
          </cell>
          <cell r="I203">
            <v>15</v>
          </cell>
          <cell r="J203" t="str">
            <v>20200605_135253514</v>
          </cell>
          <cell r="K203" t="str">
            <v>9月期貨</v>
          </cell>
          <cell r="L203">
            <v>154.63</v>
          </cell>
        </row>
        <row r="204">
          <cell r="B204" t="str">
            <v>TN-Z20</v>
          </cell>
          <cell r="C204" t="str">
            <v>CBOT</v>
          </cell>
          <cell r="D204">
            <v>0</v>
          </cell>
          <cell r="E204">
            <v>0</v>
          </cell>
          <cell r="F204">
            <v>0</v>
          </cell>
          <cell r="G204">
            <v>154.90625</v>
          </cell>
          <cell r="H204">
            <v>0</v>
          </cell>
          <cell r="I204">
            <v>0</v>
          </cell>
          <cell r="J204" t="str">
            <v>20200605_073531041</v>
          </cell>
          <cell r="K204" t="str">
            <v>12月期貨</v>
          </cell>
          <cell r="L204">
            <v>0</v>
          </cell>
        </row>
        <row r="205">
          <cell r="B205" t="str">
            <v>RTY-M20</v>
          </cell>
          <cell r="C205" t="str">
            <v>CME</v>
          </cell>
          <cell r="D205">
            <v>1475.8</v>
          </cell>
          <cell r="E205">
            <v>1475.4</v>
          </cell>
          <cell r="F205">
            <v>1475.8</v>
          </cell>
          <cell r="G205">
            <v>1452.4</v>
          </cell>
          <cell r="H205">
            <v>1</v>
          </cell>
          <cell r="I205">
            <v>3</v>
          </cell>
          <cell r="J205" t="str">
            <v>20200605_135253373</v>
          </cell>
          <cell r="K205" t="str">
            <v>6月期貨</v>
          </cell>
          <cell r="L205">
            <v>1475.6</v>
          </cell>
          <cell r="M205">
            <v>47.54</v>
          </cell>
        </row>
        <row r="206">
          <cell r="B206" t="str">
            <v>RTY-U20</v>
          </cell>
          <cell r="C206" t="str">
            <v>CME</v>
          </cell>
          <cell r="D206">
            <v>1472.3</v>
          </cell>
          <cell r="E206">
            <v>1471</v>
          </cell>
          <cell r="F206">
            <v>1472.8</v>
          </cell>
          <cell r="G206">
            <v>1449</v>
          </cell>
          <cell r="H206">
            <v>1</v>
          </cell>
          <cell r="I206">
            <v>1</v>
          </cell>
          <cell r="J206" t="str">
            <v>20200605_135253382</v>
          </cell>
          <cell r="K206" t="str">
            <v>9月期貨</v>
          </cell>
          <cell r="L206">
            <v>1471.9</v>
          </cell>
          <cell r="M206">
            <v>30.57</v>
          </cell>
        </row>
        <row r="207">
          <cell r="B207" t="str">
            <v>RTY-Z20</v>
          </cell>
          <cell r="C207" t="str">
            <v>CME</v>
          </cell>
          <cell r="D207">
            <v>-7.9228162514264338E+28</v>
          </cell>
          <cell r="E207">
            <v>-7.9228162514264338E+28</v>
          </cell>
          <cell r="F207">
            <v>-7.9228162514264338E+28</v>
          </cell>
          <cell r="G207">
            <v>1446.2</v>
          </cell>
          <cell r="H207">
            <v>-2147483648</v>
          </cell>
          <cell r="I207">
            <v>-2147483648</v>
          </cell>
          <cell r="J207" t="str">
            <v>20200605_072003679</v>
          </cell>
          <cell r="K207" t="str">
            <v>12月期貨</v>
          </cell>
          <cell r="L207">
            <v>0</v>
          </cell>
          <cell r="M207">
            <v>13.04</v>
          </cell>
        </row>
        <row r="208">
          <cell r="B208" t="str">
            <v>00679B</v>
          </cell>
          <cell r="C208" t="str">
            <v>V_INDEX</v>
          </cell>
          <cell r="D208">
            <v>47.5685</v>
          </cell>
          <cell r="E208">
            <v>-7.9228162514264338E+28</v>
          </cell>
          <cell r="F208">
            <v>-7.9228162514264338E+28</v>
          </cell>
          <cell r="G208">
            <v>47.899299999999997</v>
          </cell>
          <cell r="H208">
            <v>-2147483648</v>
          </cell>
          <cell r="I208">
            <v>-2147483648</v>
          </cell>
          <cell r="J208" t="str">
            <v>20200605_132945000</v>
          </cell>
          <cell r="K208" t="str">
            <v>淨值</v>
          </cell>
          <cell r="L208">
            <v>47.5685</v>
          </cell>
          <cell r="M208">
            <v>50.96</v>
          </cell>
        </row>
        <row r="209">
          <cell r="B209" t="str">
            <v>00680L</v>
          </cell>
          <cell r="C209" t="str">
            <v>V_INDEX</v>
          </cell>
          <cell r="D209">
            <v>29.21822564875897</v>
          </cell>
          <cell r="E209">
            <v>29.209078644424523</v>
          </cell>
          <cell r="F209">
            <v>29.21822564875897</v>
          </cell>
          <cell r="G209">
            <v>29.561</v>
          </cell>
          <cell r="H209">
            <v>0</v>
          </cell>
          <cell r="I209">
            <v>0</v>
          </cell>
          <cell r="J209" t="str">
            <v>20200605_135253514</v>
          </cell>
          <cell r="K209" t="str">
            <v>淨值</v>
          </cell>
          <cell r="L209">
            <v>29.21822564875897</v>
          </cell>
          <cell r="M209">
            <v>31.05</v>
          </cell>
        </row>
        <row r="210">
          <cell r="B210" t="str">
            <v>00681R</v>
          </cell>
          <cell r="C210" t="str">
            <v>V_INDEX</v>
          </cell>
          <cell r="D210">
            <v>13.304775664661067</v>
          </cell>
          <cell r="E210">
            <v>13.304775664661067</v>
          </cell>
          <cell r="F210">
            <v>13.306624345426716</v>
          </cell>
          <cell r="G210">
            <v>13.250745054689318</v>
          </cell>
          <cell r="H210">
            <v>0</v>
          </cell>
          <cell r="I210">
            <v>0</v>
          </cell>
          <cell r="J210" t="str">
            <v>20200605_135253514</v>
          </cell>
          <cell r="K210" t="str">
            <v>淨值</v>
          </cell>
          <cell r="L210">
            <v>13.304775664661067</v>
          </cell>
          <cell r="M210">
            <v>13.38</v>
          </cell>
        </row>
        <row r="211">
          <cell r="B211" t="str">
            <v>00687B</v>
          </cell>
          <cell r="C211" t="str">
            <v>V_INDEX</v>
          </cell>
          <cell r="D211">
            <v>49.8611</v>
          </cell>
          <cell r="E211">
            <v>-7.9228162514264338E+28</v>
          </cell>
          <cell r="F211">
            <v>-7.9228162514264338E+28</v>
          </cell>
          <cell r="G211">
            <v>50.146099999999997</v>
          </cell>
          <cell r="H211">
            <v>-2147483648</v>
          </cell>
          <cell r="I211">
            <v>-2147483648</v>
          </cell>
          <cell r="J211" t="str">
            <v>20200605_132928000</v>
          </cell>
          <cell r="K211" t="str">
            <v>淨值</v>
          </cell>
          <cell r="L211">
            <v>49.8611</v>
          </cell>
          <cell r="M211">
            <v>40.5</v>
          </cell>
        </row>
        <row r="212">
          <cell r="B212" t="str">
            <v>00688L</v>
          </cell>
          <cell r="C212" t="str">
            <v>V_INDEX</v>
          </cell>
          <cell r="D212">
            <v>29.627716336273139</v>
          </cell>
          <cell r="E212">
            <v>29.618395677323896</v>
          </cell>
          <cell r="F212">
            <v>29.627716336273139</v>
          </cell>
          <cell r="G212">
            <v>30.017107212822797</v>
          </cell>
          <cell r="H212">
            <v>0</v>
          </cell>
          <cell r="I212">
            <v>0</v>
          </cell>
          <cell r="J212" t="str">
            <v>20200605_135253514</v>
          </cell>
          <cell r="K212" t="str">
            <v>淨值</v>
          </cell>
          <cell r="L212">
            <v>29.627716336273139</v>
          </cell>
          <cell r="M212">
            <v>42.03</v>
          </cell>
        </row>
        <row r="213">
          <cell r="B213" t="str">
            <v>00689R</v>
          </cell>
          <cell r="C213" t="str">
            <v>V_INDEX</v>
          </cell>
          <cell r="D213">
            <v>13.644976551070391</v>
          </cell>
          <cell r="E213">
            <v>13.644976551070391</v>
          </cell>
          <cell r="F213">
            <v>13.646867773511545</v>
          </cell>
          <cell r="G213">
            <v>13.589815209287464</v>
          </cell>
          <cell r="H213">
            <v>0</v>
          </cell>
          <cell r="I213">
            <v>0</v>
          </cell>
          <cell r="J213" t="str">
            <v>20200605_135253514</v>
          </cell>
          <cell r="K213" t="str">
            <v>淨值</v>
          </cell>
          <cell r="L213">
            <v>13.644976551070391</v>
          </cell>
          <cell r="M213">
            <v>50.92</v>
          </cell>
        </row>
        <row r="214">
          <cell r="B214" t="str">
            <v>00694B</v>
          </cell>
          <cell r="C214" t="str">
            <v>V_INDEX</v>
          </cell>
          <cell r="D214">
            <v>40.405999999999999</v>
          </cell>
          <cell r="E214">
            <v>-7.9228162514264338E+28</v>
          </cell>
          <cell r="F214">
            <v>-7.9228162514264338E+28</v>
          </cell>
          <cell r="G214">
            <v>40.507199999999997</v>
          </cell>
          <cell r="H214">
            <v>-2147483648</v>
          </cell>
          <cell r="I214">
            <v>-2147483648</v>
          </cell>
          <cell r="J214" t="str">
            <v>20200605_132941000</v>
          </cell>
          <cell r="K214" t="str">
            <v>淨值</v>
          </cell>
          <cell r="L214">
            <v>40.405999999999999</v>
          </cell>
          <cell r="M214">
            <v>44.52</v>
          </cell>
        </row>
        <row r="215">
          <cell r="B215" t="str">
            <v>00695B</v>
          </cell>
          <cell r="C215" t="str">
            <v>V_INDEX</v>
          </cell>
          <cell r="D215">
            <v>41.6892</v>
          </cell>
          <cell r="E215">
            <v>-7.9228162514264338E+28</v>
          </cell>
          <cell r="F215">
            <v>-7.9228162514264338E+28</v>
          </cell>
          <cell r="G215">
            <v>41.837600000000002</v>
          </cell>
          <cell r="H215">
            <v>-2147483648</v>
          </cell>
          <cell r="I215">
            <v>-2147483648</v>
          </cell>
          <cell r="J215" t="str">
            <v>20200605_132941000</v>
          </cell>
          <cell r="K215" t="str">
            <v>淨值</v>
          </cell>
          <cell r="L215">
            <v>41.6892</v>
          </cell>
          <cell r="M215">
            <v>18.989999999999998</v>
          </cell>
        </row>
        <row r="216">
          <cell r="B216" t="str">
            <v>00696B</v>
          </cell>
          <cell r="C216" t="str">
            <v>V_INDEX</v>
          </cell>
          <cell r="D216">
            <v>49.789099999999998</v>
          </cell>
          <cell r="E216">
            <v>-7.9228162514264338E+28</v>
          </cell>
          <cell r="F216">
            <v>-7.9228162514264338E+28</v>
          </cell>
          <cell r="G216">
            <v>50.112499999999997</v>
          </cell>
          <cell r="H216">
            <v>-2147483648</v>
          </cell>
          <cell r="I216">
            <v>-2147483648</v>
          </cell>
          <cell r="J216" t="str">
            <v>20200605_132941000</v>
          </cell>
          <cell r="K216" t="str">
            <v>淨值</v>
          </cell>
          <cell r="L216">
            <v>49.789099999999998</v>
          </cell>
          <cell r="M216">
            <v>21.89</v>
          </cell>
        </row>
        <row r="217">
          <cell r="B217" t="str">
            <v>00697B</v>
          </cell>
          <cell r="C217" t="str">
            <v>V_INDEX</v>
          </cell>
          <cell r="D217">
            <v>44.166200000000003</v>
          </cell>
          <cell r="E217">
            <v>-7.9228162514264338E+28</v>
          </cell>
          <cell r="F217">
            <v>-7.9228162514264338E+28</v>
          </cell>
          <cell r="G217">
            <v>44.359699999999997</v>
          </cell>
          <cell r="H217">
            <v>-2147483648</v>
          </cell>
          <cell r="I217">
            <v>-2147483648</v>
          </cell>
          <cell r="J217" t="str">
            <v>20200605_132945000</v>
          </cell>
          <cell r="K217" t="str">
            <v>淨值</v>
          </cell>
          <cell r="L217">
            <v>44.166200000000003</v>
          </cell>
          <cell r="M217">
            <v>11.2</v>
          </cell>
        </row>
        <row r="218">
          <cell r="B218" t="str">
            <v>00710B</v>
          </cell>
          <cell r="C218" t="str">
            <v>V_INDEX</v>
          </cell>
          <cell r="D218">
            <v>18.96</v>
          </cell>
          <cell r="E218">
            <v>-7.9228162514264338E+28</v>
          </cell>
          <cell r="F218">
            <v>-7.9228162514264338E+28</v>
          </cell>
          <cell r="G218">
            <v>19.02</v>
          </cell>
          <cell r="H218">
            <v>-2147483648</v>
          </cell>
          <cell r="I218">
            <v>-2147483648</v>
          </cell>
          <cell r="J218" t="str">
            <v>20200605_132948000</v>
          </cell>
          <cell r="K218" t="str">
            <v>淨值</v>
          </cell>
          <cell r="L218">
            <v>18.96</v>
          </cell>
          <cell r="M218">
            <v>19.329999999999998</v>
          </cell>
        </row>
        <row r="219">
          <cell r="B219" t="str">
            <v>00711B</v>
          </cell>
          <cell r="C219" t="str">
            <v>V_INDEX</v>
          </cell>
          <cell r="D219">
            <v>21.76</v>
          </cell>
          <cell r="E219">
            <v>-7.9228162514264338E+28</v>
          </cell>
          <cell r="F219">
            <v>-7.9228162514264338E+28</v>
          </cell>
          <cell r="G219">
            <v>21.83</v>
          </cell>
          <cell r="H219">
            <v>-2147483648</v>
          </cell>
          <cell r="I219">
            <v>-2147483648</v>
          </cell>
          <cell r="J219" t="str">
            <v>20200605_132948000</v>
          </cell>
          <cell r="K219" t="str">
            <v>淨值</v>
          </cell>
          <cell r="L219">
            <v>21.76</v>
          </cell>
          <cell r="M219">
            <v>32.25</v>
          </cell>
        </row>
        <row r="220">
          <cell r="B220" t="str">
            <v>00712</v>
          </cell>
          <cell r="C220" t="str">
            <v>V_INDEX</v>
          </cell>
          <cell r="D220">
            <v>11.2</v>
          </cell>
          <cell r="E220">
            <v>-7.9228162514264338E+28</v>
          </cell>
          <cell r="F220">
            <v>-7.9228162514264338E+28</v>
          </cell>
          <cell r="G220">
            <v>11.24</v>
          </cell>
          <cell r="H220">
            <v>-2147483648</v>
          </cell>
          <cell r="I220">
            <v>-2147483648</v>
          </cell>
          <cell r="J220" t="str">
            <v>20200605_132948000</v>
          </cell>
          <cell r="K220" t="str">
            <v>淨值</v>
          </cell>
          <cell r="L220">
            <v>11.2</v>
          </cell>
          <cell r="M220">
            <v>45.7</v>
          </cell>
        </row>
        <row r="221">
          <cell r="B221" t="str">
            <v>00718B</v>
          </cell>
          <cell r="C221" t="str">
            <v>V_INDEX</v>
          </cell>
          <cell r="D221">
            <v>19.3552</v>
          </cell>
          <cell r="E221">
            <v>-7.9228162514264338E+28</v>
          </cell>
          <cell r="F221">
            <v>-7.9228162514264338E+28</v>
          </cell>
          <cell r="G221">
            <v>19.313400000000001</v>
          </cell>
          <cell r="H221">
            <v>-2147483648</v>
          </cell>
          <cell r="I221">
            <v>-2147483648</v>
          </cell>
          <cell r="J221" t="str">
            <v>20200605_132941000</v>
          </cell>
          <cell r="K221" t="str">
            <v>淨值</v>
          </cell>
          <cell r="L221">
            <v>19.3552</v>
          </cell>
          <cell r="M221">
            <v>44.45</v>
          </cell>
        </row>
        <row r="222">
          <cell r="B222" t="str">
            <v>00719B</v>
          </cell>
          <cell r="C222" t="str">
            <v>V_INDEX</v>
          </cell>
          <cell r="D222">
            <v>32.177799999999998</v>
          </cell>
          <cell r="E222">
            <v>-7.9228162514264338E+28</v>
          </cell>
          <cell r="F222">
            <v>-7.9228162514264338E+28</v>
          </cell>
          <cell r="G222">
            <v>32.283200000000001</v>
          </cell>
          <cell r="H222">
            <v>-2147483648</v>
          </cell>
          <cell r="I222">
            <v>-2147483648</v>
          </cell>
          <cell r="J222" t="str">
            <v>20200605_132945000</v>
          </cell>
          <cell r="K222" t="str">
            <v>淨值</v>
          </cell>
          <cell r="L222">
            <v>32.177799999999998</v>
          </cell>
          <cell r="M222">
            <v>49.63</v>
          </cell>
        </row>
        <row r="223">
          <cell r="B223" t="str">
            <v>00720B</v>
          </cell>
          <cell r="C223" t="str">
            <v>V_INDEX</v>
          </cell>
          <cell r="D223">
            <v>45.4711</v>
          </cell>
          <cell r="E223">
            <v>-7.9228162514264338E+28</v>
          </cell>
          <cell r="F223">
            <v>-7.9228162514264338E+28</v>
          </cell>
          <cell r="G223">
            <v>45.609200000000001</v>
          </cell>
          <cell r="H223">
            <v>-2147483648</v>
          </cell>
          <cell r="I223">
            <v>-2147483648</v>
          </cell>
          <cell r="J223" t="str">
            <v>20200605_132945000</v>
          </cell>
          <cell r="K223" t="str">
            <v>淨值</v>
          </cell>
          <cell r="L223">
            <v>45.4711</v>
          </cell>
          <cell r="M223">
            <v>46.2</v>
          </cell>
        </row>
        <row r="224">
          <cell r="B224" t="str">
            <v>00721B</v>
          </cell>
          <cell r="C224" t="str">
            <v>V_INDEX</v>
          </cell>
          <cell r="D224">
            <v>44.462299999999999</v>
          </cell>
          <cell r="E224">
            <v>-7.9228162514264338E+28</v>
          </cell>
          <cell r="F224">
            <v>-7.9228162514264338E+28</v>
          </cell>
          <cell r="G224">
            <v>44.409599999999998</v>
          </cell>
          <cell r="H224">
            <v>-2147483648</v>
          </cell>
          <cell r="I224">
            <v>-2147483648</v>
          </cell>
          <cell r="J224" t="str">
            <v>20200605_132945000</v>
          </cell>
          <cell r="K224" t="str">
            <v>淨值</v>
          </cell>
          <cell r="L224">
            <v>44.462299999999999</v>
          </cell>
          <cell r="M224">
            <v>44.28</v>
          </cell>
        </row>
        <row r="225">
          <cell r="B225" t="str">
            <v>00722B</v>
          </cell>
          <cell r="C225" t="str">
            <v>V_INDEX</v>
          </cell>
          <cell r="D225">
            <v>49.419400000000003</v>
          </cell>
          <cell r="E225">
            <v>-7.9228162514264338E+28</v>
          </cell>
          <cell r="F225">
            <v>-7.9228162514264338E+28</v>
          </cell>
          <cell r="G225">
            <v>49.517299999999999</v>
          </cell>
          <cell r="H225">
            <v>-2147483648</v>
          </cell>
          <cell r="I225">
            <v>-2147483648</v>
          </cell>
          <cell r="J225" t="str">
            <v>20200605_132945000</v>
          </cell>
          <cell r="K225" t="str">
            <v>淨值</v>
          </cell>
          <cell r="L225">
            <v>49.419400000000003</v>
          </cell>
          <cell r="M225">
            <v>44.14</v>
          </cell>
        </row>
        <row r="226">
          <cell r="B226" t="str">
            <v>00723B</v>
          </cell>
          <cell r="C226" t="str">
            <v>V_INDEX</v>
          </cell>
          <cell r="D226">
            <v>45.675199999999997</v>
          </cell>
          <cell r="E226">
            <v>-7.9228162514264338E+28</v>
          </cell>
          <cell r="F226">
            <v>-7.9228162514264338E+28</v>
          </cell>
          <cell r="G226">
            <v>45.766199999999998</v>
          </cell>
          <cell r="H226">
            <v>-2147483648</v>
          </cell>
          <cell r="I226">
            <v>-2147483648</v>
          </cell>
          <cell r="J226" t="str">
            <v>20200605_132945000</v>
          </cell>
          <cell r="K226" t="str">
            <v>淨值</v>
          </cell>
          <cell r="L226">
            <v>45.675199999999997</v>
          </cell>
          <cell r="M226">
            <v>43.84</v>
          </cell>
        </row>
        <row r="227">
          <cell r="B227" t="str">
            <v>00724B</v>
          </cell>
          <cell r="C227" t="str">
            <v>V_INDEX</v>
          </cell>
          <cell r="D227">
            <v>44.119300000000003</v>
          </cell>
          <cell r="E227">
            <v>-7.9228162514264338E+28</v>
          </cell>
          <cell r="F227">
            <v>-7.9228162514264338E+28</v>
          </cell>
          <cell r="G227">
            <v>44.206400000000002</v>
          </cell>
          <cell r="H227">
            <v>-2147483648</v>
          </cell>
          <cell r="I227">
            <v>-2147483648</v>
          </cell>
          <cell r="J227" t="str">
            <v>20200605_132945000</v>
          </cell>
          <cell r="K227" t="str">
            <v>淨值</v>
          </cell>
          <cell r="L227">
            <v>44.119300000000003</v>
          </cell>
          <cell r="M227">
            <v>39.380000000000003</v>
          </cell>
        </row>
        <row r="228">
          <cell r="B228" t="str">
            <v>00725B</v>
          </cell>
          <cell r="C228" t="str">
            <v>V_INDEX</v>
          </cell>
          <cell r="D228">
            <v>43.873699999999999</v>
          </cell>
          <cell r="E228">
            <v>-7.9228162514264338E+28</v>
          </cell>
          <cell r="F228">
            <v>-7.9228162514264338E+28</v>
          </cell>
          <cell r="G228">
            <v>44.017200000000003</v>
          </cell>
          <cell r="H228">
            <v>-2147483648</v>
          </cell>
          <cell r="I228">
            <v>-2147483648</v>
          </cell>
          <cell r="J228" t="str">
            <v>20200605_132928000</v>
          </cell>
          <cell r="K228" t="str">
            <v>淨值</v>
          </cell>
          <cell r="L228">
            <v>43.873699999999999</v>
          </cell>
          <cell r="M228">
            <v>37.799999999999997</v>
          </cell>
        </row>
        <row r="229">
          <cell r="B229" t="str">
            <v>00726B</v>
          </cell>
          <cell r="C229" t="str">
            <v>V_INDEX</v>
          </cell>
          <cell r="D229">
            <v>43.758400000000002</v>
          </cell>
          <cell r="E229">
            <v>-7.9228162514264338E+28</v>
          </cell>
          <cell r="F229">
            <v>-7.9228162514264338E+28</v>
          </cell>
          <cell r="G229">
            <v>43.811</v>
          </cell>
          <cell r="H229">
            <v>-2147483648</v>
          </cell>
          <cell r="I229">
            <v>-2147483648</v>
          </cell>
          <cell r="J229" t="str">
            <v>20200605_132928000</v>
          </cell>
          <cell r="K229" t="str">
            <v>淨值</v>
          </cell>
          <cell r="L229">
            <v>43.758400000000002</v>
          </cell>
          <cell r="M229">
            <v>21.27</v>
          </cell>
        </row>
        <row r="230">
          <cell r="B230" t="str">
            <v>00727B</v>
          </cell>
          <cell r="C230" t="str">
            <v>V_INDEX</v>
          </cell>
          <cell r="D230">
            <v>39.290599999999998</v>
          </cell>
          <cell r="E230">
            <v>-7.9228162514264338E+28</v>
          </cell>
          <cell r="F230">
            <v>-7.9228162514264338E+28</v>
          </cell>
          <cell r="G230">
            <v>39.360900000000001</v>
          </cell>
          <cell r="H230">
            <v>-2147483648</v>
          </cell>
          <cell r="I230">
            <v>-2147483648</v>
          </cell>
          <cell r="J230" t="str">
            <v>20200605_132928000</v>
          </cell>
          <cell r="K230" t="str">
            <v>淨值</v>
          </cell>
          <cell r="L230">
            <v>39.290599999999998</v>
          </cell>
          <cell r="M230">
            <v>48.37</v>
          </cell>
        </row>
        <row r="231">
          <cell r="B231" t="str">
            <v>00732</v>
          </cell>
          <cell r="C231" t="str">
            <v>V_INDEX</v>
          </cell>
          <cell r="D231">
            <v>37.795400000000001</v>
          </cell>
          <cell r="E231">
            <v>-7.9228162514264338E+28</v>
          </cell>
          <cell r="F231">
            <v>-7.9228162514264338E+28</v>
          </cell>
          <cell r="G231">
            <v>37.735700000000001</v>
          </cell>
          <cell r="H231">
            <v>-2147483648</v>
          </cell>
          <cell r="I231">
            <v>-2147483648</v>
          </cell>
          <cell r="J231" t="str">
            <v>20200605_132913000</v>
          </cell>
          <cell r="K231" t="str">
            <v>淨值</v>
          </cell>
          <cell r="L231">
            <v>37.795400000000001</v>
          </cell>
          <cell r="M231">
            <v>38.69</v>
          </cell>
        </row>
        <row r="232">
          <cell r="B232" t="str">
            <v>00734B</v>
          </cell>
          <cell r="C232" t="str">
            <v>V_INDEX</v>
          </cell>
          <cell r="D232">
            <v>21.16</v>
          </cell>
          <cell r="E232">
            <v>-7.9228162514264338E+28</v>
          </cell>
          <cell r="F232">
            <v>-7.9228162514264338E+28</v>
          </cell>
          <cell r="G232">
            <v>21.2</v>
          </cell>
          <cell r="H232">
            <v>-2147483648</v>
          </cell>
          <cell r="I232">
            <v>-2147483648</v>
          </cell>
          <cell r="J232" t="str">
            <v>20200605_132945000</v>
          </cell>
          <cell r="K232" t="str">
            <v>淨值</v>
          </cell>
          <cell r="L232">
            <v>21.16</v>
          </cell>
          <cell r="M232">
            <v>40.909999999999997</v>
          </cell>
        </row>
        <row r="233">
          <cell r="B233" t="str">
            <v>00740B</v>
          </cell>
          <cell r="C233" t="str">
            <v>V_INDEX</v>
          </cell>
          <cell r="D233">
            <v>48.142499999999998</v>
          </cell>
          <cell r="E233">
            <v>-7.9228162514264338E+28</v>
          </cell>
          <cell r="F233">
            <v>-7.9228162514264338E+28</v>
          </cell>
          <cell r="G233">
            <v>48.254800000000003</v>
          </cell>
          <cell r="H233">
            <v>-2147483648</v>
          </cell>
          <cell r="I233">
            <v>-2147483648</v>
          </cell>
          <cell r="J233" t="str">
            <v>20200605_132941000</v>
          </cell>
          <cell r="K233" t="str">
            <v>淨值</v>
          </cell>
          <cell r="L233">
            <v>48.142499999999998</v>
          </cell>
          <cell r="M233">
            <v>38.83</v>
          </cell>
        </row>
        <row r="234">
          <cell r="B234" t="str">
            <v>00741B</v>
          </cell>
          <cell r="C234" t="str">
            <v>V_INDEX</v>
          </cell>
          <cell r="D234">
            <v>38.6143</v>
          </cell>
          <cell r="E234">
            <v>-7.9228162514264338E+28</v>
          </cell>
          <cell r="F234">
            <v>-7.9228162514264338E+28</v>
          </cell>
          <cell r="G234">
            <v>38.704799999999999</v>
          </cell>
          <cell r="H234">
            <v>-2147483648</v>
          </cell>
          <cell r="I234">
            <v>-2147483648</v>
          </cell>
          <cell r="J234" t="str">
            <v>20200605_132941000</v>
          </cell>
          <cell r="K234" t="str">
            <v>淨值</v>
          </cell>
          <cell r="L234">
            <v>38.6143</v>
          </cell>
          <cell r="M234">
            <v>47.49</v>
          </cell>
        </row>
        <row r="235">
          <cell r="B235" t="str">
            <v>00744B</v>
          </cell>
          <cell r="C235" t="str">
            <v>V_INDEX</v>
          </cell>
          <cell r="D235">
            <v>40.9178</v>
          </cell>
          <cell r="E235">
            <v>-7.9228162514264338E+28</v>
          </cell>
          <cell r="F235">
            <v>-7.9228162514264338E+28</v>
          </cell>
          <cell r="G235">
            <v>40.922499999999999</v>
          </cell>
          <cell r="H235">
            <v>-2147483648</v>
          </cell>
          <cell r="I235">
            <v>-2147483648</v>
          </cell>
          <cell r="J235" t="str">
            <v>20200605_132928000</v>
          </cell>
          <cell r="K235" t="str">
            <v>淨值</v>
          </cell>
          <cell r="L235">
            <v>40.9178</v>
          </cell>
          <cell r="M235">
            <v>49.73</v>
          </cell>
        </row>
        <row r="236">
          <cell r="B236" t="str">
            <v>00745B</v>
          </cell>
          <cell r="C236" t="str">
            <v>V_INDEX</v>
          </cell>
          <cell r="D236">
            <v>38.863</v>
          </cell>
          <cell r="E236">
            <v>-7.9228162514264338E+28</v>
          </cell>
          <cell r="F236">
            <v>-7.9228162514264338E+28</v>
          </cell>
          <cell r="G236">
            <v>38.780200000000001</v>
          </cell>
          <cell r="H236">
            <v>-2147483648</v>
          </cell>
          <cell r="I236">
            <v>-2147483648</v>
          </cell>
          <cell r="J236" t="str">
            <v>20200605_132941000</v>
          </cell>
          <cell r="K236" t="str">
            <v>淨值</v>
          </cell>
          <cell r="L236">
            <v>38.863</v>
          </cell>
          <cell r="M236">
            <v>40.880000000000003</v>
          </cell>
        </row>
        <row r="237">
          <cell r="B237" t="str">
            <v>00746B</v>
          </cell>
          <cell r="C237" t="str">
            <v>V_INDEX</v>
          </cell>
          <cell r="D237">
            <v>47.073599999999999</v>
          </cell>
          <cell r="E237">
            <v>-7.9228162514264338E+28</v>
          </cell>
          <cell r="F237">
            <v>-7.9228162514264338E+28</v>
          </cell>
          <cell r="G237">
            <v>47.183599999999998</v>
          </cell>
          <cell r="H237">
            <v>-2147483648</v>
          </cell>
          <cell r="I237">
            <v>-2147483648</v>
          </cell>
          <cell r="J237" t="str">
            <v>20200605_132941000</v>
          </cell>
          <cell r="K237" t="str">
            <v>淨值</v>
          </cell>
          <cell r="L237">
            <v>47.073599999999999</v>
          </cell>
          <cell r="M237">
            <v>46.76</v>
          </cell>
        </row>
        <row r="238">
          <cell r="B238" t="str">
            <v>00747B</v>
          </cell>
          <cell r="C238" t="str">
            <v>V_INDEX</v>
          </cell>
          <cell r="D238">
            <v>49.708100000000002</v>
          </cell>
          <cell r="E238">
            <v>-7.9228162514264338E+28</v>
          </cell>
          <cell r="F238">
            <v>-7.9228162514264338E+28</v>
          </cell>
          <cell r="G238">
            <v>49.739899999999999</v>
          </cell>
          <cell r="H238">
            <v>-2147483648</v>
          </cell>
          <cell r="I238">
            <v>-2147483648</v>
          </cell>
          <cell r="J238" t="str">
            <v>20200605_132948000</v>
          </cell>
          <cell r="K238" t="str">
            <v>淨值</v>
          </cell>
          <cell r="L238">
            <v>49.708100000000002</v>
          </cell>
          <cell r="M238">
            <v>47.47</v>
          </cell>
        </row>
        <row r="239">
          <cell r="B239" t="str">
            <v>00748B</v>
          </cell>
          <cell r="C239" t="str">
            <v>V_INDEX</v>
          </cell>
          <cell r="D239">
            <v>40.9</v>
          </cell>
          <cell r="E239">
            <v>-7.9228162514264338E+28</v>
          </cell>
          <cell r="F239">
            <v>-7.9228162514264338E+28</v>
          </cell>
          <cell r="G239">
            <v>40.64</v>
          </cell>
          <cell r="H239">
            <v>-2147483648</v>
          </cell>
          <cell r="I239">
            <v>-2147483648</v>
          </cell>
          <cell r="J239" t="str">
            <v>20200605_132949000</v>
          </cell>
          <cell r="K239" t="str">
            <v>淨值</v>
          </cell>
          <cell r="L239">
            <v>40.9</v>
          </cell>
          <cell r="M239">
            <v>48.65</v>
          </cell>
        </row>
        <row r="240">
          <cell r="B240" t="str">
            <v>00749B</v>
          </cell>
          <cell r="C240" t="str">
            <v>V_INDEX</v>
          </cell>
          <cell r="D240">
            <v>46.43</v>
          </cell>
          <cell r="E240">
            <v>-7.9228162514264338E+28</v>
          </cell>
          <cell r="F240">
            <v>-7.9228162514264338E+28</v>
          </cell>
          <cell r="G240">
            <v>46.59</v>
          </cell>
          <cell r="H240">
            <v>-2147483648</v>
          </cell>
          <cell r="I240">
            <v>-2147483648</v>
          </cell>
          <cell r="J240" t="str">
            <v>20200605_132949000</v>
          </cell>
          <cell r="K240" t="str">
            <v>淨值</v>
          </cell>
          <cell r="L240">
            <v>46.43</v>
          </cell>
          <cell r="M240">
            <v>49.95</v>
          </cell>
        </row>
        <row r="241">
          <cell r="B241" t="str">
            <v>00750B</v>
          </cell>
          <cell r="C241" t="str">
            <v>V_INDEX</v>
          </cell>
          <cell r="D241">
            <v>46.96</v>
          </cell>
          <cell r="E241">
            <v>-7.9228162514264338E+28</v>
          </cell>
          <cell r="F241">
            <v>-7.9228162514264338E+28</v>
          </cell>
          <cell r="G241">
            <v>47.12</v>
          </cell>
          <cell r="H241">
            <v>-2147483648</v>
          </cell>
          <cell r="I241">
            <v>-2147483648</v>
          </cell>
          <cell r="J241" t="str">
            <v>20200605_132949000</v>
          </cell>
          <cell r="K241" t="str">
            <v>淨值</v>
          </cell>
          <cell r="L241">
            <v>46.96</v>
          </cell>
          <cell r="M241">
            <v>46.32</v>
          </cell>
        </row>
        <row r="242">
          <cell r="B242" t="str">
            <v>00751B</v>
          </cell>
          <cell r="C242" t="str">
            <v>V_INDEX</v>
          </cell>
          <cell r="D242">
            <v>48.154400000000003</v>
          </cell>
          <cell r="E242">
            <v>-7.9228162514264338E+28</v>
          </cell>
          <cell r="F242">
            <v>-7.9228162514264338E+28</v>
          </cell>
          <cell r="G242">
            <v>48.305399999999999</v>
          </cell>
          <cell r="H242">
            <v>-2147483648</v>
          </cell>
          <cell r="I242">
            <v>-2147483648</v>
          </cell>
          <cell r="J242" t="str">
            <v>20200605_132945000</v>
          </cell>
          <cell r="K242" t="str">
            <v>淨值</v>
          </cell>
          <cell r="L242">
            <v>48.154400000000003</v>
          </cell>
          <cell r="M242">
            <v>48.72</v>
          </cell>
        </row>
        <row r="243">
          <cell r="B243" t="str">
            <v>00754B</v>
          </cell>
          <cell r="C243" t="str">
            <v>V_INDEX</v>
          </cell>
          <cell r="D243">
            <v>49.334800000000001</v>
          </cell>
          <cell r="E243">
            <v>-7.9228162514264338E+28</v>
          </cell>
          <cell r="F243">
            <v>-7.9228162514264338E+28</v>
          </cell>
          <cell r="G243">
            <v>49.433300000000003</v>
          </cell>
          <cell r="H243">
            <v>-2147483648</v>
          </cell>
          <cell r="I243">
            <v>-2147483648</v>
          </cell>
          <cell r="J243" t="str">
            <v>20200605_132945000</v>
          </cell>
          <cell r="K243" t="str">
            <v>淨值</v>
          </cell>
          <cell r="L243">
            <v>49.334800000000001</v>
          </cell>
          <cell r="M243">
            <v>61.96</v>
          </cell>
        </row>
        <row r="244">
          <cell r="B244" t="str">
            <v>00755B</v>
          </cell>
          <cell r="C244" t="str">
            <v>V_INDEX</v>
          </cell>
          <cell r="D244">
            <v>45.924900000000001</v>
          </cell>
          <cell r="E244">
            <v>-7.9228162514264338E+28</v>
          </cell>
          <cell r="F244">
            <v>-7.9228162514264338E+28</v>
          </cell>
          <cell r="G244">
            <v>46.016199999999998</v>
          </cell>
          <cell r="H244">
            <v>-2147483648</v>
          </cell>
          <cell r="I244">
            <v>-2147483648</v>
          </cell>
          <cell r="J244" t="str">
            <v>20200605_132945000</v>
          </cell>
          <cell r="K244" t="str">
            <v>淨值</v>
          </cell>
          <cell r="L244">
            <v>45.924900000000001</v>
          </cell>
          <cell r="M244">
            <v>75.39</v>
          </cell>
        </row>
        <row r="245">
          <cell r="B245" t="str">
            <v>00756B</v>
          </cell>
          <cell r="C245" t="str">
            <v>V_INDEX</v>
          </cell>
          <cell r="D245">
            <v>48.454300000000003</v>
          </cell>
          <cell r="E245">
            <v>-7.9228162514264338E+28</v>
          </cell>
          <cell r="F245">
            <v>-7.9228162514264338E+28</v>
          </cell>
          <cell r="G245">
            <v>48.550199999999997</v>
          </cell>
          <cell r="H245">
            <v>-2147483648</v>
          </cell>
          <cell r="I245">
            <v>-2147483648</v>
          </cell>
          <cell r="J245" t="str">
            <v>20200605_132945000</v>
          </cell>
          <cell r="K245" t="str">
            <v>淨值</v>
          </cell>
          <cell r="L245">
            <v>48.454300000000003</v>
          </cell>
          <cell r="M245">
            <v>66.02</v>
          </cell>
        </row>
        <row r="246">
          <cell r="B246" t="str">
            <v>00758B</v>
          </cell>
          <cell r="C246" t="str">
            <v>V_INDEX</v>
          </cell>
          <cell r="D246">
            <v>61.82</v>
          </cell>
          <cell r="E246">
            <v>-7.9228162514264338E+28</v>
          </cell>
          <cell r="F246">
            <v>-7.9228162514264338E+28</v>
          </cell>
          <cell r="G246">
            <v>62.02</v>
          </cell>
          <cell r="H246">
            <v>-2147483648</v>
          </cell>
          <cell r="I246">
            <v>-2147483648</v>
          </cell>
          <cell r="J246" t="str">
            <v>20200605_132947000</v>
          </cell>
          <cell r="K246" t="str">
            <v>淨值</v>
          </cell>
          <cell r="L246">
            <v>61.82</v>
          </cell>
          <cell r="M246">
            <v>49.76</v>
          </cell>
        </row>
        <row r="247">
          <cell r="B247" t="str">
            <v>00759B</v>
          </cell>
          <cell r="C247" t="str">
            <v>V_INDEX</v>
          </cell>
          <cell r="D247">
            <v>74.86</v>
          </cell>
          <cell r="E247">
            <v>-7.9228162514264338E+28</v>
          </cell>
          <cell r="F247">
            <v>-7.9228162514264338E+28</v>
          </cell>
          <cell r="G247">
            <v>75.11</v>
          </cell>
          <cell r="H247">
            <v>-2147483648</v>
          </cell>
          <cell r="I247">
            <v>-2147483648</v>
          </cell>
          <cell r="J247" t="str">
            <v>20200605_132948000</v>
          </cell>
          <cell r="K247" t="str">
            <v>淨值</v>
          </cell>
          <cell r="L247">
            <v>74.86</v>
          </cell>
          <cell r="M247">
            <v>51.45</v>
          </cell>
        </row>
        <row r="248">
          <cell r="B248" t="str">
            <v>00760B</v>
          </cell>
          <cell r="C248" t="str">
            <v>V_INDEX</v>
          </cell>
          <cell r="D248">
            <v>65.86</v>
          </cell>
          <cell r="E248">
            <v>-7.9228162514264338E+28</v>
          </cell>
          <cell r="F248">
            <v>-7.9228162514264338E+28</v>
          </cell>
          <cell r="G248">
            <v>66.08</v>
          </cell>
          <cell r="H248">
            <v>-2147483648</v>
          </cell>
          <cell r="I248">
            <v>-2147483648</v>
          </cell>
          <cell r="J248" t="str">
            <v>20200605_132948000</v>
          </cell>
          <cell r="K248" t="str">
            <v>淨值</v>
          </cell>
          <cell r="L248">
            <v>65.86</v>
          </cell>
          <cell r="M248">
            <v>39.07</v>
          </cell>
        </row>
        <row r="249">
          <cell r="B249" t="str">
            <v>00761B</v>
          </cell>
          <cell r="C249" t="str">
            <v>V_INDEX</v>
          </cell>
          <cell r="D249">
            <v>49.160299999999999</v>
          </cell>
          <cell r="E249">
            <v>-7.9228162514264338E+28</v>
          </cell>
          <cell r="F249">
            <v>-7.9228162514264338E+28</v>
          </cell>
          <cell r="G249">
            <v>49.452800000000003</v>
          </cell>
          <cell r="H249">
            <v>-2147483648</v>
          </cell>
          <cell r="I249">
            <v>-2147483648</v>
          </cell>
          <cell r="J249" t="str">
            <v>20200605_132928000</v>
          </cell>
          <cell r="K249" t="str">
            <v>淨值</v>
          </cell>
          <cell r="L249">
            <v>49.160299999999999</v>
          </cell>
          <cell r="M249">
            <v>80.28</v>
          </cell>
        </row>
        <row r="250">
          <cell r="B250" t="str">
            <v>00764B</v>
          </cell>
          <cell r="C250" t="str">
            <v>V_INDEX</v>
          </cell>
          <cell r="D250">
            <v>50.5901</v>
          </cell>
          <cell r="E250">
            <v>-7.9228162514264338E+28</v>
          </cell>
          <cell r="F250">
            <v>-7.9228162514264338E+28</v>
          </cell>
          <cell r="G250">
            <v>50.692599999999999</v>
          </cell>
          <cell r="H250">
            <v>-2147483648</v>
          </cell>
          <cell r="I250">
            <v>-2147483648</v>
          </cell>
          <cell r="J250" t="str">
            <v>20200605_132945000</v>
          </cell>
          <cell r="K250" t="str">
            <v>淨值</v>
          </cell>
          <cell r="L250">
            <v>50.5901</v>
          </cell>
          <cell r="M250">
            <v>60.61</v>
          </cell>
        </row>
        <row r="251">
          <cell r="B251" t="str">
            <v>00765B</v>
          </cell>
          <cell r="C251" t="str">
            <v>V_INDEX</v>
          </cell>
          <cell r="D251">
            <v>38.998100000000001</v>
          </cell>
          <cell r="E251">
            <v>-7.9228162514264338E+28</v>
          </cell>
          <cell r="F251">
            <v>-7.9228162514264338E+28</v>
          </cell>
          <cell r="G251">
            <v>38.9313</v>
          </cell>
          <cell r="H251">
            <v>-2147483648</v>
          </cell>
          <cell r="I251">
            <v>-2147483648</v>
          </cell>
          <cell r="J251" t="str">
            <v>20200605_132945000</v>
          </cell>
          <cell r="K251" t="str">
            <v>淨值</v>
          </cell>
          <cell r="L251">
            <v>38.998100000000001</v>
          </cell>
          <cell r="M251">
            <v>19.14</v>
          </cell>
        </row>
        <row r="252">
          <cell r="B252" t="str">
            <v>00768B</v>
          </cell>
          <cell r="C252" t="str">
            <v>V_INDEX</v>
          </cell>
          <cell r="D252">
            <v>78.974400000000003</v>
          </cell>
          <cell r="E252">
            <v>-7.9228162514264338E+28</v>
          </cell>
          <cell r="F252">
            <v>-7.9228162514264338E+28</v>
          </cell>
          <cell r="G252">
            <v>79.234300000000005</v>
          </cell>
          <cell r="H252">
            <v>-2147483648</v>
          </cell>
          <cell r="I252">
            <v>-2147483648</v>
          </cell>
          <cell r="J252" t="str">
            <v>20200605_132948000</v>
          </cell>
          <cell r="K252" t="str">
            <v>淨值</v>
          </cell>
          <cell r="L252">
            <v>78.974400000000003</v>
          </cell>
          <cell r="M252">
            <v>48.16</v>
          </cell>
        </row>
        <row r="253">
          <cell r="B253" t="str">
            <v>00769B</v>
          </cell>
          <cell r="C253" t="str">
            <v>V_INDEX</v>
          </cell>
          <cell r="D253">
            <v>60.439599999999999</v>
          </cell>
          <cell r="E253">
            <v>-7.9228162514264338E+28</v>
          </cell>
          <cell r="F253">
            <v>-7.9228162514264338E+28</v>
          </cell>
          <cell r="G253">
            <v>60.498399999999997</v>
          </cell>
          <cell r="H253">
            <v>-2147483648</v>
          </cell>
          <cell r="I253">
            <v>-2147483648</v>
          </cell>
          <cell r="J253" t="str">
            <v>20200526_132945000</v>
          </cell>
          <cell r="K253" t="str">
            <v>淨值</v>
          </cell>
          <cell r="L253">
            <v>60.439599999999999</v>
          </cell>
          <cell r="M253">
            <v>48.11</v>
          </cell>
        </row>
        <row r="254">
          <cell r="B254" t="str">
            <v>00771</v>
          </cell>
          <cell r="C254" t="str">
            <v>V_INDEX</v>
          </cell>
          <cell r="D254">
            <v>19.14</v>
          </cell>
          <cell r="E254">
            <v>-7.9228162514264338E+28</v>
          </cell>
          <cell r="F254">
            <v>-7.9228162514264338E+28</v>
          </cell>
          <cell r="G254">
            <v>19.2</v>
          </cell>
          <cell r="H254">
            <v>-2147483648</v>
          </cell>
          <cell r="I254">
            <v>-2147483648</v>
          </cell>
          <cell r="J254" t="str">
            <v>20200605_133000000</v>
          </cell>
          <cell r="K254" t="str">
            <v>淨值</v>
          </cell>
          <cell r="L254">
            <v>19.14</v>
          </cell>
          <cell r="M254">
            <v>38.880000000000003</v>
          </cell>
        </row>
        <row r="255">
          <cell r="B255" t="str">
            <v>00772B</v>
          </cell>
          <cell r="C255" t="str">
            <v>V_INDEX</v>
          </cell>
          <cell r="D255">
            <v>47.563099999999999</v>
          </cell>
          <cell r="E255">
            <v>-7.9228162514264338E+28</v>
          </cell>
          <cell r="F255">
            <v>-7.9228162514264338E+28</v>
          </cell>
          <cell r="G255">
            <v>47.689399999999999</v>
          </cell>
          <cell r="H255">
            <v>-2147483648</v>
          </cell>
          <cell r="I255">
            <v>-2147483648</v>
          </cell>
          <cell r="J255" t="str">
            <v>20200605_132953000</v>
          </cell>
          <cell r="K255" t="str">
            <v>淨值</v>
          </cell>
          <cell r="L255">
            <v>47.563099999999999</v>
          </cell>
          <cell r="M255">
            <v>9.26</v>
          </cell>
        </row>
        <row r="256">
          <cell r="B256" t="str">
            <v>00773B</v>
          </cell>
          <cell r="C256" t="str">
            <v>V_INDEX</v>
          </cell>
          <cell r="D256">
            <v>47.731699999999996</v>
          </cell>
          <cell r="E256">
            <v>-7.9228162514264338E+28</v>
          </cell>
          <cell r="F256">
            <v>-7.9228162514264338E+28</v>
          </cell>
          <cell r="G256">
            <v>47.812899999999999</v>
          </cell>
          <cell r="H256">
            <v>-2147483648</v>
          </cell>
          <cell r="I256">
            <v>-2147483648</v>
          </cell>
          <cell r="J256" t="str">
            <v>20200605_133017000</v>
          </cell>
          <cell r="K256" t="str">
            <v>淨值</v>
          </cell>
          <cell r="L256">
            <v>47.731699999999996</v>
          </cell>
          <cell r="M256">
            <v>44.78</v>
          </cell>
        </row>
        <row r="257">
          <cell r="B257" t="str">
            <v>00774B</v>
          </cell>
          <cell r="C257" t="str">
            <v>V_INDEX</v>
          </cell>
          <cell r="D257">
            <v>38.769500000000001</v>
          </cell>
          <cell r="E257">
            <v>-7.9228162514264338E+28</v>
          </cell>
          <cell r="F257">
            <v>-7.9228162514264338E+28</v>
          </cell>
          <cell r="G257">
            <v>38.815899999999999</v>
          </cell>
          <cell r="H257">
            <v>-2147483648</v>
          </cell>
          <cell r="I257">
            <v>-2147483648</v>
          </cell>
          <cell r="J257" t="str">
            <v>20200605_132718000</v>
          </cell>
          <cell r="K257" t="str">
            <v>淨值</v>
          </cell>
          <cell r="L257">
            <v>38.769500000000001</v>
          </cell>
          <cell r="M257">
            <v>47.47</v>
          </cell>
        </row>
        <row r="258">
          <cell r="B258" t="str">
            <v>00774C</v>
          </cell>
          <cell r="C258" t="str">
            <v>V_INDEX</v>
          </cell>
          <cell r="D258">
            <v>9.2357999999999993</v>
          </cell>
          <cell r="E258">
            <v>-7.9228162514264338E+28</v>
          </cell>
          <cell r="F258">
            <v>-7.9228162514264338E+28</v>
          </cell>
          <cell r="G258">
            <v>9.2089999999999996</v>
          </cell>
          <cell r="H258">
            <v>-2147483648</v>
          </cell>
          <cell r="I258">
            <v>-2147483648</v>
          </cell>
          <cell r="J258" t="str">
            <v>20200605_132937000</v>
          </cell>
          <cell r="K258" t="str">
            <v>淨值</v>
          </cell>
          <cell r="L258">
            <v>9.2357999999999993</v>
          </cell>
          <cell r="M258">
            <v>47.6</v>
          </cell>
        </row>
        <row r="259">
          <cell r="B259" t="str">
            <v>00775B</v>
          </cell>
          <cell r="C259" t="str">
            <v>V_INDEX</v>
          </cell>
          <cell r="D259">
            <v>44.446899999999999</v>
          </cell>
          <cell r="E259">
            <v>-7.9228162514264338E+28</v>
          </cell>
          <cell r="F259">
            <v>-7.9228162514264338E+28</v>
          </cell>
          <cell r="G259">
            <v>44.637300000000003</v>
          </cell>
          <cell r="H259">
            <v>-2147483648</v>
          </cell>
          <cell r="I259">
            <v>-2147483648</v>
          </cell>
          <cell r="J259" t="str">
            <v>20200605_132903000</v>
          </cell>
          <cell r="K259" t="str">
            <v>淨值</v>
          </cell>
          <cell r="L259">
            <v>44.446899999999999</v>
          </cell>
          <cell r="M259">
            <v>52.25</v>
          </cell>
        </row>
        <row r="260">
          <cell r="B260" t="str">
            <v>00777B</v>
          </cell>
          <cell r="C260" t="str">
            <v>V_INDEX</v>
          </cell>
          <cell r="D260">
            <v>46.99</v>
          </cell>
          <cell r="E260">
            <v>-7.9228162514264338E+28</v>
          </cell>
          <cell r="F260">
            <v>-7.9228162514264338E+28</v>
          </cell>
          <cell r="G260">
            <v>47.15</v>
          </cell>
          <cell r="H260">
            <v>-2147483648</v>
          </cell>
          <cell r="I260">
            <v>-2147483648</v>
          </cell>
          <cell r="J260" t="str">
            <v>20200605_132949000</v>
          </cell>
          <cell r="K260" t="str">
            <v>淨值</v>
          </cell>
          <cell r="L260">
            <v>46.99</v>
          </cell>
          <cell r="M260">
            <v>43.42</v>
          </cell>
        </row>
        <row r="261">
          <cell r="B261" t="str">
            <v>00778B</v>
          </cell>
          <cell r="C261" t="str">
            <v>V_INDEX</v>
          </cell>
          <cell r="D261">
            <v>47.41</v>
          </cell>
          <cell r="E261">
            <v>-7.9228162514264338E+28</v>
          </cell>
          <cell r="F261">
            <v>-7.9228162514264338E+28</v>
          </cell>
          <cell r="G261">
            <v>47.57</v>
          </cell>
          <cell r="H261">
            <v>-2147483648</v>
          </cell>
          <cell r="I261">
            <v>-2147483648</v>
          </cell>
          <cell r="J261" t="str">
            <v>20200605_132949000</v>
          </cell>
          <cell r="K261" t="str">
            <v>淨值</v>
          </cell>
          <cell r="L261">
            <v>47.41</v>
          </cell>
          <cell r="M261">
            <v>47.5</v>
          </cell>
        </row>
        <row r="262">
          <cell r="B262" t="str">
            <v>00779B</v>
          </cell>
          <cell r="C262" t="str">
            <v>V_INDEX</v>
          </cell>
          <cell r="D262">
            <v>51.03</v>
          </cell>
          <cell r="E262">
            <v>-7.9228162514264338E+28</v>
          </cell>
          <cell r="F262">
            <v>-7.9228162514264338E+28</v>
          </cell>
          <cell r="G262">
            <v>51.42</v>
          </cell>
          <cell r="H262">
            <v>-2147483648</v>
          </cell>
          <cell r="I262">
            <v>-2147483648</v>
          </cell>
          <cell r="J262" t="str">
            <v>20200605_132949000</v>
          </cell>
          <cell r="K262" t="str">
            <v>淨值</v>
          </cell>
          <cell r="L262">
            <v>51.03</v>
          </cell>
          <cell r="M262">
            <v>45.77</v>
          </cell>
        </row>
        <row r="263">
          <cell r="B263" t="str">
            <v>00780B</v>
          </cell>
          <cell r="C263" t="str">
            <v>V_INDEX</v>
          </cell>
          <cell r="D263">
            <v>43.290599999999998</v>
          </cell>
          <cell r="E263">
            <v>-7.9228162514264338E+28</v>
          </cell>
          <cell r="F263">
            <v>-7.9228162514264338E+28</v>
          </cell>
          <cell r="G263">
            <v>43.420099999999998</v>
          </cell>
          <cell r="H263">
            <v>-2147483648</v>
          </cell>
          <cell r="I263">
            <v>-2147483648</v>
          </cell>
          <cell r="J263" t="str">
            <v>20200605_132928000</v>
          </cell>
          <cell r="K263" t="str">
            <v>淨值</v>
          </cell>
          <cell r="L263">
            <v>43.290599999999998</v>
          </cell>
          <cell r="M263">
            <v>40.61</v>
          </cell>
        </row>
        <row r="264">
          <cell r="B264" t="str">
            <v>00781B</v>
          </cell>
          <cell r="C264" t="str">
            <v>V_INDEX</v>
          </cell>
          <cell r="D264">
            <v>47.049500000000002</v>
          </cell>
          <cell r="E264">
            <v>-7.9228162514264338E+28</v>
          </cell>
          <cell r="F264">
            <v>-7.9228162514264338E+28</v>
          </cell>
          <cell r="G264">
            <v>47.3874</v>
          </cell>
          <cell r="H264">
            <v>-2147483648</v>
          </cell>
          <cell r="I264">
            <v>-2147483648</v>
          </cell>
          <cell r="J264" t="str">
            <v>20200605_132928000</v>
          </cell>
          <cell r="K264" t="str">
            <v>淨值</v>
          </cell>
          <cell r="L264">
            <v>47.049500000000002</v>
          </cell>
          <cell r="M264">
            <v>45.4</v>
          </cell>
        </row>
        <row r="265">
          <cell r="B265" t="str">
            <v>00782B</v>
          </cell>
          <cell r="C265" t="str">
            <v>V_INDEX</v>
          </cell>
          <cell r="D265">
            <v>45.257300000000001</v>
          </cell>
          <cell r="E265">
            <v>-7.9228162514264338E+28</v>
          </cell>
          <cell r="F265">
            <v>-7.9228162514264338E+28</v>
          </cell>
          <cell r="G265">
            <v>45.563899999999997</v>
          </cell>
          <cell r="H265">
            <v>-2147483648</v>
          </cell>
          <cell r="I265">
            <v>-2147483648</v>
          </cell>
          <cell r="J265" t="str">
            <v>20200605_132928000</v>
          </cell>
          <cell r="K265" t="str">
            <v>淨值</v>
          </cell>
          <cell r="L265">
            <v>45.257300000000001</v>
          </cell>
          <cell r="M265">
            <v>44.52</v>
          </cell>
        </row>
        <row r="266">
          <cell r="B266" t="str">
            <v>00784B</v>
          </cell>
          <cell r="C266" t="str">
            <v>V_INDEX</v>
          </cell>
          <cell r="D266">
            <v>40.486600000000003</v>
          </cell>
          <cell r="E266">
            <v>-7.9228162514264338E+28</v>
          </cell>
          <cell r="F266">
            <v>-7.9228162514264338E+28</v>
          </cell>
          <cell r="G266">
            <v>40.581200000000003</v>
          </cell>
          <cell r="H266">
            <v>-2147483648</v>
          </cell>
          <cell r="I266">
            <v>-2147483648</v>
          </cell>
          <cell r="J266" t="str">
            <v>20200605_132941000</v>
          </cell>
          <cell r="K266" t="str">
            <v>淨值</v>
          </cell>
          <cell r="L266">
            <v>40.486600000000003</v>
          </cell>
          <cell r="M266">
            <v>46.14</v>
          </cell>
        </row>
        <row r="267">
          <cell r="B267" t="str">
            <v>00785B</v>
          </cell>
          <cell r="C267" t="str">
            <v>V_INDEX</v>
          </cell>
          <cell r="D267">
            <v>45.210500000000003</v>
          </cell>
          <cell r="E267">
            <v>-7.9228162514264338E+28</v>
          </cell>
          <cell r="F267">
            <v>-7.9228162514264338E+28</v>
          </cell>
          <cell r="G267">
            <v>45.316099999999999</v>
          </cell>
          <cell r="H267">
            <v>-2147483648</v>
          </cell>
          <cell r="I267">
            <v>-2147483648</v>
          </cell>
          <cell r="J267" t="str">
            <v>20200605_132941000</v>
          </cell>
          <cell r="K267" t="str">
            <v>淨值</v>
          </cell>
          <cell r="L267">
            <v>45.210500000000003</v>
          </cell>
          <cell r="M267">
            <v>44.06</v>
          </cell>
        </row>
        <row r="268">
          <cell r="B268" t="str">
            <v>00786B</v>
          </cell>
          <cell r="C268" t="str">
            <v>V_INDEX</v>
          </cell>
          <cell r="D268">
            <v>44.341099999999997</v>
          </cell>
          <cell r="E268">
            <v>-7.9228162514264338E+28</v>
          </cell>
          <cell r="F268">
            <v>-7.9228162514264338E+28</v>
          </cell>
          <cell r="G268">
            <v>44.476799999999997</v>
          </cell>
          <cell r="H268">
            <v>-2147483648</v>
          </cell>
          <cell r="I268">
            <v>-2147483648</v>
          </cell>
          <cell r="J268" t="str">
            <v>20200605_132945000</v>
          </cell>
          <cell r="K268" t="str">
            <v>淨值</v>
          </cell>
          <cell r="L268">
            <v>44.341099999999997</v>
          </cell>
          <cell r="M268">
            <v>70.680000000000007</v>
          </cell>
        </row>
        <row r="269">
          <cell r="B269" t="str">
            <v>00787B</v>
          </cell>
          <cell r="C269" t="str">
            <v>V_INDEX</v>
          </cell>
          <cell r="D269">
            <v>45.7699</v>
          </cell>
          <cell r="E269">
            <v>-7.9228162514264338E+28</v>
          </cell>
          <cell r="F269">
            <v>-7.9228162514264338E+28</v>
          </cell>
          <cell r="G269">
            <v>45.909199999999998</v>
          </cell>
          <cell r="H269">
            <v>-2147483648</v>
          </cell>
          <cell r="I269">
            <v>-2147483648</v>
          </cell>
          <cell r="J269" t="str">
            <v>20200605_132945000</v>
          </cell>
          <cell r="K269" t="str">
            <v>淨值</v>
          </cell>
          <cell r="L269">
            <v>45.7699</v>
          </cell>
          <cell r="M269">
            <v>67.099999999999994</v>
          </cell>
        </row>
        <row r="270">
          <cell r="B270" t="str">
            <v>00788B</v>
          </cell>
          <cell r="C270" t="str">
            <v>V_INDEX</v>
          </cell>
          <cell r="D270">
            <v>43.722799999999999</v>
          </cell>
          <cell r="E270">
            <v>-7.9228162514264338E+28</v>
          </cell>
          <cell r="F270">
            <v>-7.9228162514264338E+28</v>
          </cell>
          <cell r="G270">
            <v>43.855899999999998</v>
          </cell>
          <cell r="H270">
            <v>-2147483648</v>
          </cell>
          <cell r="I270">
            <v>-2147483648</v>
          </cell>
          <cell r="J270" t="str">
            <v>20200605_132945000</v>
          </cell>
          <cell r="K270" t="str">
            <v>淨值</v>
          </cell>
          <cell r="L270">
            <v>43.722799999999999</v>
          </cell>
          <cell r="M270">
            <v>59.84</v>
          </cell>
        </row>
        <row r="271">
          <cell r="B271" t="str">
            <v>00789B</v>
          </cell>
          <cell r="C271" t="str">
            <v>V_INDEX</v>
          </cell>
          <cell r="D271">
            <v>69.973299999999995</v>
          </cell>
          <cell r="E271">
            <v>-7.9228162514264338E+28</v>
          </cell>
          <cell r="F271">
            <v>-7.9228162514264338E+28</v>
          </cell>
          <cell r="G271">
            <v>70.202600000000004</v>
          </cell>
          <cell r="H271">
            <v>-2147483648</v>
          </cell>
          <cell r="I271">
            <v>-2147483648</v>
          </cell>
          <cell r="J271" t="str">
            <v>20200605_132948000</v>
          </cell>
          <cell r="K271" t="str">
            <v>淨值</v>
          </cell>
          <cell r="L271">
            <v>69.973299999999995</v>
          </cell>
          <cell r="M271">
            <v>46.13</v>
          </cell>
        </row>
        <row r="272">
          <cell r="B272" t="str">
            <v>00790B</v>
          </cell>
          <cell r="C272" t="str">
            <v>V_INDEX</v>
          </cell>
          <cell r="D272">
            <v>66.825800000000001</v>
          </cell>
          <cell r="E272">
            <v>-7.9228162514264338E+28</v>
          </cell>
          <cell r="F272">
            <v>-7.9228162514264338E+28</v>
          </cell>
          <cell r="G272">
            <v>67.0411</v>
          </cell>
          <cell r="H272">
            <v>-2147483648</v>
          </cell>
          <cell r="I272">
            <v>-2147483648</v>
          </cell>
          <cell r="J272" t="str">
            <v>20200605_132948000</v>
          </cell>
          <cell r="K272" t="str">
            <v>淨值</v>
          </cell>
          <cell r="L272">
            <v>66.825800000000001</v>
          </cell>
          <cell r="M272">
            <v>46.44</v>
          </cell>
        </row>
        <row r="273">
          <cell r="B273" t="str">
            <v>00791B</v>
          </cell>
          <cell r="C273" t="str">
            <v>V_INDEX</v>
          </cell>
          <cell r="D273">
            <v>59.755499999999998</v>
          </cell>
          <cell r="E273">
            <v>-7.9228162514264338E+28</v>
          </cell>
          <cell r="F273">
            <v>-7.9228162514264338E+28</v>
          </cell>
          <cell r="G273">
            <v>59.949800000000003</v>
          </cell>
          <cell r="H273">
            <v>-2147483648</v>
          </cell>
          <cell r="I273">
            <v>-2147483648</v>
          </cell>
          <cell r="J273" t="str">
            <v>20200605_132948000</v>
          </cell>
          <cell r="K273" t="str">
            <v>淨值</v>
          </cell>
          <cell r="L273">
            <v>59.755499999999998</v>
          </cell>
          <cell r="M273">
            <v>38.94</v>
          </cell>
        </row>
        <row r="274">
          <cell r="B274" t="str">
            <v>00792B</v>
          </cell>
          <cell r="C274" t="str">
            <v>V_INDEX</v>
          </cell>
          <cell r="D274">
            <v>45.712600000000002</v>
          </cell>
          <cell r="E274">
            <v>-7.9228162514264338E+28</v>
          </cell>
          <cell r="F274">
            <v>-7.9228162514264338E+28</v>
          </cell>
          <cell r="G274">
            <v>45.8035</v>
          </cell>
          <cell r="H274">
            <v>-2147483648</v>
          </cell>
          <cell r="I274">
            <v>-2147483648</v>
          </cell>
          <cell r="J274" t="str">
            <v>20200605_132945000</v>
          </cell>
          <cell r="K274" t="str">
            <v>淨值</v>
          </cell>
          <cell r="L274">
            <v>45.712600000000002</v>
          </cell>
          <cell r="M274">
            <v>49.04</v>
          </cell>
        </row>
        <row r="275">
          <cell r="B275" t="str">
            <v>00793B</v>
          </cell>
          <cell r="C275" t="str">
            <v>V_INDEX</v>
          </cell>
          <cell r="D275">
            <v>45.9024</v>
          </cell>
          <cell r="E275">
            <v>-7.9228162514264338E+28</v>
          </cell>
          <cell r="F275">
            <v>-7.9228162514264338E+28</v>
          </cell>
          <cell r="G275">
            <v>45.994</v>
          </cell>
          <cell r="H275">
            <v>-2147483648</v>
          </cell>
          <cell r="I275">
            <v>-2147483648</v>
          </cell>
          <cell r="J275" t="str">
            <v>20200605_132945000</v>
          </cell>
          <cell r="K275" t="str">
            <v>淨值</v>
          </cell>
          <cell r="L275">
            <v>45.9024</v>
          </cell>
          <cell r="M275">
            <v>38.799999999999997</v>
          </cell>
        </row>
        <row r="276">
          <cell r="B276" t="str">
            <v>00794B</v>
          </cell>
          <cell r="C276" t="str">
            <v>V_INDEX</v>
          </cell>
          <cell r="D276">
            <v>38.884799999999998</v>
          </cell>
          <cell r="E276">
            <v>-7.9228162514264338E+28</v>
          </cell>
          <cell r="F276">
            <v>-7.9228162514264338E+28</v>
          </cell>
          <cell r="G276">
            <v>38.818100000000001</v>
          </cell>
          <cell r="H276">
            <v>-2147483648</v>
          </cell>
          <cell r="I276">
            <v>-2147483648</v>
          </cell>
          <cell r="J276" t="str">
            <v>20200605_132945000</v>
          </cell>
          <cell r="K276" t="str">
            <v>淨值</v>
          </cell>
          <cell r="L276">
            <v>38.884799999999998</v>
          </cell>
          <cell r="M276" t="str">
            <v>--</v>
          </cell>
        </row>
        <row r="277">
          <cell r="B277" t="str">
            <v>00795B</v>
          </cell>
          <cell r="C277" t="str">
            <v>V_INDEX</v>
          </cell>
          <cell r="D277">
            <v>47.920200000000001</v>
          </cell>
          <cell r="E277">
            <v>-7.9228162514264338E+28</v>
          </cell>
          <cell r="F277">
            <v>-7.9228162514264338E+28</v>
          </cell>
          <cell r="G277">
            <v>48.167999999999999</v>
          </cell>
          <cell r="H277">
            <v>-2147483648</v>
          </cell>
          <cell r="I277">
            <v>-2147483648</v>
          </cell>
          <cell r="J277" t="str">
            <v>20200605_132958000</v>
          </cell>
          <cell r="K277" t="str">
            <v>淨值</v>
          </cell>
          <cell r="L277">
            <v>47.920200000000001</v>
          </cell>
          <cell r="M277">
            <v>42.58</v>
          </cell>
        </row>
        <row r="278">
          <cell r="B278" t="str">
            <v>00796B</v>
          </cell>
          <cell r="C278" t="str">
            <v>V_INDEX</v>
          </cell>
          <cell r="D278">
            <v>38.7864</v>
          </cell>
          <cell r="E278">
            <v>-7.9228162514264338E+28</v>
          </cell>
          <cell r="F278">
            <v>-7.9228162514264338E+28</v>
          </cell>
          <cell r="G278">
            <v>38.731999999999999</v>
          </cell>
          <cell r="H278">
            <v>-2147483648</v>
          </cell>
          <cell r="I278">
            <v>-2147483648</v>
          </cell>
          <cell r="J278" t="str">
            <v>20200605_132957000</v>
          </cell>
          <cell r="K278" t="str">
            <v>淨值</v>
          </cell>
          <cell r="L278">
            <v>38.7864</v>
          </cell>
          <cell r="M278">
            <v>45.4</v>
          </cell>
        </row>
        <row r="279">
          <cell r="B279" t="str">
            <v>00797B</v>
          </cell>
          <cell r="C279" t="str">
            <v>V_INDEX</v>
          </cell>
          <cell r="D279">
            <v>41.4358</v>
          </cell>
          <cell r="E279">
            <v>-7.9228162514264338E+28</v>
          </cell>
          <cell r="F279">
            <v>-7.9228162514264338E+28</v>
          </cell>
          <cell r="G279">
            <v>41.4358</v>
          </cell>
          <cell r="H279">
            <v>-2147483648</v>
          </cell>
          <cell r="I279">
            <v>-2147483648</v>
          </cell>
          <cell r="J279" t="str">
            <v>20200605_133027000</v>
          </cell>
          <cell r="K279" t="str">
            <v>淨值</v>
          </cell>
          <cell r="L279">
            <v>41.4358</v>
          </cell>
          <cell r="M279">
            <v>39.94</v>
          </cell>
        </row>
        <row r="280">
          <cell r="B280" t="str">
            <v>00798B</v>
          </cell>
          <cell r="C280" t="str">
            <v>V_INDEX</v>
          </cell>
          <cell r="D280">
            <v>42.397199999999998</v>
          </cell>
          <cell r="E280">
            <v>-7.9228162514264338E+28</v>
          </cell>
          <cell r="F280">
            <v>-7.9228162514264338E+28</v>
          </cell>
          <cell r="G280">
            <v>42.622100000000003</v>
          </cell>
          <cell r="H280">
            <v>-2147483648</v>
          </cell>
          <cell r="I280">
            <v>-2147483648</v>
          </cell>
          <cell r="J280" t="str">
            <v>20200605_132928000</v>
          </cell>
          <cell r="K280" t="str">
            <v>淨值</v>
          </cell>
          <cell r="L280">
            <v>42.397199999999998</v>
          </cell>
          <cell r="M280">
            <v>50.21</v>
          </cell>
        </row>
        <row r="281">
          <cell r="B281" t="str">
            <v>00799B</v>
          </cell>
          <cell r="C281" t="str">
            <v>V_INDEX</v>
          </cell>
          <cell r="D281">
            <v>44.835099999999997</v>
          </cell>
          <cell r="E281">
            <v>-7.9228162514264338E+28</v>
          </cell>
          <cell r="F281">
            <v>-7.9228162514264338E+28</v>
          </cell>
          <cell r="G281">
            <v>45.0672</v>
          </cell>
          <cell r="H281">
            <v>-2147483648</v>
          </cell>
          <cell r="I281">
            <v>-2147483648</v>
          </cell>
          <cell r="J281" t="str">
            <v>20200605_132928000</v>
          </cell>
          <cell r="K281" t="str">
            <v>淨值</v>
          </cell>
          <cell r="L281">
            <v>44.835099999999997</v>
          </cell>
          <cell r="M281">
            <v>47.29</v>
          </cell>
        </row>
        <row r="282">
          <cell r="B282" t="str">
            <v>00831B</v>
          </cell>
          <cell r="C282" t="str">
            <v>V_INDEX</v>
          </cell>
          <cell r="D282">
            <v>39.801299999999998</v>
          </cell>
          <cell r="E282">
            <v>-7.9228162514264338E+28</v>
          </cell>
          <cell r="F282">
            <v>-7.9228162514264338E+28</v>
          </cell>
          <cell r="G282">
            <v>39.965200000000003</v>
          </cell>
          <cell r="H282">
            <v>-2147483648</v>
          </cell>
          <cell r="I282">
            <v>-2147483648</v>
          </cell>
          <cell r="J282" t="str">
            <v>20200605_132547000</v>
          </cell>
          <cell r="K282" t="str">
            <v>淨值</v>
          </cell>
          <cell r="L282">
            <v>39.801299999999998</v>
          </cell>
          <cell r="M282">
            <v>44.89</v>
          </cell>
        </row>
        <row r="283">
          <cell r="B283" t="str">
            <v>00832B</v>
          </cell>
          <cell r="C283" t="str">
            <v>V_INDEX</v>
          </cell>
          <cell r="D283">
            <v>49.3568</v>
          </cell>
          <cell r="E283">
            <v>-7.9228162514264338E+28</v>
          </cell>
          <cell r="F283">
            <v>-7.9228162514264338E+28</v>
          </cell>
          <cell r="G283">
            <v>49.572299999999998</v>
          </cell>
          <cell r="H283">
            <v>-2147483648</v>
          </cell>
          <cell r="I283">
            <v>-2147483648</v>
          </cell>
          <cell r="J283" t="str">
            <v>20200605_132903000</v>
          </cell>
          <cell r="K283" t="str">
            <v>淨值</v>
          </cell>
          <cell r="L283">
            <v>49.3568</v>
          </cell>
          <cell r="M283">
            <v>44.82</v>
          </cell>
        </row>
        <row r="284">
          <cell r="B284" t="str">
            <v>00833B</v>
          </cell>
          <cell r="C284" t="str">
            <v>V_INDEX</v>
          </cell>
          <cell r="D284">
            <v>47.245100000000001</v>
          </cell>
          <cell r="E284">
            <v>-7.9228162514264338E+28</v>
          </cell>
          <cell r="F284">
            <v>-7.9228162514264338E+28</v>
          </cell>
          <cell r="G284">
            <v>47.42</v>
          </cell>
          <cell r="H284">
            <v>-2147483648</v>
          </cell>
          <cell r="I284">
            <v>-2147483648</v>
          </cell>
          <cell r="J284" t="str">
            <v>20200605_132950000</v>
          </cell>
          <cell r="K284" t="str">
            <v>淨值</v>
          </cell>
          <cell r="L284">
            <v>47.245100000000001</v>
          </cell>
          <cell r="M284">
            <v>43.54</v>
          </cell>
        </row>
        <row r="285">
          <cell r="B285" t="str">
            <v>00834B</v>
          </cell>
          <cell r="C285" t="str">
            <v>V_INDEX</v>
          </cell>
          <cell r="D285">
            <v>44.6494</v>
          </cell>
          <cell r="E285">
            <v>-7.9228162514264338E+28</v>
          </cell>
          <cell r="F285">
            <v>-7.9228162514264338E+28</v>
          </cell>
          <cell r="G285">
            <v>44.82</v>
          </cell>
          <cell r="H285">
            <v>-2147483648</v>
          </cell>
          <cell r="I285">
            <v>-2147483648</v>
          </cell>
          <cell r="J285" t="str">
            <v>20200605_132950000</v>
          </cell>
          <cell r="K285" t="str">
            <v>淨值</v>
          </cell>
          <cell r="L285">
            <v>44.6494</v>
          </cell>
          <cell r="M285">
            <v>36.32</v>
          </cell>
        </row>
        <row r="286">
          <cell r="B286" t="str">
            <v>00835B</v>
          </cell>
          <cell r="C286" t="str">
            <v>V_INDEX</v>
          </cell>
          <cell r="D286">
            <v>44.376899999999999</v>
          </cell>
          <cell r="E286">
            <v>-7.9228162514264338E+28</v>
          </cell>
          <cell r="F286">
            <v>-7.9228162514264338E+28</v>
          </cell>
          <cell r="G286">
            <v>44.54</v>
          </cell>
          <cell r="H286">
            <v>-2147483648</v>
          </cell>
          <cell r="I286">
            <v>-2147483648</v>
          </cell>
          <cell r="J286" t="str">
            <v>20200605_132950000</v>
          </cell>
          <cell r="K286" t="str">
            <v>淨值</v>
          </cell>
          <cell r="L286">
            <v>44.376899999999999</v>
          </cell>
          <cell r="M286">
            <v>38.65</v>
          </cell>
        </row>
        <row r="287">
          <cell r="B287" t="str">
            <v>00836B</v>
          </cell>
          <cell r="C287" t="str">
            <v>V_INDEX</v>
          </cell>
          <cell r="D287">
            <v>43.12</v>
          </cell>
          <cell r="E287">
            <v>-7.9228162514264338E+28</v>
          </cell>
          <cell r="F287">
            <v>-7.9228162514264338E+28</v>
          </cell>
          <cell r="G287">
            <v>43.22</v>
          </cell>
          <cell r="H287">
            <v>-2147483648</v>
          </cell>
          <cell r="I287">
            <v>-2147483648</v>
          </cell>
          <cell r="J287" t="str">
            <v>20200605_132934000</v>
          </cell>
          <cell r="K287" t="str">
            <v>淨值</v>
          </cell>
          <cell r="L287">
            <v>43.12</v>
          </cell>
          <cell r="M287">
            <v>44.53</v>
          </cell>
        </row>
        <row r="288">
          <cell r="B288" t="str">
            <v>00837B</v>
          </cell>
          <cell r="C288" t="str">
            <v>V_INDEX</v>
          </cell>
          <cell r="D288">
            <v>35.99</v>
          </cell>
          <cell r="E288">
            <v>-7.9228162514264338E+28</v>
          </cell>
          <cell r="F288">
            <v>-7.9228162514264338E+28</v>
          </cell>
          <cell r="G288">
            <v>36.06</v>
          </cell>
          <cell r="H288">
            <v>-2147483648</v>
          </cell>
          <cell r="I288">
            <v>-2147483648</v>
          </cell>
          <cell r="J288" t="str">
            <v>20200605_132934000</v>
          </cell>
          <cell r="K288" t="str">
            <v>淨值</v>
          </cell>
          <cell r="L288">
            <v>35.99</v>
          </cell>
          <cell r="M288">
            <v>43.82</v>
          </cell>
        </row>
        <row r="289">
          <cell r="B289" t="str">
            <v>00838B</v>
          </cell>
          <cell r="C289" t="str">
            <v>V_INDEX</v>
          </cell>
          <cell r="D289">
            <v>38.56</v>
          </cell>
          <cell r="E289">
            <v>-7.9228162514264338E+28</v>
          </cell>
          <cell r="F289">
            <v>-7.9228162514264338E+28</v>
          </cell>
          <cell r="G289">
            <v>38.479999999999997</v>
          </cell>
          <cell r="H289">
            <v>-2147483648</v>
          </cell>
          <cell r="I289">
            <v>-2147483648</v>
          </cell>
          <cell r="J289" t="str">
            <v>20200605_132934000</v>
          </cell>
          <cell r="K289" t="str">
            <v>淨值</v>
          </cell>
          <cell r="L289">
            <v>38.56</v>
          </cell>
          <cell r="M289">
            <v>42.79</v>
          </cell>
        </row>
        <row r="290">
          <cell r="B290" t="str">
            <v>00839B</v>
          </cell>
          <cell r="C290" t="str">
            <v>V_INDEX</v>
          </cell>
          <cell r="D290">
            <v>44.27</v>
          </cell>
          <cell r="E290">
            <v>-7.9228162514264338E+28</v>
          </cell>
          <cell r="F290">
            <v>-7.9228162514264338E+28</v>
          </cell>
          <cell r="G290">
            <v>44.42</v>
          </cell>
          <cell r="H290">
            <v>-2147483648</v>
          </cell>
          <cell r="I290">
            <v>-2147483648</v>
          </cell>
          <cell r="J290" t="str">
            <v>20200605_132949000</v>
          </cell>
          <cell r="K290" t="str">
            <v>淨值</v>
          </cell>
          <cell r="L290">
            <v>44.27</v>
          </cell>
          <cell r="M290">
            <v>38.64</v>
          </cell>
        </row>
        <row r="291">
          <cell r="B291" t="str">
            <v>00841B</v>
          </cell>
          <cell r="C291" t="str">
            <v>V_INDEX</v>
          </cell>
          <cell r="D291">
            <v>43.29</v>
          </cell>
          <cell r="E291">
            <v>-7.9228162514264338E+28</v>
          </cell>
          <cell r="F291">
            <v>-7.9228162514264338E+28</v>
          </cell>
          <cell r="G291">
            <v>43.44</v>
          </cell>
          <cell r="H291">
            <v>-2147483648</v>
          </cell>
          <cell r="I291">
            <v>-2147483648</v>
          </cell>
          <cell r="J291" t="str">
            <v>20200605_132949000</v>
          </cell>
          <cell r="K291" t="str">
            <v>淨值</v>
          </cell>
          <cell r="L291">
            <v>43.29</v>
          </cell>
          <cell r="M291">
            <v>42.28</v>
          </cell>
        </row>
        <row r="292">
          <cell r="B292" t="str">
            <v>00842B</v>
          </cell>
          <cell r="C292" t="str">
            <v>V_INDEX</v>
          </cell>
          <cell r="D292">
            <v>42.56</v>
          </cell>
          <cell r="E292">
            <v>-7.9228162514264338E+28</v>
          </cell>
          <cell r="F292">
            <v>-7.9228162514264338E+28</v>
          </cell>
          <cell r="G292">
            <v>42.64</v>
          </cell>
          <cell r="H292">
            <v>-2147483648</v>
          </cell>
          <cell r="I292">
            <v>-2147483648</v>
          </cell>
          <cell r="J292" t="str">
            <v>20200605_132945000</v>
          </cell>
          <cell r="K292" t="str">
            <v>淨值</v>
          </cell>
          <cell r="L292">
            <v>42.56</v>
          </cell>
          <cell r="M292">
            <v>37.840000000000003</v>
          </cell>
        </row>
        <row r="293">
          <cell r="B293" t="str">
            <v>00843B</v>
          </cell>
          <cell r="C293" t="str">
            <v>V_INDEX</v>
          </cell>
          <cell r="D293">
            <v>38.6</v>
          </cell>
          <cell r="E293">
            <v>-7.9228162514264338E+28</v>
          </cell>
          <cell r="F293">
            <v>-7.9228162514264338E+28</v>
          </cell>
          <cell r="G293">
            <v>38.53</v>
          </cell>
          <cell r="H293">
            <v>-2147483648</v>
          </cell>
          <cell r="I293">
            <v>-2147483648</v>
          </cell>
          <cell r="J293" t="str">
            <v>20200605_132945000</v>
          </cell>
          <cell r="K293" t="str">
            <v>淨值</v>
          </cell>
          <cell r="L293">
            <v>38.6</v>
          </cell>
          <cell r="M293">
            <v>39.85</v>
          </cell>
        </row>
        <row r="294">
          <cell r="B294" t="str">
            <v>00844B</v>
          </cell>
          <cell r="C294" t="str">
            <v>V_INDEX</v>
          </cell>
          <cell r="D294">
            <v>42.052500000000002</v>
          </cell>
          <cell r="E294">
            <v>-7.9228162514264338E+28</v>
          </cell>
          <cell r="F294">
            <v>-7.9228162514264338E+28</v>
          </cell>
          <cell r="G294">
            <v>42.226100000000002</v>
          </cell>
          <cell r="H294">
            <v>-2147483648</v>
          </cell>
          <cell r="I294">
            <v>-2147483648</v>
          </cell>
          <cell r="J294" t="str">
            <v>20200605_132547000</v>
          </cell>
          <cell r="K294" t="str">
            <v>淨值</v>
          </cell>
          <cell r="L294">
            <v>42.052500000000002</v>
          </cell>
          <cell r="M294">
            <v>38.08</v>
          </cell>
        </row>
        <row r="295">
          <cell r="B295" t="str">
            <v>00845B</v>
          </cell>
          <cell r="C295" t="str">
            <v>V_INDEX</v>
          </cell>
          <cell r="D295">
            <v>37.8095</v>
          </cell>
          <cell r="E295">
            <v>-7.9228162514264338E+28</v>
          </cell>
          <cell r="F295">
            <v>-7.9228162514264338E+28</v>
          </cell>
          <cell r="G295">
            <v>37.898099999999999</v>
          </cell>
          <cell r="H295">
            <v>-2147483648</v>
          </cell>
          <cell r="I295">
            <v>-2147483648</v>
          </cell>
          <cell r="J295" t="str">
            <v>20200605_132941000</v>
          </cell>
          <cell r="K295" t="str">
            <v>淨值</v>
          </cell>
          <cell r="L295">
            <v>37.8095</v>
          </cell>
          <cell r="M295">
            <v>39.630000000000003</v>
          </cell>
        </row>
        <row r="296">
          <cell r="B296" t="str">
            <v>00846B</v>
          </cell>
          <cell r="C296" t="str">
            <v>V_INDEX</v>
          </cell>
          <cell r="D296">
            <v>39.805100000000003</v>
          </cell>
          <cell r="E296">
            <v>-7.9228162514264338E+28</v>
          </cell>
          <cell r="F296">
            <v>-7.9228162514264338E+28</v>
          </cell>
          <cell r="G296">
            <v>39.898200000000003</v>
          </cell>
          <cell r="H296">
            <v>-2147483648</v>
          </cell>
          <cell r="I296">
            <v>-2147483648</v>
          </cell>
          <cell r="J296" t="str">
            <v>20200605_132941000</v>
          </cell>
          <cell r="K296" t="str">
            <v>淨值</v>
          </cell>
          <cell r="L296">
            <v>39.805100000000003</v>
          </cell>
          <cell r="M296">
            <v>39.119999999999997</v>
          </cell>
        </row>
        <row r="297">
          <cell r="B297" t="str">
            <v>00847B</v>
          </cell>
          <cell r="C297" t="str">
            <v>V_INDEX</v>
          </cell>
          <cell r="D297">
            <v>37.676699999999997</v>
          </cell>
          <cell r="E297">
            <v>-7.9228162514264338E+28</v>
          </cell>
          <cell r="F297">
            <v>-7.9228162514264338E+28</v>
          </cell>
          <cell r="G297">
            <v>37.773400000000002</v>
          </cell>
          <cell r="H297">
            <v>-2147483648</v>
          </cell>
          <cell r="I297">
            <v>-2147483648</v>
          </cell>
          <cell r="J297" t="str">
            <v>20200605_133044000</v>
          </cell>
          <cell r="K297" t="str">
            <v>淨值</v>
          </cell>
          <cell r="L297">
            <v>37.676699999999997</v>
          </cell>
          <cell r="M297">
            <v>38.89</v>
          </cell>
        </row>
        <row r="298">
          <cell r="B298" t="str">
            <v>00848B</v>
          </cell>
          <cell r="C298" t="str">
            <v>V_INDEX</v>
          </cell>
          <cell r="D298">
            <v>39.579099999999997</v>
          </cell>
          <cell r="E298">
            <v>-7.9228162514264338E+28</v>
          </cell>
          <cell r="F298">
            <v>-7.9228162514264338E+28</v>
          </cell>
          <cell r="G298">
            <v>39.654499999999999</v>
          </cell>
          <cell r="H298">
            <v>-2147483648</v>
          </cell>
          <cell r="I298">
            <v>-2147483648</v>
          </cell>
          <cell r="J298" t="str">
            <v>20200605_132948000</v>
          </cell>
          <cell r="K298" t="str">
            <v>淨值</v>
          </cell>
          <cell r="L298">
            <v>39.579099999999997</v>
          </cell>
          <cell r="M298">
            <v>41.13</v>
          </cell>
        </row>
        <row r="299">
          <cell r="B299" t="str">
            <v>00849B</v>
          </cell>
          <cell r="C299" t="str">
            <v>V_INDEX</v>
          </cell>
          <cell r="D299">
            <v>39.043199999999999</v>
          </cell>
          <cell r="E299">
            <v>-7.9228162514264338E+28</v>
          </cell>
          <cell r="F299">
            <v>-7.9228162514264338E+28</v>
          </cell>
          <cell r="G299">
            <v>39.118600000000001</v>
          </cell>
          <cell r="H299">
            <v>-2147483648</v>
          </cell>
          <cell r="I299">
            <v>-2147483648</v>
          </cell>
          <cell r="J299" t="str">
            <v>20200605_133025000</v>
          </cell>
          <cell r="K299" t="str">
            <v>淨值</v>
          </cell>
          <cell r="L299">
            <v>39.043199999999999</v>
          </cell>
          <cell r="M299">
            <v>38.200000000000003</v>
          </cell>
        </row>
        <row r="300">
          <cell r="B300" t="str">
            <v>00853B</v>
          </cell>
          <cell r="C300" t="str">
            <v>V_INDEX</v>
          </cell>
          <cell r="D300">
            <v>38.409999999999997</v>
          </cell>
          <cell r="E300">
            <v>-7.9228162514264338E+28</v>
          </cell>
          <cell r="F300">
            <v>-7.9228162514264338E+28</v>
          </cell>
          <cell r="G300">
            <v>38.380000000000003</v>
          </cell>
          <cell r="H300">
            <v>-2147483648</v>
          </cell>
          <cell r="I300">
            <v>-2147483648</v>
          </cell>
          <cell r="J300" t="str">
            <v>20200605_132946000</v>
          </cell>
          <cell r="K300" t="str">
            <v>淨值</v>
          </cell>
          <cell r="L300">
            <v>38.409999999999997</v>
          </cell>
          <cell r="M300">
            <v>39.479999999999997</v>
          </cell>
        </row>
        <row r="301">
          <cell r="B301" t="str">
            <v>00854B</v>
          </cell>
          <cell r="C301" t="str">
            <v>V_INDEX</v>
          </cell>
          <cell r="D301">
            <v>40.825200000000002</v>
          </cell>
          <cell r="E301">
            <v>-7.9228162514264338E+28</v>
          </cell>
          <cell r="F301">
            <v>-7.9228162514264338E+28</v>
          </cell>
          <cell r="G301">
            <v>40.918700000000001</v>
          </cell>
          <cell r="H301">
            <v>-2147483648</v>
          </cell>
          <cell r="I301">
            <v>-2147483648</v>
          </cell>
          <cell r="J301" t="str">
            <v>20200605_132941000</v>
          </cell>
          <cell r="K301" t="str">
            <v>淨值</v>
          </cell>
          <cell r="L301">
            <v>40.825200000000002</v>
          </cell>
          <cell r="M301">
            <v>43.41</v>
          </cell>
        </row>
        <row r="302">
          <cell r="B302" t="str">
            <v>00855B</v>
          </cell>
          <cell r="C302" t="str">
            <v>V_INDEX</v>
          </cell>
          <cell r="D302">
            <v>38.007800000000003</v>
          </cell>
          <cell r="E302">
            <v>-7.9228162514264338E+28</v>
          </cell>
          <cell r="F302">
            <v>-7.9228162514264338E+28</v>
          </cell>
          <cell r="G302">
            <v>38.096899999999998</v>
          </cell>
          <cell r="H302">
            <v>-2147483648</v>
          </cell>
          <cell r="I302">
            <v>-2147483648</v>
          </cell>
          <cell r="J302" t="str">
            <v>20200605_132941000</v>
          </cell>
          <cell r="K302" t="str">
            <v>淨值</v>
          </cell>
          <cell r="L302">
            <v>38.007800000000003</v>
          </cell>
          <cell r="M302">
            <v>39.08</v>
          </cell>
        </row>
        <row r="303">
          <cell r="B303" t="str">
            <v>00856B</v>
          </cell>
          <cell r="C303" t="str">
            <v>V_INDEX</v>
          </cell>
          <cell r="D303">
            <v>39.39</v>
          </cell>
          <cell r="E303">
            <v>-7.9228162514264338E+28</v>
          </cell>
          <cell r="F303">
            <v>-7.9228162514264338E+28</v>
          </cell>
          <cell r="G303">
            <v>39.479999999999997</v>
          </cell>
          <cell r="H303">
            <v>-2147483648</v>
          </cell>
          <cell r="I303">
            <v>-2147483648</v>
          </cell>
          <cell r="J303" t="str">
            <v>20200605_132934000</v>
          </cell>
          <cell r="K303" t="str">
            <v>淨值</v>
          </cell>
          <cell r="L303">
            <v>39.39</v>
          </cell>
          <cell r="M303">
            <v>39.75</v>
          </cell>
        </row>
        <row r="304">
          <cell r="B304" t="str">
            <v>00857B</v>
          </cell>
          <cell r="C304" t="str">
            <v>V_INDEX</v>
          </cell>
          <cell r="D304">
            <v>42.74</v>
          </cell>
          <cell r="E304">
            <v>-7.9228162514264338E+28</v>
          </cell>
          <cell r="F304">
            <v>-7.9228162514264338E+28</v>
          </cell>
          <cell r="G304">
            <v>42.84</v>
          </cell>
          <cell r="H304">
            <v>-2147483648</v>
          </cell>
          <cell r="I304">
            <v>-2147483648</v>
          </cell>
          <cell r="J304" t="str">
            <v>20200605_132934000</v>
          </cell>
          <cell r="K304" t="str">
            <v>淨值</v>
          </cell>
          <cell r="L304">
            <v>42.74</v>
          </cell>
          <cell r="M304">
            <v>41.19</v>
          </cell>
        </row>
        <row r="305">
          <cell r="B305" t="str">
            <v>00859B</v>
          </cell>
          <cell r="C305" t="str">
            <v>V_INDEX</v>
          </cell>
          <cell r="D305">
            <v>39.008699999999997</v>
          </cell>
          <cell r="E305">
            <v>-7.9228162514264338E+28</v>
          </cell>
          <cell r="F305">
            <v>-7.9228162514264338E+28</v>
          </cell>
          <cell r="G305">
            <v>39.087499999999999</v>
          </cell>
          <cell r="H305">
            <v>-2147483648</v>
          </cell>
          <cell r="I305">
            <v>-2147483648</v>
          </cell>
          <cell r="J305" t="str">
            <v>20200605_132945000</v>
          </cell>
          <cell r="K305" t="str">
            <v>淨值</v>
          </cell>
          <cell r="L305">
            <v>39.008699999999997</v>
          </cell>
          <cell r="M305">
            <v>42.66</v>
          </cell>
        </row>
        <row r="306">
          <cell r="B306" t="str">
            <v>00860B</v>
          </cell>
          <cell r="C306" t="str">
            <v>V_INDEX</v>
          </cell>
          <cell r="D306">
            <v>39.688200000000002</v>
          </cell>
          <cell r="E306">
            <v>-7.9228162514264338E+28</v>
          </cell>
          <cell r="F306">
            <v>-7.9228162514264338E+28</v>
          </cell>
          <cell r="G306">
            <v>39.767800000000001</v>
          </cell>
          <cell r="H306">
            <v>-2147483648</v>
          </cell>
          <cell r="I306">
            <v>-2147483648</v>
          </cell>
          <cell r="J306" t="str">
            <v>20200605_132945000</v>
          </cell>
          <cell r="K306" t="str">
            <v>淨值</v>
          </cell>
          <cell r="L306">
            <v>39.688200000000002</v>
          </cell>
          <cell r="M306">
            <v>39.369999999999997</v>
          </cell>
        </row>
        <row r="307">
          <cell r="B307" t="str">
            <v>00862B</v>
          </cell>
          <cell r="C307" t="str">
            <v>V_INDEX</v>
          </cell>
          <cell r="D307">
            <v>40.807699999999997</v>
          </cell>
          <cell r="E307">
            <v>-7.9228162514264338E+28</v>
          </cell>
          <cell r="F307">
            <v>-7.9228162514264338E+28</v>
          </cell>
          <cell r="G307">
            <v>40.928699999999999</v>
          </cell>
          <cell r="H307">
            <v>-2147483648</v>
          </cell>
          <cell r="I307">
            <v>-2147483648</v>
          </cell>
          <cell r="J307" t="str">
            <v>20200605_133022000</v>
          </cell>
          <cell r="K307" t="str">
            <v>淨值</v>
          </cell>
          <cell r="L307">
            <v>40.807699999999997</v>
          </cell>
          <cell r="M307">
            <v>39.520000000000003</v>
          </cell>
        </row>
        <row r="308">
          <cell r="B308" t="str">
            <v>00863B</v>
          </cell>
          <cell r="C308" t="str">
            <v>V_INDEX</v>
          </cell>
          <cell r="D308">
            <v>42.265099999999997</v>
          </cell>
          <cell r="E308">
            <v>-7.9228162514264338E+28</v>
          </cell>
          <cell r="F308">
            <v>-7.9228162514264338E+28</v>
          </cell>
          <cell r="G308">
            <v>42.359099999999998</v>
          </cell>
          <cell r="H308">
            <v>-2147483648</v>
          </cell>
          <cell r="I308">
            <v>-2147483648</v>
          </cell>
          <cell r="J308" t="str">
            <v>20200605_133018000</v>
          </cell>
          <cell r="K308" t="str">
            <v>淨值</v>
          </cell>
          <cell r="L308">
            <v>42.265099999999997</v>
          </cell>
          <cell r="M308">
            <v>42.1</v>
          </cell>
        </row>
        <row r="309">
          <cell r="B309" t="str">
            <v>00864B</v>
          </cell>
          <cell r="C309" t="str">
            <v>V_INDEX</v>
          </cell>
          <cell r="D309">
            <v>39.309800000000003</v>
          </cell>
          <cell r="E309">
            <v>-7.9228162514264338E+28</v>
          </cell>
          <cell r="F309">
            <v>-7.9228162514264338E+28</v>
          </cell>
          <cell r="G309">
            <v>39.361600000000003</v>
          </cell>
          <cell r="H309">
            <v>-2147483648</v>
          </cell>
          <cell r="I309">
            <v>-2147483648</v>
          </cell>
          <cell r="J309" t="str">
            <v>20200605_133008000</v>
          </cell>
          <cell r="K309" t="str">
            <v>淨值</v>
          </cell>
          <cell r="L309">
            <v>39.309800000000003</v>
          </cell>
          <cell r="M309">
            <v>40.28</v>
          </cell>
        </row>
        <row r="310">
          <cell r="B310" t="str">
            <v>00865B</v>
          </cell>
          <cell r="C310" t="str">
            <v>V_INDEX</v>
          </cell>
          <cell r="D310">
            <v>39.434899999999999</v>
          </cell>
          <cell r="E310">
            <v>-7.9228162514264338E+28</v>
          </cell>
          <cell r="F310">
            <v>-7.9228162514264338E+28</v>
          </cell>
          <cell r="G310">
            <v>39.526499999999999</v>
          </cell>
          <cell r="H310">
            <v>-2147483648</v>
          </cell>
          <cell r="I310">
            <v>-2147483648</v>
          </cell>
          <cell r="J310" t="str">
            <v>20200605_132913000</v>
          </cell>
          <cell r="K310" t="str">
            <v>淨值</v>
          </cell>
          <cell r="L310">
            <v>39.434899999999999</v>
          </cell>
          <cell r="M310">
            <v>40.24</v>
          </cell>
        </row>
        <row r="311">
          <cell r="B311" t="str">
            <v>00867B</v>
          </cell>
          <cell r="C311" t="str">
            <v>V_INDEX</v>
          </cell>
          <cell r="D311">
            <v>41.857500000000002</v>
          </cell>
          <cell r="E311">
            <v>-7.9228162514264338E+28</v>
          </cell>
          <cell r="F311">
            <v>-7.9228162514264338E+28</v>
          </cell>
          <cell r="G311">
            <v>42.037199999999999</v>
          </cell>
          <cell r="H311">
            <v>-2147483648</v>
          </cell>
          <cell r="I311">
            <v>-2147483648</v>
          </cell>
          <cell r="J311" t="str">
            <v>20200605_132718000</v>
          </cell>
          <cell r="K311" t="str">
            <v>淨值</v>
          </cell>
          <cell r="L311">
            <v>41.857500000000002</v>
          </cell>
          <cell r="M311">
            <v>40.89</v>
          </cell>
        </row>
        <row r="312">
          <cell r="B312" t="str">
            <v>00868B</v>
          </cell>
          <cell r="C312" t="str">
            <v>V_INDEX</v>
          </cell>
          <cell r="D312">
            <v>40.19</v>
          </cell>
          <cell r="E312">
            <v>-7.9228162514264338E+28</v>
          </cell>
          <cell r="F312">
            <v>-7.9228162514264338E+28</v>
          </cell>
          <cell r="G312">
            <v>40.33</v>
          </cell>
          <cell r="H312">
            <v>-2147483648</v>
          </cell>
          <cell r="I312">
            <v>-2147483648</v>
          </cell>
          <cell r="J312" t="str">
            <v>20200605_132945000</v>
          </cell>
          <cell r="K312" t="str">
            <v>淨值</v>
          </cell>
          <cell r="L312">
            <v>40.19</v>
          </cell>
          <cell r="M312">
            <v>38.909999999999997</v>
          </cell>
        </row>
        <row r="313">
          <cell r="B313" t="str">
            <v>00869B</v>
          </cell>
          <cell r="C313" t="str">
            <v>V_INDEX</v>
          </cell>
          <cell r="D313">
            <v>40.03</v>
          </cell>
          <cell r="E313">
            <v>-7.9228162514264338E+28</v>
          </cell>
          <cell r="F313">
            <v>-7.9228162514264338E+28</v>
          </cell>
          <cell r="G313">
            <v>40.159999999999997</v>
          </cell>
          <cell r="H313">
            <v>-2147483648</v>
          </cell>
          <cell r="I313">
            <v>-2147483648</v>
          </cell>
          <cell r="J313" t="str">
            <v>20200605_132945000</v>
          </cell>
          <cell r="K313" t="str">
            <v>淨值</v>
          </cell>
          <cell r="L313">
            <v>40.03</v>
          </cell>
          <cell r="M313">
            <v>40.71</v>
          </cell>
        </row>
        <row r="314">
          <cell r="B314" t="str">
            <v>00870B</v>
          </cell>
          <cell r="C314" t="str">
            <v>V_INDEX</v>
          </cell>
          <cell r="D314">
            <v>40.6768</v>
          </cell>
          <cell r="E314">
            <v>-7.9228162514264338E+28</v>
          </cell>
          <cell r="F314">
            <v>-7.9228162514264338E+28</v>
          </cell>
          <cell r="G314">
            <v>40.799500000000002</v>
          </cell>
          <cell r="H314">
            <v>-2147483648</v>
          </cell>
          <cell r="I314">
            <v>-2147483648</v>
          </cell>
          <cell r="J314" t="str">
            <v>20200605_132945000</v>
          </cell>
          <cell r="K314" t="str">
            <v>淨值</v>
          </cell>
          <cell r="L314">
            <v>40.6768</v>
          </cell>
          <cell r="M314">
            <v>39.68</v>
          </cell>
        </row>
        <row r="315">
          <cell r="B315" t="str">
            <v>00871B</v>
          </cell>
          <cell r="C315" t="str">
            <v>V_INDEX</v>
          </cell>
          <cell r="D315">
            <v>38.904000000000003</v>
          </cell>
          <cell r="E315">
            <v>-7.9228162514264338E+28</v>
          </cell>
          <cell r="F315">
            <v>-7.9228162514264338E+28</v>
          </cell>
          <cell r="G315">
            <v>38.857300000000002</v>
          </cell>
          <cell r="H315">
            <v>-2147483648</v>
          </cell>
          <cell r="I315">
            <v>-2147483648</v>
          </cell>
          <cell r="J315" t="str">
            <v>20200605_132945000</v>
          </cell>
          <cell r="K315" t="str">
            <v>淨值</v>
          </cell>
          <cell r="L315">
            <v>38.904000000000003</v>
          </cell>
          <cell r="M315">
            <v>39.47</v>
          </cell>
        </row>
        <row r="316">
          <cell r="B316" t="str">
            <v>00872B</v>
          </cell>
          <cell r="C316" t="str">
            <v>V_INDEX</v>
          </cell>
          <cell r="D316">
            <v>40.619999999999997</v>
          </cell>
          <cell r="E316">
            <v>-7.9228162514264338E+28</v>
          </cell>
          <cell r="F316">
            <v>-7.9228162514264338E+28</v>
          </cell>
          <cell r="G316">
            <v>40.75</v>
          </cell>
          <cell r="H316">
            <v>-2147483648</v>
          </cell>
          <cell r="I316">
            <v>-2147483648</v>
          </cell>
          <cell r="J316" t="str">
            <v>20200605_135250000</v>
          </cell>
          <cell r="K316" t="str">
            <v>淨值</v>
          </cell>
          <cell r="L316">
            <v>40.619999999999997</v>
          </cell>
        </row>
        <row r="317">
          <cell r="B317" t="str">
            <v>00873B</v>
          </cell>
          <cell r="C317" t="str">
            <v>V_INDEX</v>
          </cell>
          <cell r="D317">
            <v>39.64</v>
          </cell>
          <cell r="E317">
            <v>-7.9228162514264338E+28</v>
          </cell>
          <cell r="F317">
            <v>-7.9228162514264338E+28</v>
          </cell>
          <cell r="G317">
            <v>39.78</v>
          </cell>
          <cell r="H317">
            <v>-2147483648</v>
          </cell>
          <cell r="I317">
            <v>-2147483648</v>
          </cell>
          <cell r="J317" t="str">
            <v>20200605_135250000</v>
          </cell>
          <cell r="K317" t="str">
            <v>淨值</v>
          </cell>
          <cell r="L317">
            <v>39.64</v>
          </cell>
        </row>
        <row r="318">
          <cell r="B318" t="str">
            <v>00874B</v>
          </cell>
          <cell r="C318" t="str">
            <v>V_INDEX</v>
          </cell>
          <cell r="D318">
            <v>39.28</v>
          </cell>
          <cell r="E318">
            <v>-7.9228162514264338E+28</v>
          </cell>
          <cell r="F318">
            <v>-7.9228162514264338E+28</v>
          </cell>
          <cell r="G318">
            <v>39.409999999999997</v>
          </cell>
          <cell r="H318">
            <v>-2147483648</v>
          </cell>
          <cell r="I318">
            <v>-2147483648</v>
          </cell>
          <cell r="J318" t="str">
            <v>20200605_135250000</v>
          </cell>
          <cell r="K318" t="str">
            <v>淨值</v>
          </cell>
          <cell r="L318">
            <v>39.28</v>
          </cell>
        </row>
        <row r="319">
          <cell r="B319"/>
          <cell r="C319"/>
          <cell r="D319"/>
          <cell r="E319"/>
          <cell r="F319"/>
          <cell r="G319"/>
          <cell r="H319"/>
          <cell r="I319"/>
          <cell r="J319"/>
          <cell r="L319"/>
        </row>
        <row r="320">
          <cell r="B320"/>
          <cell r="C320"/>
          <cell r="D320"/>
          <cell r="E320"/>
          <cell r="F320"/>
          <cell r="G320"/>
          <cell r="H320"/>
          <cell r="I320"/>
          <cell r="J320"/>
          <cell r="L320"/>
        </row>
        <row r="321">
          <cell r="B321"/>
          <cell r="C321"/>
          <cell r="D321"/>
          <cell r="E321"/>
          <cell r="F321"/>
          <cell r="G321"/>
          <cell r="H321"/>
          <cell r="I321"/>
          <cell r="J321"/>
          <cell r="K321"/>
          <cell r="L321"/>
        </row>
        <row r="322">
          <cell r="B322"/>
          <cell r="C322"/>
          <cell r="D322"/>
          <cell r="E322"/>
          <cell r="F322"/>
          <cell r="G322"/>
          <cell r="H322"/>
          <cell r="I322"/>
          <cell r="J322"/>
          <cell r="K322"/>
          <cell r="L322"/>
        </row>
        <row r="323">
          <cell r="B323"/>
          <cell r="C323"/>
          <cell r="D323"/>
          <cell r="E323"/>
          <cell r="F323"/>
          <cell r="G323"/>
          <cell r="H323"/>
          <cell r="I323"/>
          <cell r="J323"/>
          <cell r="K323"/>
          <cell r="L323"/>
        </row>
      </sheetData>
      <sheetData sheetId="8"/>
      <sheetData sheetId="9"/>
      <sheetData sheetId="10">
        <row r="1">
          <cell r="G1" t="str">
            <v>台幣匯率</v>
          </cell>
          <cell r="H1" t="str">
            <v>yFX</v>
          </cell>
          <cell r="I1" t="str">
            <v>台幣兌美元升值-0.41%</v>
          </cell>
          <cell r="J1"/>
          <cell r="P1" t="str">
            <v>USD</v>
          </cell>
          <cell r="X1"/>
          <cell r="Y1"/>
          <cell r="AW1" t="str">
            <v>匯率變動</v>
          </cell>
          <cell r="AX1">
            <v>-4.1146756765798598E-3</v>
          </cell>
          <cell r="AY1">
            <v>-1.8774210413745607E-3</v>
          </cell>
        </row>
        <row r="2">
          <cell r="G2">
            <v>29.77</v>
          </cell>
          <cell r="H2">
            <v>29.893000000000001</v>
          </cell>
          <cell r="I2">
            <v>-4.1146756765798598E-3</v>
          </cell>
          <cell r="N2" t="str">
            <v>折價縮小,溢價變大</v>
          </cell>
          <cell r="O2"/>
          <cell r="X2">
            <v>0</v>
          </cell>
          <cell r="Y2">
            <v>0</v>
          </cell>
          <cell r="AJ2">
            <v>28</v>
          </cell>
          <cell r="AK2">
            <v>29</v>
          </cell>
          <cell r="AL2">
            <v>30</v>
          </cell>
          <cell r="AM2">
            <v>31</v>
          </cell>
          <cell r="AN2">
            <v>32</v>
          </cell>
          <cell r="AR2" t="str">
            <v>持有etf溢價擴大會賺錢</v>
          </cell>
          <cell r="AV2"/>
          <cell r="AW2" t="str">
            <v>tFX Rate</v>
          </cell>
          <cell r="AX2">
            <v>29.77</v>
          </cell>
          <cell r="AY2">
            <v>4.2</v>
          </cell>
          <cell r="AZ2">
            <v>3.84</v>
          </cell>
          <cell r="BA2">
            <v>0.27</v>
          </cell>
        </row>
        <row r="3">
          <cell r="N3" t="str">
            <v>折價變大,溢價縮小</v>
          </cell>
          <cell r="O3"/>
          <cell r="R3" t="str">
            <v>申贖資料</v>
          </cell>
          <cell r="S3"/>
          <cell r="T3"/>
          <cell r="U3"/>
          <cell r="V3" t="str">
            <v>當日買賣</v>
          </cell>
          <cell r="W3"/>
          <cell r="X3"/>
          <cell r="Y3"/>
          <cell r="AE3" t="str">
            <v xml:space="preserve">Daily </v>
          </cell>
          <cell r="AF3"/>
          <cell r="AG3"/>
          <cell r="AJ3" t="str">
            <v>前日資料</v>
          </cell>
          <cell r="AK3"/>
          <cell r="AL3"/>
          <cell r="AM3"/>
          <cell r="AN3"/>
          <cell r="AO3" t="str">
            <v>單位: 新台幣萬元</v>
          </cell>
          <cell r="AP3"/>
          <cell r="AQ3" t="str">
            <v>損益分析</v>
          </cell>
          <cell r="AR3"/>
          <cell r="AS3"/>
          <cell r="AT3"/>
          <cell r="AU3"/>
          <cell r="AV3"/>
          <cell r="AW3" t="str">
            <v>yFX Rate</v>
          </cell>
          <cell r="AX3">
            <v>29.893000000000001</v>
          </cell>
          <cell r="AY3">
            <v>4.2079000000000004</v>
          </cell>
          <cell r="AZ3">
            <v>3.8612000000000002</v>
          </cell>
          <cell r="BA3">
            <v>0.27589999999999998</v>
          </cell>
        </row>
        <row r="4">
          <cell r="G4" t="str">
            <v>期貨代號</v>
          </cell>
          <cell r="H4" t="str">
            <v>商品類別</v>
          </cell>
          <cell r="I4" t="str">
            <v>標的代號</v>
          </cell>
          <cell r="J4" t="str">
            <v>標的簡稱</v>
          </cell>
          <cell r="K4" t="str">
            <v>市價</v>
          </cell>
          <cell r="L4" t="str">
            <v>淨值</v>
          </cell>
          <cell r="M4" t="str">
            <v>折溢價</v>
          </cell>
          <cell r="N4" t="str">
            <v>折溢價%</v>
          </cell>
          <cell r="O4" t="str">
            <v>淨值Delta (NTD 萬)</v>
          </cell>
          <cell r="P4" t="str">
            <v>市價Delta (NTD 萬)</v>
          </cell>
          <cell r="Q4" t="str">
            <v>前日部位(張)</v>
          </cell>
          <cell r="R4" t="str">
            <v>申購張數</v>
          </cell>
          <cell r="S4" t="str">
            <v>贖回張數</v>
          </cell>
          <cell r="T4" t="str">
            <v>申購價格</v>
          </cell>
          <cell r="U4" t="str">
            <v>贖回價格</v>
          </cell>
          <cell r="V4" t="str">
            <v>當日買進(張)</v>
          </cell>
          <cell r="W4" t="str">
            <v>當日賣出(張)</v>
          </cell>
          <cell r="X4" t="str">
            <v>當日買均價</v>
          </cell>
          <cell r="Y4" t="str">
            <v>當日賣均價</v>
          </cell>
          <cell r="Z4" t="str">
            <v>目前部位(張)</v>
          </cell>
          <cell r="AA4" t="str">
            <v>槓桿</v>
          </cell>
          <cell r="AB4" t="str">
            <v>契約乘數</v>
          </cell>
          <cell r="AC4" t="str">
            <v>當日總買均價</v>
          </cell>
          <cell r="AD4" t="str">
            <v>當日總賣均價</v>
          </cell>
          <cell r="AE4" t="str">
            <v>買進Delta</v>
          </cell>
          <cell r="AF4" t="str">
            <v>賣出Delta</v>
          </cell>
          <cell r="AG4" t="str">
            <v>Net Delta</v>
          </cell>
          <cell r="AH4" t="str">
            <v>幣別</v>
          </cell>
          <cell r="AI4" t="str">
            <v>FX</v>
          </cell>
          <cell r="AJ4" t="str">
            <v>yPosition(張)</v>
          </cell>
          <cell r="AK4" t="str">
            <v>yPrice</v>
          </cell>
          <cell r="AL4" t="str">
            <v>yNAV</v>
          </cell>
          <cell r="AM4" t="str">
            <v>ySpread</v>
          </cell>
          <cell r="AN4" t="str">
            <v>ySpread%</v>
          </cell>
          <cell r="AO4" t="str">
            <v>扣成本後日損益(萬)</v>
          </cell>
          <cell r="AP4" t="str">
            <v>ETF交易成本</v>
          </cell>
          <cell r="AQ4" t="str">
            <v>總日損益(NTD 萬)</v>
          </cell>
          <cell r="AR4" t="str">
            <v>原部位價差變動損益</v>
          </cell>
          <cell r="AS4" t="str">
            <v>新增部位價差變動損益</v>
          </cell>
          <cell r="AT4" t="str">
            <v>價差變動損益</v>
          </cell>
          <cell r="AU4" t="str">
            <v>NetDelta強弱勢損益</v>
          </cell>
          <cell r="AV4" t="str">
            <v>DayTrade損益</v>
          </cell>
          <cell r="AW4" t="str">
            <v>匯率變動損益</v>
          </cell>
          <cell r="AX4" t="str">
            <v>USD</v>
          </cell>
          <cell r="AY4" t="str">
            <v>CNY</v>
          </cell>
          <cell r="AZ4" t="str">
            <v>HKD</v>
          </cell>
          <cell r="BA4" t="str">
            <v>JPY</v>
          </cell>
        </row>
        <row r="5">
          <cell r="H5" t="str">
            <v>ETF</v>
          </cell>
          <cell r="I5" t="str">
            <v>00715L</v>
          </cell>
          <cell r="J5" t="str">
            <v>街口S&amp;P布蘭特油正2</v>
          </cell>
          <cell r="K5">
            <v>6.37</v>
          </cell>
          <cell r="L5">
            <v>3.3307185295494279</v>
          </cell>
          <cell r="M5">
            <v>3.0392814704505722</v>
          </cell>
          <cell r="N5">
            <v>0.91250024386231132</v>
          </cell>
          <cell r="O5">
            <v>-209.16912365570406</v>
          </cell>
          <cell r="P5">
            <v>-400.036</v>
          </cell>
          <cell r="Q5">
            <v>-314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-314</v>
          </cell>
          <cell r="AA5">
            <v>2</v>
          </cell>
          <cell r="AB5">
            <v>1000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 t="str">
            <v>NTD</v>
          </cell>
          <cell r="AI5">
            <v>1</v>
          </cell>
          <cell r="AJ5">
            <v>-314</v>
          </cell>
          <cell r="AK5">
            <v>5.92</v>
          </cell>
          <cell r="AL5">
            <v>3.32</v>
          </cell>
          <cell r="AM5">
            <v>2.6</v>
          </cell>
          <cell r="AN5">
            <v>0.7831325301204819</v>
          </cell>
          <cell r="AO5">
            <v>-14.130000000000006</v>
          </cell>
          <cell r="AP5">
            <v>0</v>
          </cell>
          <cell r="AQ5">
            <v>-14.130000000000006</v>
          </cell>
          <cell r="AR5">
            <v>-13.793438172147964</v>
          </cell>
          <cell r="AS5">
            <v>0</v>
          </cell>
          <cell r="AT5">
            <v>-13.793438172147964</v>
          </cell>
          <cell r="AU5">
            <v>-0.33656182785204203</v>
          </cell>
          <cell r="AV5">
            <v>0</v>
          </cell>
          <cell r="AW5">
            <v>6.557263315327428</v>
          </cell>
          <cell r="AX5">
            <v>0.51349999999999996</v>
          </cell>
          <cell r="AY5">
            <v>0</v>
          </cell>
          <cell r="AZ5">
            <v>0</v>
          </cell>
          <cell r="BA5">
            <v>0</v>
          </cell>
        </row>
        <row r="6">
          <cell r="G6" t="str">
            <v>BRN-Q20</v>
          </cell>
          <cell r="H6" t="str">
            <v>期貨</v>
          </cell>
          <cell r="I6" t="str">
            <v>LCOBH0</v>
          </cell>
          <cell r="J6" t="str">
            <v>ICE布藍特原油期貨</v>
          </cell>
          <cell r="K6">
            <v>40.22</v>
          </cell>
          <cell r="L6">
            <v>40.22</v>
          </cell>
          <cell r="M6" t="str">
            <v/>
          </cell>
          <cell r="N6" t="str">
            <v/>
          </cell>
          <cell r="O6">
            <v>119.73494000000001</v>
          </cell>
          <cell r="P6">
            <v>119.73494000000001</v>
          </cell>
          <cell r="Q6">
            <v>1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1</v>
          </cell>
          <cell r="AA6">
            <v>1</v>
          </cell>
          <cell r="AB6">
            <v>1000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 t="str">
            <v>USD</v>
          </cell>
          <cell r="AI6">
            <v>29.77</v>
          </cell>
          <cell r="AJ6">
            <v>1</v>
          </cell>
          <cell r="AK6">
            <v>40.14</v>
          </cell>
          <cell r="AL6">
            <v>40.14</v>
          </cell>
          <cell r="AM6" t="str">
            <v/>
          </cell>
          <cell r="AN6" t="str">
            <v/>
          </cell>
          <cell r="AO6">
            <v>0.2381599999999949</v>
          </cell>
          <cell r="AP6">
            <v>0</v>
          </cell>
          <cell r="AQ6">
            <v>0.2381599999999949</v>
          </cell>
          <cell r="AR6">
            <v>0</v>
          </cell>
          <cell r="AS6">
            <v>0</v>
          </cell>
          <cell r="AT6">
            <v>0</v>
          </cell>
          <cell r="AU6">
            <v>0.2381599999999949</v>
          </cell>
          <cell r="AV6">
            <v>0</v>
          </cell>
          <cell r="AW6">
            <v>-1.0471999999999886E-3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</row>
        <row r="7">
          <cell r="G7" t="str">
            <v>布蘭特小計</v>
          </cell>
          <cell r="H7"/>
          <cell r="I7"/>
          <cell r="J7"/>
          <cell r="K7"/>
          <cell r="L7"/>
          <cell r="M7"/>
          <cell r="N7"/>
          <cell r="O7">
            <v>-89.434183655704047</v>
          </cell>
          <cell r="P7">
            <v>-280.30106000000001</v>
          </cell>
          <cell r="Q7"/>
          <cell r="R7"/>
          <cell r="S7"/>
          <cell r="T7"/>
          <cell r="U7"/>
          <cell r="V7"/>
          <cell r="W7"/>
          <cell r="X7"/>
          <cell r="Y7"/>
          <cell r="Z7"/>
          <cell r="AA7"/>
          <cell r="AB7"/>
          <cell r="AC7"/>
          <cell r="AD7"/>
          <cell r="AE7">
            <v>0</v>
          </cell>
          <cell r="AF7">
            <v>0</v>
          </cell>
          <cell r="AG7">
            <v>0</v>
          </cell>
          <cell r="AH7"/>
          <cell r="AI7"/>
          <cell r="AJ7"/>
          <cell r="AK7"/>
          <cell r="AL7"/>
          <cell r="AM7"/>
          <cell r="AN7"/>
          <cell r="AO7">
            <v>-13.891840000000011</v>
          </cell>
          <cell r="AP7">
            <v>0</v>
          </cell>
          <cell r="AQ7">
            <v>-13.891840000000011</v>
          </cell>
          <cell r="AR7">
            <v>-13.793438172147964</v>
          </cell>
          <cell r="AS7">
            <v>0</v>
          </cell>
          <cell r="AT7">
            <v>-13.793438172147964</v>
          </cell>
          <cell r="AU7">
            <v>-9.8401827852047125E-2</v>
          </cell>
          <cell r="AV7">
            <v>0</v>
          </cell>
          <cell r="AW7">
            <v>6.5562161153274277</v>
          </cell>
        </row>
        <row r="8">
          <cell r="O8"/>
          <cell r="P8"/>
          <cell r="Q8"/>
          <cell r="R8"/>
          <cell r="S8"/>
          <cell r="T8"/>
          <cell r="U8"/>
          <cell r="V8"/>
          <cell r="W8"/>
          <cell r="Z8"/>
          <cell r="AI8"/>
          <cell r="AO8"/>
          <cell r="AP8"/>
          <cell r="AQ8"/>
          <cell r="AR8"/>
          <cell r="AS8"/>
          <cell r="AT8"/>
          <cell r="AU8"/>
          <cell r="AV8"/>
          <cell r="AW8"/>
        </row>
        <row r="9">
          <cell r="H9" t="str">
            <v>ETF</v>
          </cell>
          <cell r="I9" t="str">
            <v>00642U</v>
          </cell>
          <cell r="J9" t="str">
            <v>元大S&amp;P石油</v>
          </cell>
          <cell r="K9">
            <v>9.3800000000000008</v>
          </cell>
          <cell r="L9">
            <v>7.3349038838159073</v>
          </cell>
          <cell r="M9">
            <v>2.0450961161840935</v>
          </cell>
          <cell r="N9">
            <v>0.27881702999496616</v>
          </cell>
          <cell r="O9">
            <v>-5592.8642114096292</v>
          </cell>
          <cell r="P9">
            <v>-7152.25</v>
          </cell>
          <cell r="Q9">
            <v>-7625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-7625</v>
          </cell>
          <cell r="AA9">
            <v>1</v>
          </cell>
          <cell r="AB9">
            <v>1000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 t="str">
            <v>NTD</v>
          </cell>
          <cell r="AI9">
            <v>1</v>
          </cell>
          <cell r="AJ9">
            <v>-7625</v>
          </cell>
          <cell r="AK9">
            <v>9.39</v>
          </cell>
          <cell r="AL9">
            <v>7.32</v>
          </cell>
          <cell r="AM9">
            <v>2.0700000000000003</v>
          </cell>
          <cell r="AN9">
            <v>0.28278688524590168</v>
          </cell>
          <cell r="AO9">
            <v>7.6249999999998366</v>
          </cell>
          <cell r="AP9">
            <v>0</v>
          </cell>
          <cell r="AQ9">
            <v>7.6249999999998366</v>
          </cell>
          <cell r="AR9">
            <v>18.989211409628936</v>
          </cell>
          <cell r="AS9">
            <v>0</v>
          </cell>
          <cell r="AT9">
            <v>18.989211409628936</v>
          </cell>
          <cell r="AU9">
            <v>-11.3642114096291</v>
          </cell>
          <cell r="AV9">
            <v>0</v>
          </cell>
          <cell r="AW9">
            <v>491.92191568653891</v>
          </cell>
          <cell r="AX9">
            <v>0.71950000000000003</v>
          </cell>
          <cell r="AY9">
            <v>0</v>
          </cell>
          <cell r="AZ9">
            <v>0</v>
          </cell>
          <cell r="BA9">
            <v>0</v>
          </cell>
        </row>
        <row r="10">
          <cell r="H10" t="str">
            <v>ETF</v>
          </cell>
          <cell r="I10" t="str">
            <v>00672L</v>
          </cell>
          <cell r="J10" t="str">
            <v>元大S&amp;P原油正2</v>
          </cell>
          <cell r="K10">
            <v>2.46</v>
          </cell>
          <cell r="L10">
            <v>0.79898377375741592</v>
          </cell>
          <cell r="M10">
            <v>1.661016226242584</v>
          </cell>
          <cell r="N10">
            <v>2.0789110878075165</v>
          </cell>
          <cell r="O10">
            <v>-1118.5772832603823</v>
          </cell>
          <cell r="P10">
            <v>-3444</v>
          </cell>
          <cell r="Q10">
            <v>-7000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-7000</v>
          </cell>
          <cell r="AA10">
            <v>2</v>
          </cell>
          <cell r="AB10">
            <v>1000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 t="str">
            <v>NTD</v>
          </cell>
          <cell r="AI10">
            <v>1</v>
          </cell>
          <cell r="AJ10">
            <v>-7000</v>
          </cell>
          <cell r="AK10">
            <v>2.44</v>
          </cell>
          <cell r="AL10">
            <v>0.8</v>
          </cell>
          <cell r="AM10">
            <v>1.64</v>
          </cell>
          <cell r="AN10">
            <v>2.0499999999999998</v>
          </cell>
          <cell r="AO10">
            <v>-14.000000000000012</v>
          </cell>
          <cell r="AP10">
            <v>0</v>
          </cell>
          <cell r="AQ10">
            <v>-14.000000000000012</v>
          </cell>
          <cell r="AR10">
            <v>-14.711358369808902</v>
          </cell>
          <cell r="AS10">
            <v>0</v>
          </cell>
          <cell r="AT10">
            <v>-14.711358369808902</v>
          </cell>
          <cell r="AU10">
            <v>0.71135836980888989</v>
          </cell>
          <cell r="AV10">
            <v>0</v>
          </cell>
          <cell r="AW10">
            <v>24.838822030576072</v>
          </cell>
          <cell r="AX10">
            <v>0.36209999999999998</v>
          </cell>
          <cell r="AY10">
            <v>0</v>
          </cell>
          <cell r="AZ10">
            <v>0</v>
          </cell>
          <cell r="BA10">
            <v>0</v>
          </cell>
        </row>
        <row r="11">
          <cell r="H11" t="str">
            <v>ETF</v>
          </cell>
          <cell r="I11" t="str">
            <v>00673R</v>
          </cell>
          <cell r="J11" t="str">
            <v>元大S&amp;P原油反1</v>
          </cell>
          <cell r="K11">
            <v>33.26</v>
          </cell>
          <cell r="L11">
            <v>33.281436929185837</v>
          </cell>
          <cell r="M11">
            <v>-2.1436929185838949E-2</v>
          </cell>
          <cell r="N11">
            <v>-6.4411068643011049E-4</v>
          </cell>
          <cell r="O11">
            <v>-3008.6418983983999</v>
          </cell>
          <cell r="P11">
            <v>-3006.7039999999997</v>
          </cell>
          <cell r="Q11">
            <v>904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904</v>
          </cell>
          <cell r="AA11">
            <v>-1</v>
          </cell>
          <cell r="AB11">
            <v>1000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 t="str">
            <v>NTD</v>
          </cell>
          <cell r="AI11">
            <v>1</v>
          </cell>
          <cell r="AJ11">
            <v>904</v>
          </cell>
          <cell r="AK11">
            <v>33.51</v>
          </cell>
          <cell r="AL11">
            <v>33.49</v>
          </cell>
          <cell r="AM11">
            <v>1.9999999999996021E-2</v>
          </cell>
          <cell r="AN11">
            <v>5.9719319199746934E-4</v>
          </cell>
          <cell r="AO11">
            <v>-22.6</v>
          </cell>
          <cell r="AP11">
            <v>0</v>
          </cell>
          <cell r="AQ11">
            <v>-22.6</v>
          </cell>
          <cell r="AR11">
            <v>-3.7458983983994809</v>
          </cell>
          <cell r="AS11">
            <v>0</v>
          </cell>
          <cell r="AT11">
            <v>-3.7458983983994809</v>
          </cell>
          <cell r="AU11">
            <v>-18.854101601600519</v>
          </cell>
          <cell r="AV11">
            <v>0</v>
          </cell>
          <cell r="AW11">
            <v>-89.041031411910964</v>
          </cell>
          <cell r="AX11">
            <v>0.24010000000000001</v>
          </cell>
          <cell r="AY11">
            <v>0</v>
          </cell>
          <cell r="AZ11">
            <v>0</v>
          </cell>
          <cell r="BA11">
            <v>0</v>
          </cell>
        </row>
        <row r="12">
          <cell r="G12" t="str">
            <v>CL-Z20</v>
          </cell>
          <cell r="H12" t="str">
            <v>期貨</v>
          </cell>
          <cell r="I12" t="str">
            <v>CLL0</v>
          </cell>
          <cell r="J12" t="str">
            <v>輕原油期貨</v>
          </cell>
          <cell r="K12">
            <v>38.74</v>
          </cell>
          <cell r="L12">
            <v>38.74</v>
          </cell>
          <cell r="M12" t="str">
            <v/>
          </cell>
          <cell r="N12" t="str">
            <v/>
          </cell>
          <cell r="O12">
            <v>8995.6604400000015</v>
          </cell>
          <cell r="P12">
            <v>8995.6604400000015</v>
          </cell>
          <cell r="Q12">
            <v>78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78</v>
          </cell>
          <cell r="AA12">
            <v>1</v>
          </cell>
          <cell r="AB12">
            <v>1000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 t="str">
            <v>USD</v>
          </cell>
          <cell r="AI12">
            <v>29.77</v>
          </cell>
          <cell r="AJ12">
            <v>78</v>
          </cell>
          <cell r="AK12">
            <v>38.58</v>
          </cell>
          <cell r="AL12">
            <v>38.58</v>
          </cell>
          <cell r="AM12" t="str">
            <v/>
          </cell>
          <cell r="AN12" t="str">
            <v/>
          </cell>
          <cell r="AO12">
            <v>37.15296000000086</v>
          </cell>
          <cell r="AP12">
            <v>0</v>
          </cell>
          <cell r="AQ12">
            <v>37.15296000000086</v>
          </cell>
          <cell r="AR12">
            <v>0</v>
          </cell>
          <cell r="AS12">
            <v>0</v>
          </cell>
          <cell r="AT12">
            <v>0</v>
          </cell>
          <cell r="AU12">
            <v>37.15296000000086</v>
          </cell>
          <cell r="AV12">
            <v>0</v>
          </cell>
          <cell r="AW12">
            <v>-0.16336320000000543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</row>
        <row r="13">
          <cell r="G13" t="str">
            <v>輕原油小計</v>
          </cell>
          <cell r="H13"/>
          <cell r="I13"/>
          <cell r="J13"/>
          <cell r="K13"/>
          <cell r="L13"/>
          <cell r="M13"/>
          <cell r="N13"/>
          <cell r="O13">
            <v>-724.4229530684097</v>
          </cell>
          <cell r="P13">
            <v>-4607.2935599999983</v>
          </cell>
          <cell r="Q13"/>
          <cell r="R13"/>
          <cell r="S13"/>
          <cell r="T13"/>
          <cell r="U13"/>
          <cell r="V13"/>
          <cell r="W13"/>
          <cell r="X13"/>
          <cell r="Y13"/>
          <cell r="Z13"/>
          <cell r="AA13"/>
          <cell r="AB13"/>
          <cell r="AC13"/>
          <cell r="AD13"/>
          <cell r="AE13">
            <v>0</v>
          </cell>
          <cell r="AF13">
            <v>0</v>
          </cell>
          <cell r="AG13">
            <v>0</v>
          </cell>
          <cell r="AH13"/>
          <cell r="AI13"/>
          <cell r="AJ13"/>
          <cell r="AK13"/>
          <cell r="AL13"/>
          <cell r="AM13"/>
          <cell r="AN13"/>
          <cell r="AO13">
            <v>8.1779600000006809</v>
          </cell>
          <cell r="AP13">
            <v>0</v>
          </cell>
          <cell r="AQ13">
            <v>8.1779600000006809</v>
          </cell>
          <cell r="AR13">
            <v>0.53195464142055293</v>
          </cell>
          <cell r="AS13">
            <v>0</v>
          </cell>
          <cell r="AT13">
            <v>0.53195464142055293</v>
          </cell>
          <cell r="AU13">
            <v>7.6460053585801333</v>
          </cell>
          <cell r="AV13">
            <v>0</v>
          </cell>
          <cell r="AW13">
            <v>427.55634310520406</v>
          </cell>
        </row>
        <row r="14">
          <cell r="G14"/>
          <cell r="H14"/>
          <cell r="I14"/>
          <cell r="J14"/>
          <cell r="K14"/>
          <cell r="L14"/>
          <cell r="M14"/>
          <cell r="N14"/>
          <cell r="O14">
            <v>-813.85713672411373</v>
          </cell>
          <cell r="P14">
            <v>-4887.594619999998</v>
          </cell>
          <cell r="Q14"/>
          <cell r="R14"/>
          <cell r="S14"/>
          <cell r="T14"/>
          <cell r="U14"/>
          <cell r="V14"/>
          <cell r="W14"/>
          <cell r="X14"/>
          <cell r="Y14"/>
          <cell r="Z14"/>
          <cell r="AA14"/>
          <cell r="AB14"/>
          <cell r="AC14"/>
          <cell r="AD14"/>
          <cell r="AE14"/>
          <cell r="AF14"/>
          <cell r="AG14"/>
          <cell r="AH14"/>
          <cell r="AI14"/>
          <cell r="AJ14"/>
          <cell r="AK14"/>
          <cell r="AL14"/>
          <cell r="AM14"/>
          <cell r="AN14"/>
          <cell r="AO14">
            <v>-5.7138799999993299</v>
          </cell>
          <cell r="AP14">
            <v>0</v>
          </cell>
          <cell r="AQ14">
            <v>-5.7138799999993299</v>
          </cell>
          <cell r="AR14">
            <v>-13.261483530727411</v>
          </cell>
          <cell r="AS14">
            <v>0</v>
          </cell>
          <cell r="AT14">
            <v>-13.261483530727411</v>
          </cell>
          <cell r="AU14">
            <v>7.547603530728086</v>
          </cell>
          <cell r="AV14">
            <v>0</v>
          </cell>
          <cell r="AW14">
            <v>434.11255922053147</v>
          </cell>
          <cell r="AX14"/>
          <cell r="AY14"/>
          <cell r="AZ14"/>
          <cell r="BA14"/>
        </row>
        <row r="15">
          <cell r="O15"/>
          <cell r="P15"/>
          <cell r="Q15"/>
          <cell r="R15"/>
          <cell r="S15"/>
          <cell r="T15"/>
          <cell r="U15"/>
          <cell r="V15"/>
          <cell r="W15"/>
          <cell r="X15"/>
          <cell r="Y15"/>
          <cell r="Z15"/>
          <cell r="AC15"/>
          <cell r="AD15"/>
          <cell r="AI15"/>
          <cell r="AJ15"/>
          <cell r="AO15"/>
          <cell r="AP15"/>
          <cell r="AQ15"/>
          <cell r="AR15"/>
          <cell r="AS15"/>
          <cell r="AT15"/>
          <cell r="AU15"/>
          <cell r="AV15"/>
          <cell r="AW15"/>
        </row>
        <row r="16">
          <cell r="G16"/>
          <cell r="H16" t="str">
            <v>ETF</v>
          </cell>
          <cell r="I16" t="str">
            <v>00668</v>
          </cell>
          <cell r="J16" t="str">
            <v>國泰美國道瓊</v>
          </cell>
          <cell r="K16">
            <v>28.58</v>
          </cell>
          <cell r="L16">
            <v>28.45</v>
          </cell>
          <cell r="M16">
            <v>0.12999999999999901</v>
          </cell>
          <cell r="N16">
            <v>4.5694200351493741E-3</v>
          </cell>
          <cell r="O16">
            <v>977.49079000000006</v>
          </cell>
          <cell r="P16">
            <v>981.95735599999989</v>
          </cell>
          <cell r="Q16">
            <v>343.58199999999999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10</v>
          </cell>
          <cell r="W16">
            <v>10</v>
          </cell>
          <cell r="X16">
            <v>28.51</v>
          </cell>
          <cell r="Y16">
            <v>28.47</v>
          </cell>
          <cell r="Z16">
            <v>343.58199999999999</v>
          </cell>
          <cell r="AA16">
            <v>1</v>
          </cell>
          <cell r="AB16">
            <v>1000</v>
          </cell>
          <cell r="AC16">
            <v>28.51</v>
          </cell>
          <cell r="AD16">
            <v>28.47</v>
          </cell>
          <cell r="AE16">
            <v>28.51</v>
          </cell>
          <cell r="AF16">
            <v>28.47</v>
          </cell>
          <cell r="AG16">
            <v>4.00000000000027E-2</v>
          </cell>
          <cell r="AH16" t="str">
            <v>NTD</v>
          </cell>
          <cell r="AI16">
            <v>1</v>
          </cell>
          <cell r="AJ16">
            <v>343.58199999999999</v>
          </cell>
          <cell r="AK16">
            <v>28.08</v>
          </cell>
          <cell r="AL16">
            <v>27.93</v>
          </cell>
          <cell r="AM16">
            <v>0.14999999999999858</v>
          </cell>
          <cell r="AN16">
            <v>5.3705692803436289E-3</v>
          </cell>
          <cell r="AO16">
            <v>17.110629999999997</v>
          </cell>
          <cell r="AP16">
            <v>2.8469999999999999E-2</v>
          </cell>
          <cell r="AQ16">
            <v>17.139099999999996</v>
          </cell>
          <cell r="AR16">
            <v>-0.68716399999998534</v>
          </cell>
          <cell r="AS16">
            <v>0</v>
          </cell>
          <cell r="AT16">
            <v>-0.68716399999998534</v>
          </cell>
          <cell r="AU16">
            <v>17.866263999999983</v>
          </cell>
          <cell r="AV16">
            <v>-4.00000000000027E-2</v>
          </cell>
          <cell r="AW16">
            <v>-114.43311995909988</v>
          </cell>
          <cell r="AX16">
            <v>0.97350000000000003</v>
          </cell>
          <cell r="AY16">
            <v>0</v>
          </cell>
          <cell r="AZ16">
            <v>0</v>
          </cell>
          <cell r="BA16">
            <v>0</v>
          </cell>
        </row>
        <row r="17">
          <cell r="G17"/>
          <cell r="H17" t="str">
            <v>ETF</v>
          </cell>
          <cell r="I17" t="str">
            <v>00669R</v>
          </cell>
          <cell r="J17" t="str">
            <v>國泰美國道瓊反1</v>
          </cell>
          <cell r="K17">
            <v>11.29</v>
          </cell>
          <cell r="L17">
            <v>11.244566355552044</v>
          </cell>
          <cell r="M17">
            <v>4.5433644447955501E-2</v>
          </cell>
          <cell r="N17">
            <v>4.0404976956289751E-3</v>
          </cell>
          <cell r="O17">
            <v>-7700.2790402820392</v>
          </cell>
          <cell r="P17">
            <v>-7731.3919999999998</v>
          </cell>
          <cell r="Q17">
            <v>6848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6848</v>
          </cell>
          <cell r="AA17">
            <v>-1</v>
          </cell>
          <cell r="AB17">
            <v>1000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 t="str">
            <v>NTD</v>
          </cell>
          <cell r="AI17">
            <v>1</v>
          </cell>
          <cell r="AJ17">
            <v>6848</v>
          </cell>
          <cell r="AK17">
            <v>11.56</v>
          </cell>
          <cell r="AL17">
            <v>11.56</v>
          </cell>
          <cell r="AM17">
            <v>0</v>
          </cell>
          <cell r="AN17">
            <v>0</v>
          </cell>
          <cell r="AO17">
            <v>-184.8960000000009</v>
          </cell>
          <cell r="AP17">
            <v>0</v>
          </cell>
          <cell r="AQ17">
            <v>-184.8960000000009</v>
          </cell>
          <cell r="AR17">
            <v>31.112959717959928</v>
          </cell>
          <cell r="AS17">
            <v>0</v>
          </cell>
          <cell r="AT17">
            <v>31.112959717959928</v>
          </cell>
          <cell r="AU17">
            <v>-216.00895971796083</v>
          </cell>
          <cell r="AV17">
            <v>0</v>
          </cell>
          <cell r="AW17">
            <v>-45.963635439720711</v>
          </cell>
          <cell r="AX17">
            <v>4.7399999999999998E-2</v>
          </cell>
          <cell r="AY17">
            <v>0</v>
          </cell>
          <cell r="AZ17">
            <v>0</v>
          </cell>
          <cell r="BA17">
            <v>0</v>
          </cell>
        </row>
        <row r="18">
          <cell r="G18"/>
          <cell r="H18" t="str">
            <v>ETF</v>
          </cell>
          <cell r="I18" t="str">
            <v>00852L</v>
          </cell>
          <cell r="J18" t="str">
            <v>國泰美國道瓊正2</v>
          </cell>
          <cell r="K18">
            <v>13.02</v>
          </cell>
          <cell r="L18">
            <v>13.087537415042171</v>
          </cell>
          <cell r="M18">
            <v>-6.7537415042171034E-2</v>
          </cell>
          <cell r="N18">
            <v>-5.1604372083434713E-3</v>
          </cell>
          <cell r="O18">
            <v>21479.26640556721</v>
          </cell>
          <cell r="P18">
            <v>21368.423999999999</v>
          </cell>
          <cell r="Q18">
            <v>8176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30</v>
          </cell>
          <cell r="W18">
            <v>0</v>
          </cell>
          <cell r="X18">
            <v>12.884666666666666</v>
          </cell>
          <cell r="Y18">
            <v>0</v>
          </cell>
          <cell r="Z18">
            <v>8206</v>
          </cell>
          <cell r="AA18">
            <v>2</v>
          </cell>
          <cell r="AB18">
            <v>1000</v>
          </cell>
          <cell r="AC18">
            <v>12.884666666666666</v>
          </cell>
          <cell r="AD18">
            <v>0</v>
          </cell>
          <cell r="AE18">
            <v>77.307999999999993</v>
          </cell>
          <cell r="AF18">
            <v>0</v>
          </cell>
          <cell r="AG18">
            <v>77.307999999999993</v>
          </cell>
          <cell r="AH18" t="str">
            <v>NTD</v>
          </cell>
          <cell r="AI18">
            <v>1</v>
          </cell>
          <cell r="AJ18">
            <v>8176</v>
          </cell>
          <cell r="AK18">
            <v>12.46</v>
          </cell>
          <cell r="AL18">
            <v>12.45</v>
          </cell>
          <cell r="AM18">
            <v>1.0000000000001563E-2</v>
          </cell>
          <cell r="AN18">
            <v>8.032128514057213E-4</v>
          </cell>
          <cell r="AO18">
            <v>458.26199999999898</v>
          </cell>
          <cell r="AP18">
            <v>0</v>
          </cell>
          <cell r="AQ18">
            <v>458.26199999999898</v>
          </cell>
          <cell r="AR18">
            <v>-63.394590538480323</v>
          </cell>
          <cell r="AS18">
            <v>0.40600000000000058</v>
          </cell>
          <cell r="AT18">
            <v>-62.988590538480324</v>
          </cell>
          <cell r="AU18">
            <v>521.25059053847929</v>
          </cell>
          <cell r="AV18">
            <v>0</v>
          </cell>
          <cell r="AW18">
            <v>-719.94854397112329</v>
          </cell>
          <cell r="AX18">
            <v>0.57740000000000002</v>
          </cell>
          <cell r="AY18">
            <v>0</v>
          </cell>
          <cell r="AZ18">
            <v>0</v>
          </cell>
          <cell r="BA18">
            <v>0</v>
          </cell>
        </row>
        <row r="19">
          <cell r="G19" t="str">
            <v>YM-M20</v>
          </cell>
          <cell r="H19" t="str">
            <v>期貨</v>
          </cell>
          <cell r="I19" t="str">
            <v>YMF0</v>
          </cell>
          <cell r="J19" t="str">
            <v>Mini道瓊指數期貨</v>
          </cell>
          <cell r="K19">
            <v>26493</v>
          </cell>
          <cell r="L19">
            <v>26493</v>
          </cell>
          <cell r="M19" t="str">
            <v/>
          </cell>
          <cell r="N19" t="str">
            <v/>
          </cell>
          <cell r="O19">
            <v>-13013.494065000001</v>
          </cell>
          <cell r="P19">
            <v>-13013.494065000001</v>
          </cell>
          <cell r="Q19">
            <v>-32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1</v>
          </cell>
          <cell r="X19">
            <v>0</v>
          </cell>
          <cell r="Y19">
            <v>26410</v>
          </cell>
          <cell r="Z19">
            <v>-33</v>
          </cell>
          <cell r="AA19">
            <v>1</v>
          </cell>
          <cell r="AB19">
            <v>5</v>
          </cell>
          <cell r="AC19">
            <v>0</v>
          </cell>
          <cell r="AD19">
            <v>26410</v>
          </cell>
          <cell r="AE19">
            <v>0</v>
          </cell>
          <cell r="AF19">
            <v>393.11284999999998</v>
          </cell>
          <cell r="AG19">
            <v>-393.11284999999998</v>
          </cell>
          <cell r="AH19" t="str">
            <v>USD</v>
          </cell>
          <cell r="AI19">
            <v>29.77</v>
          </cell>
          <cell r="AJ19">
            <v>-32</v>
          </cell>
          <cell r="AK19">
            <v>25806</v>
          </cell>
          <cell r="AL19">
            <v>25806</v>
          </cell>
          <cell r="AM19" t="str">
            <v/>
          </cell>
          <cell r="AN19" t="str">
            <v/>
          </cell>
          <cell r="AO19">
            <v>-328.46729499999992</v>
          </cell>
          <cell r="AP19">
            <v>0</v>
          </cell>
          <cell r="AQ19">
            <v>-328.46729499999992</v>
          </cell>
          <cell r="AR19">
            <v>0</v>
          </cell>
          <cell r="AS19">
            <v>-1.235455</v>
          </cell>
          <cell r="AT19">
            <v>-1.235455</v>
          </cell>
          <cell r="AU19">
            <v>-327.23183999999992</v>
          </cell>
          <cell r="AV19">
            <v>0</v>
          </cell>
          <cell r="AW19">
            <v>1.4388528000000149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</row>
        <row r="20">
          <cell r="G20" t="str">
            <v>小道瓊小計</v>
          </cell>
          <cell r="H20"/>
          <cell r="I20"/>
          <cell r="J20"/>
          <cell r="K20"/>
          <cell r="L20"/>
          <cell r="M20"/>
          <cell r="N20"/>
          <cell r="O20">
            <v>1742.9840902851702</v>
          </cell>
          <cell r="P20">
            <v>1605.4952909999975</v>
          </cell>
          <cell r="Q20"/>
          <cell r="R20"/>
          <cell r="S20"/>
          <cell r="T20"/>
          <cell r="U20"/>
          <cell r="V20"/>
          <cell r="W20"/>
          <cell r="X20"/>
          <cell r="Y20"/>
          <cell r="Z20">
            <v>0</v>
          </cell>
          <cell r="AA20"/>
          <cell r="AB20"/>
          <cell r="AC20"/>
          <cell r="AD20"/>
          <cell r="AE20">
            <v>105.818</v>
          </cell>
          <cell r="AF20">
            <v>421.58285000000001</v>
          </cell>
          <cell r="AG20">
            <v>-315.76484999999997</v>
          </cell>
          <cell r="AH20"/>
          <cell r="AI20"/>
          <cell r="AJ20">
            <v>0</v>
          </cell>
          <cell r="AK20"/>
          <cell r="AL20"/>
          <cell r="AM20"/>
          <cell r="AN20"/>
          <cell r="AO20">
            <v>-37.990665000001854</v>
          </cell>
          <cell r="AP20">
            <v>2.8469999999999999E-2</v>
          </cell>
          <cell r="AQ20">
            <v>-37.962195000001884</v>
          </cell>
          <cell r="AR20">
            <v>-32.96879482052038</v>
          </cell>
          <cell r="AS20">
            <v>-0.82945499999999939</v>
          </cell>
          <cell r="AT20">
            <v>-33.798249820520383</v>
          </cell>
          <cell r="AU20">
            <v>-4.1239451794814954</v>
          </cell>
          <cell r="AV20">
            <v>-4.00000000000027E-2</v>
          </cell>
          <cell r="AW20">
            <v>-878.9064465699438</v>
          </cell>
        </row>
        <row r="21">
          <cell r="O21"/>
          <cell r="P21"/>
          <cell r="Q21"/>
          <cell r="R21"/>
          <cell r="S21"/>
          <cell r="T21"/>
          <cell r="U21"/>
          <cell r="V21"/>
          <cell r="W21"/>
          <cell r="X21"/>
          <cell r="Y21"/>
          <cell r="Z21"/>
          <cell r="AC21"/>
          <cell r="AD21"/>
          <cell r="AI21"/>
          <cell r="AJ21"/>
          <cell r="AO21"/>
          <cell r="AP21"/>
          <cell r="AQ21"/>
          <cell r="AR21"/>
          <cell r="AS21"/>
          <cell r="AT21"/>
          <cell r="AU21"/>
          <cell r="AV21"/>
          <cell r="AW21"/>
        </row>
        <row r="22">
          <cell r="G22"/>
          <cell r="H22" t="str">
            <v>ETF</v>
          </cell>
          <cell r="I22" t="str">
            <v>00875</v>
          </cell>
          <cell r="J22" t="str">
            <v>國泰網路資安</v>
          </cell>
          <cell r="K22">
            <v>24.93</v>
          </cell>
          <cell r="L22">
            <v>24.85</v>
          </cell>
          <cell r="M22">
            <v>7.9999999999998295E-2</v>
          </cell>
          <cell r="N22">
            <v>3.2193158953721657E-3</v>
          </cell>
          <cell r="O22">
            <v>19.88</v>
          </cell>
          <cell r="P22">
            <v>19.943999999999999</v>
          </cell>
          <cell r="Q22">
            <v>148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140</v>
          </cell>
          <cell r="X22">
            <v>0</v>
          </cell>
          <cell r="Y22">
            <v>24.895071428571427</v>
          </cell>
          <cell r="Z22">
            <v>8</v>
          </cell>
          <cell r="AA22">
            <v>1</v>
          </cell>
          <cell r="AB22">
            <v>1000</v>
          </cell>
          <cell r="AC22">
            <v>0</v>
          </cell>
          <cell r="AD22">
            <v>24.895071428571427</v>
          </cell>
          <cell r="AE22">
            <v>0</v>
          </cell>
          <cell r="AF22">
            <v>348.53100000000001</v>
          </cell>
          <cell r="AG22">
            <v>-348.53100000000001</v>
          </cell>
          <cell r="AH22" t="str">
            <v>NTD</v>
          </cell>
          <cell r="AI22">
            <v>1</v>
          </cell>
          <cell r="AJ22">
            <v>148</v>
          </cell>
          <cell r="AK22">
            <v>25.21</v>
          </cell>
          <cell r="AL22">
            <v>25.16</v>
          </cell>
          <cell r="AM22">
            <v>5.0000000000000711E-2</v>
          </cell>
          <cell r="AN22">
            <v>1.9872813990460259E-3</v>
          </cell>
          <cell r="AO22">
            <v>-4.9815310000000359</v>
          </cell>
          <cell r="AP22">
            <v>0.34853099999999998</v>
          </cell>
          <cell r="AQ22">
            <v>-4.6330000000000355</v>
          </cell>
          <cell r="AR22">
            <v>0.44399999999996426</v>
          </cell>
          <cell r="AS22">
            <v>-0.48900000000001853</v>
          </cell>
          <cell r="AT22">
            <v>-4.5000000000054274E-2</v>
          </cell>
          <cell r="AU22">
            <v>-4.5879999999999814</v>
          </cell>
          <cell r="AV22">
            <v>0</v>
          </cell>
          <cell r="AW22">
            <v>-36.490245322450598</v>
          </cell>
          <cell r="AX22">
            <v>0.8</v>
          </cell>
          <cell r="AY22">
            <v>0</v>
          </cell>
          <cell r="AZ22">
            <v>0</v>
          </cell>
          <cell r="BA22">
            <v>0</v>
          </cell>
        </row>
        <row r="23">
          <cell r="G23"/>
          <cell r="H23" t="str">
            <v>ETF</v>
          </cell>
          <cell r="I23" t="str">
            <v>00861</v>
          </cell>
          <cell r="J23" t="str">
            <v>元大全球未來通訊</v>
          </cell>
          <cell r="K23">
            <v>21.25</v>
          </cell>
          <cell r="L23">
            <v>21.47</v>
          </cell>
          <cell r="M23">
            <v>-0.21999999999999886</v>
          </cell>
          <cell r="N23">
            <v>-1.0246856078248712E-2</v>
          </cell>
          <cell r="O23">
            <v>2962.86</v>
          </cell>
          <cell r="P23">
            <v>2932.5</v>
          </cell>
          <cell r="Q23">
            <v>1380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1380</v>
          </cell>
          <cell r="AA23">
            <v>1</v>
          </cell>
          <cell r="AB23">
            <v>1000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 t="str">
            <v>NTD</v>
          </cell>
          <cell r="AI23">
            <v>1</v>
          </cell>
          <cell r="AJ23">
            <v>1380</v>
          </cell>
          <cell r="AK23">
            <v>20.99</v>
          </cell>
          <cell r="AL23">
            <v>21.33</v>
          </cell>
          <cell r="AM23">
            <v>-0.33999999999999986</v>
          </cell>
          <cell r="AN23">
            <v>-1.5939990623534905E-2</v>
          </cell>
          <cell r="AO23">
            <v>35.880000000000223</v>
          </cell>
          <cell r="AP23">
            <v>0</v>
          </cell>
          <cell r="AQ23">
            <v>35.880000000000223</v>
          </cell>
          <cell r="AR23">
            <v>16.560000000000141</v>
          </cell>
          <cell r="AS23">
            <v>0</v>
          </cell>
          <cell r="AT23">
            <v>16.560000000000141</v>
          </cell>
          <cell r="AU23">
            <v>19.320000000000078</v>
          </cell>
          <cell r="AV23">
            <v>0</v>
          </cell>
          <cell r="AW23">
            <v>-337.48947589009276</v>
          </cell>
          <cell r="AX23">
            <v>0.93600000000000005</v>
          </cell>
          <cell r="AY23">
            <v>0</v>
          </cell>
          <cell r="AZ23">
            <v>0</v>
          </cell>
          <cell r="BA23">
            <v>0</v>
          </cell>
        </row>
        <row r="24">
          <cell r="G24"/>
          <cell r="H24" t="str">
            <v>ETF</v>
          </cell>
          <cell r="I24" t="str">
            <v>00671R</v>
          </cell>
          <cell r="J24" t="str">
            <v>富邦NASDAQ反1</v>
          </cell>
          <cell r="K24">
            <v>9.0399999999999991</v>
          </cell>
          <cell r="L24">
            <v>9.0093377545305842</v>
          </cell>
          <cell r="M24">
            <v>3.0662245469414984E-2</v>
          </cell>
          <cell r="N24">
            <v>3.4033850550219125E-3</v>
          </cell>
          <cell r="O24">
            <v>-553.17333812817787</v>
          </cell>
          <cell r="P24">
            <v>-555.05599999999993</v>
          </cell>
          <cell r="Q24">
            <v>614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614</v>
          </cell>
          <cell r="AA24">
            <v>-1</v>
          </cell>
          <cell r="AB24">
            <v>1000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 t="str">
            <v>NTD</v>
          </cell>
          <cell r="AI24">
            <v>1</v>
          </cell>
          <cell r="AJ24">
            <v>614</v>
          </cell>
          <cell r="AK24">
            <v>9.0299999999999994</v>
          </cell>
          <cell r="AL24">
            <v>9.02</v>
          </cell>
          <cell r="AM24">
            <v>9.9999999999997868E-3</v>
          </cell>
          <cell r="AN24">
            <v>1.1086474501107446E-3</v>
          </cell>
          <cell r="AO24">
            <v>0.61399999999998689</v>
          </cell>
          <cell r="AP24">
            <v>0</v>
          </cell>
          <cell r="AQ24">
            <v>0.61399999999998689</v>
          </cell>
          <cell r="AR24">
            <v>1.268661871822093</v>
          </cell>
          <cell r="AS24">
            <v>0</v>
          </cell>
          <cell r="AT24">
            <v>1.268661871822093</v>
          </cell>
          <cell r="AU24">
            <v>-0.65466187182210611</v>
          </cell>
          <cell r="AV24">
            <v>0</v>
          </cell>
          <cell r="AW24">
            <v>1.9673759157836561</v>
          </cell>
          <cell r="AX24">
            <v>-2.9000000000000001E-2</v>
          </cell>
          <cell r="AY24">
            <v>0</v>
          </cell>
          <cell r="AZ24">
            <v>0</v>
          </cell>
          <cell r="BA24">
            <v>0</v>
          </cell>
        </row>
        <row r="25">
          <cell r="G25"/>
          <cell r="H25" t="str">
            <v>ETF</v>
          </cell>
          <cell r="I25" t="str">
            <v>00670L</v>
          </cell>
          <cell r="J25" t="str">
            <v>富邦NASDAQ正2</v>
          </cell>
          <cell r="K25">
            <v>48.16</v>
          </cell>
          <cell r="L25">
            <v>48.427787478252853</v>
          </cell>
          <cell r="M25">
            <v>-0.2677874782528562</v>
          </cell>
          <cell r="N25">
            <v>-5.5296244614336798E-3</v>
          </cell>
          <cell r="O25">
            <v>18799.667099057759</v>
          </cell>
          <cell r="P25">
            <v>18695.712</v>
          </cell>
          <cell r="Q25">
            <v>1941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40</v>
          </cell>
          <cell r="W25">
            <v>40</v>
          </cell>
          <cell r="X25">
            <v>48.18</v>
          </cell>
          <cell r="Y25">
            <v>48.18</v>
          </cell>
          <cell r="Z25">
            <v>1941</v>
          </cell>
          <cell r="AA25">
            <v>2</v>
          </cell>
          <cell r="AB25">
            <v>1000</v>
          </cell>
          <cell r="AC25">
            <v>48.18</v>
          </cell>
          <cell r="AD25">
            <v>48.18</v>
          </cell>
          <cell r="AE25">
            <v>385.44</v>
          </cell>
          <cell r="AF25">
            <v>385.44</v>
          </cell>
          <cell r="AG25">
            <v>0</v>
          </cell>
          <cell r="AH25" t="str">
            <v>NTD</v>
          </cell>
          <cell r="AI25">
            <v>1</v>
          </cell>
          <cell r="AJ25">
            <v>1941</v>
          </cell>
          <cell r="AK25">
            <v>48.28</v>
          </cell>
          <cell r="AL25">
            <v>48.3</v>
          </cell>
          <cell r="AM25">
            <v>-1.9999999999996021E-2</v>
          </cell>
          <cell r="AN25">
            <v>-4.1407867494813733E-4</v>
          </cell>
          <cell r="AO25">
            <v>-23.484720000000884</v>
          </cell>
          <cell r="AP25">
            <v>0.19272</v>
          </cell>
          <cell r="AQ25">
            <v>-23.292000000000883</v>
          </cell>
          <cell r="AR25">
            <v>-48.095549528880163</v>
          </cell>
          <cell r="AS25">
            <v>0</v>
          </cell>
          <cell r="AT25">
            <v>-48.095549528880163</v>
          </cell>
          <cell r="AU25">
            <v>24.80354952887928</v>
          </cell>
          <cell r="AV25">
            <v>0</v>
          </cell>
          <cell r="AW25">
            <v>-281.12438837180468</v>
          </cell>
          <cell r="AX25">
            <v>0.24479999999999999</v>
          </cell>
          <cell r="AY25">
            <v>0</v>
          </cell>
          <cell r="AZ25">
            <v>0</v>
          </cell>
          <cell r="BA25">
            <v>0</v>
          </cell>
        </row>
        <row r="26">
          <cell r="G26" t="str">
            <v>NQ-M20</v>
          </cell>
          <cell r="H26" t="str">
            <v>期貨</v>
          </cell>
          <cell r="I26" t="str">
            <v>NQF0</v>
          </cell>
          <cell r="J26" t="str">
            <v>NASDAQ100期貨</v>
          </cell>
          <cell r="K26">
            <v>9678.6299999999992</v>
          </cell>
          <cell r="L26">
            <v>9678.6299999999992</v>
          </cell>
          <cell r="M26" t="str">
            <v/>
          </cell>
          <cell r="N26" t="str">
            <v/>
          </cell>
          <cell r="O26">
            <v>-20169.297057</v>
          </cell>
          <cell r="P26">
            <v>-20169.297057</v>
          </cell>
          <cell r="Q26">
            <v>-35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-35</v>
          </cell>
          <cell r="AA26">
            <v>1</v>
          </cell>
          <cell r="AB26">
            <v>20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 t="str">
            <v>USD</v>
          </cell>
          <cell r="AI26">
            <v>29.77</v>
          </cell>
          <cell r="AJ26">
            <v>-35</v>
          </cell>
          <cell r="AK26">
            <v>9665</v>
          </cell>
          <cell r="AL26">
            <v>9665</v>
          </cell>
          <cell r="AM26" t="str">
            <v/>
          </cell>
          <cell r="AN26" t="str">
            <v/>
          </cell>
          <cell r="AO26">
            <v>-28.40355699999833</v>
          </cell>
          <cell r="AP26">
            <v>0</v>
          </cell>
          <cell r="AQ26">
            <v>-28.40355699999833</v>
          </cell>
          <cell r="AR26">
            <v>0</v>
          </cell>
          <cell r="AS26">
            <v>0</v>
          </cell>
          <cell r="AT26">
            <v>0</v>
          </cell>
          <cell r="AU26">
            <v>-28.40355699999833</v>
          </cell>
          <cell r="AV26">
            <v>0</v>
          </cell>
          <cell r="AW26">
            <v>0.12489168999999395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</row>
        <row r="27">
          <cell r="G27" t="str">
            <v>小那斯達克小計</v>
          </cell>
          <cell r="H27"/>
          <cell r="I27"/>
          <cell r="J27"/>
          <cell r="K27"/>
          <cell r="L27"/>
          <cell r="M27"/>
          <cell r="N27"/>
          <cell r="O27">
            <v>1059.9367039295794</v>
          </cell>
          <cell r="P27">
            <v>923.80294299999878</v>
          </cell>
          <cell r="Q27"/>
          <cell r="R27"/>
          <cell r="S27"/>
          <cell r="T27"/>
          <cell r="U27"/>
          <cell r="V27"/>
          <cell r="W27"/>
          <cell r="X27"/>
          <cell r="Y27"/>
          <cell r="Z27"/>
          <cell r="AA27"/>
          <cell r="AB27"/>
          <cell r="AC27"/>
          <cell r="AD27"/>
          <cell r="AE27">
            <v>385.44</v>
          </cell>
          <cell r="AF27">
            <v>733.971</v>
          </cell>
          <cell r="AG27">
            <v>-348.53100000000001</v>
          </cell>
          <cell r="AH27"/>
          <cell r="AI27"/>
          <cell r="AJ27"/>
          <cell r="AK27"/>
          <cell r="AL27"/>
          <cell r="AM27"/>
          <cell r="AN27"/>
          <cell r="AO27">
            <v>-20.37580799999904</v>
          </cell>
          <cell r="AP27">
            <v>0.54125099999999993</v>
          </cell>
          <cell r="AQ27">
            <v>-19.834556999999037</v>
          </cell>
          <cell r="AR27">
            <v>-29.822887657057965</v>
          </cell>
          <cell r="AS27">
            <v>-0.48900000000001853</v>
          </cell>
          <cell r="AT27">
            <v>-30.311887657057984</v>
          </cell>
          <cell r="AU27">
            <v>10.477330657058943</v>
          </cell>
          <cell r="AV27">
            <v>0</v>
          </cell>
          <cell r="AW27">
            <v>-653.01184197856435</v>
          </cell>
        </row>
        <row r="28">
          <cell r="G28"/>
          <cell r="H28"/>
          <cell r="I28"/>
          <cell r="J28"/>
          <cell r="L28"/>
          <cell r="M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C28"/>
          <cell r="AD28"/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</row>
        <row r="29">
          <cell r="G29"/>
          <cell r="H29" t="str">
            <v>ETF</v>
          </cell>
          <cell r="I29" t="str">
            <v>00648R</v>
          </cell>
          <cell r="J29" t="str">
            <v>元大S&amp;P500反1</v>
          </cell>
          <cell r="K29">
            <v>10.47</v>
          </cell>
          <cell r="L29">
            <v>10.459453932814148</v>
          </cell>
          <cell r="M29">
            <v>1.0546067185853047E-2</v>
          </cell>
          <cell r="N29">
            <v>1.008280858025179E-3</v>
          </cell>
          <cell r="O29">
            <v>-2297.9420290392682</v>
          </cell>
          <cell r="P29">
            <v>-2300.259</v>
          </cell>
          <cell r="Q29">
            <v>2197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2197</v>
          </cell>
          <cell r="AA29">
            <v>-1</v>
          </cell>
          <cell r="AB29">
            <v>1000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 t="str">
            <v>NTD</v>
          </cell>
          <cell r="AI29">
            <v>1</v>
          </cell>
          <cell r="AJ29">
            <v>2197</v>
          </cell>
          <cell r="AK29">
            <v>10.61</v>
          </cell>
          <cell r="AL29">
            <v>10.63</v>
          </cell>
          <cell r="AM29">
            <v>-2.000000000000135E-2</v>
          </cell>
          <cell r="AN29">
            <v>-1.8814675446849893E-3</v>
          </cell>
          <cell r="AO29">
            <v>-30.757999999999733</v>
          </cell>
          <cell r="AP29">
            <v>0</v>
          </cell>
          <cell r="AQ29">
            <v>-30.757999999999733</v>
          </cell>
          <cell r="AR29">
            <v>6.7109709607322117</v>
          </cell>
          <cell r="AS29">
            <v>0</v>
          </cell>
          <cell r="AT29">
            <v>6.7109709607322117</v>
          </cell>
          <cell r="AU29">
            <v>-37.468970960731944</v>
          </cell>
          <cell r="AV29">
            <v>0</v>
          </cell>
          <cell r="AW29">
            <v>-52.580325761700067</v>
          </cell>
          <cell r="AX29">
            <v>0.18379999999999999</v>
          </cell>
          <cell r="AY29">
            <v>0</v>
          </cell>
          <cell r="AZ29">
            <v>0</v>
          </cell>
          <cell r="BA29">
            <v>0</v>
          </cell>
        </row>
        <row r="30">
          <cell r="G30"/>
          <cell r="H30" t="str">
            <v>ETF</v>
          </cell>
          <cell r="I30" t="str">
            <v>00647L</v>
          </cell>
          <cell r="J30" t="str">
            <v>元大S&amp;P500正2</v>
          </cell>
          <cell r="K30">
            <v>36.28</v>
          </cell>
          <cell r="L30">
            <v>36.421924498257688</v>
          </cell>
          <cell r="M30">
            <v>-0.14192449825768705</v>
          </cell>
          <cell r="N30">
            <v>-3.8966776251616597E-3</v>
          </cell>
          <cell r="O30">
            <v>11145.108896466852</v>
          </cell>
          <cell r="P30">
            <v>11101.68</v>
          </cell>
          <cell r="Q30">
            <v>1530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1530</v>
          </cell>
          <cell r="AA30">
            <v>2</v>
          </cell>
          <cell r="AB30">
            <v>1000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 t="str">
            <v>NTD</v>
          </cell>
          <cell r="AI30">
            <v>1</v>
          </cell>
          <cell r="AJ30">
            <v>1530</v>
          </cell>
          <cell r="AK30">
            <v>35.369999999999997</v>
          </cell>
          <cell r="AL30">
            <v>35.369999999999997</v>
          </cell>
          <cell r="AM30">
            <v>0</v>
          </cell>
          <cell r="AN30">
            <v>0</v>
          </cell>
          <cell r="AO30">
            <v>139.23000000000059</v>
          </cell>
          <cell r="AP30">
            <v>0</v>
          </cell>
          <cell r="AQ30">
            <v>139.23000000000059</v>
          </cell>
          <cell r="AR30">
            <v>-21.714448233426118</v>
          </cell>
          <cell r="AS30">
            <v>0</v>
          </cell>
          <cell r="AT30">
            <v>-21.714448233426118</v>
          </cell>
          <cell r="AU30">
            <v>160.9444482334267</v>
          </cell>
          <cell r="AV30">
            <v>0</v>
          </cell>
          <cell r="AW30">
            <v>-403.96467027462324</v>
          </cell>
          <cell r="AX30">
            <v>0.60940000000000005</v>
          </cell>
          <cell r="AY30">
            <v>0</v>
          </cell>
          <cell r="AZ30">
            <v>0</v>
          </cell>
          <cell r="BA30">
            <v>0</v>
          </cell>
        </row>
        <row r="31">
          <cell r="G31" t="str">
            <v>ES-M20</v>
          </cell>
          <cell r="H31" t="str">
            <v>期貨</v>
          </cell>
          <cell r="I31" t="str">
            <v>ESF0</v>
          </cell>
          <cell r="J31" t="str">
            <v>SP500-Mini</v>
          </cell>
          <cell r="K31">
            <v>3134.5</v>
          </cell>
          <cell r="L31">
            <v>3134.5</v>
          </cell>
          <cell r="M31" t="str">
            <v/>
          </cell>
          <cell r="N31" t="str">
            <v/>
          </cell>
          <cell r="O31">
            <v>-9797.9768249999997</v>
          </cell>
          <cell r="P31">
            <v>-9797.9768249999997</v>
          </cell>
          <cell r="Q31">
            <v>-20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1</v>
          </cell>
          <cell r="X31">
            <v>0</v>
          </cell>
          <cell r="Y31">
            <v>3125.75</v>
          </cell>
          <cell r="Z31">
            <v>-21</v>
          </cell>
          <cell r="AA31">
            <v>1</v>
          </cell>
          <cell r="AB31">
            <v>50</v>
          </cell>
          <cell r="AC31">
            <v>0</v>
          </cell>
          <cell r="AD31">
            <v>3125.75</v>
          </cell>
          <cell r="AE31">
            <v>0</v>
          </cell>
          <cell r="AF31">
            <v>465.26788749999997</v>
          </cell>
          <cell r="AG31">
            <v>-465.26788749999997</v>
          </cell>
          <cell r="AH31" t="str">
            <v>USD</v>
          </cell>
          <cell r="AI31">
            <v>29.77</v>
          </cell>
          <cell r="AJ31">
            <v>-20</v>
          </cell>
          <cell r="AK31">
            <v>3085.75</v>
          </cell>
          <cell r="AL31">
            <v>3085.75</v>
          </cell>
          <cell r="AM31" t="str">
            <v/>
          </cell>
          <cell r="AN31" t="str">
            <v/>
          </cell>
          <cell r="AO31">
            <v>-146.43118749999999</v>
          </cell>
          <cell r="AP31">
            <v>0</v>
          </cell>
          <cell r="AQ31">
            <v>-146.43118749999999</v>
          </cell>
          <cell r="AR31">
            <v>0</v>
          </cell>
          <cell r="AS31">
            <v>-1.3024374999999999</v>
          </cell>
          <cell r="AT31">
            <v>-1.3024374999999999</v>
          </cell>
          <cell r="AU31">
            <v>-145.12875</v>
          </cell>
          <cell r="AV31">
            <v>0</v>
          </cell>
          <cell r="AW31">
            <v>0.63813750000000657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</row>
        <row r="32">
          <cell r="G32" t="str">
            <v>小S&amp;P500小計</v>
          </cell>
          <cell r="H32"/>
          <cell r="I32"/>
          <cell r="J32"/>
          <cell r="K32"/>
          <cell r="L32"/>
          <cell r="M32"/>
          <cell r="N32"/>
          <cell r="O32">
            <v>-944.24955757241548</v>
          </cell>
          <cell r="P32">
            <v>-989.9743049999995</v>
          </cell>
          <cell r="Q32"/>
          <cell r="R32"/>
          <cell r="S32"/>
          <cell r="T32"/>
          <cell r="U32"/>
          <cell r="V32"/>
          <cell r="W32"/>
          <cell r="X32"/>
          <cell r="Y32"/>
          <cell r="Z32"/>
          <cell r="AA32"/>
          <cell r="AB32"/>
          <cell r="AC32"/>
          <cell r="AD32"/>
          <cell r="AE32">
            <v>0</v>
          </cell>
          <cell r="AF32">
            <v>465.26788749999997</v>
          </cell>
          <cell r="AG32">
            <v>-465.26788749999997</v>
          </cell>
          <cell r="AH32"/>
          <cell r="AI32"/>
          <cell r="AJ32"/>
          <cell r="AK32"/>
          <cell r="AL32"/>
          <cell r="AM32"/>
          <cell r="AN32"/>
          <cell r="AO32">
            <v>-37.959187499999132</v>
          </cell>
          <cell r="AP32">
            <v>0</v>
          </cell>
          <cell r="AQ32">
            <v>-37.959187499999132</v>
          </cell>
          <cell r="AR32">
            <v>-15.003477272693907</v>
          </cell>
          <cell r="AS32">
            <v>-1.3024374999999999</v>
          </cell>
          <cell r="AT32">
            <v>-16.305914772693907</v>
          </cell>
          <cell r="AU32">
            <v>-21.65327272730525</v>
          </cell>
          <cell r="AV32">
            <v>0</v>
          </cell>
          <cell r="AW32">
            <v>-455.90685853632328</v>
          </cell>
        </row>
        <row r="33">
          <cell r="G33"/>
          <cell r="H33"/>
          <cell r="I33"/>
          <cell r="J33"/>
          <cell r="K33"/>
          <cell r="L33"/>
          <cell r="M33"/>
          <cell r="N33"/>
          <cell r="O33">
            <v>1858.671236642334</v>
          </cell>
          <cell r="P33">
            <v>1539.3239289999967</v>
          </cell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>
            <v>-96.325660500000026</v>
          </cell>
          <cell r="AP33">
            <v>0.56972099999999992</v>
          </cell>
          <cell r="AQ33">
            <v>-95.755939500000053</v>
          </cell>
          <cell r="AR33">
            <v>-77.795159750272262</v>
          </cell>
          <cell r="AS33">
            <v>-2.6208925000000178</v>
          </cell>
          <cell r="AT33">
            <v>-80.416052250272273</v>
          </cell>
          <cell r="AU33">
            <v>-15.299887249727803</v>
          </cell>
          <cell r="AV33">
            <v>-4.00000000000027E-2</v>
          </cell>
          <cell r="AW33">
            <v>-1987.8251470848313</v>
          </cell>
          <cell r="AX33"/>
          <cell r="AY33"/>
          <cell r="AZ33"/>
          <cell r="BA33"/>
        </row>
        <row r="34">
          <cell r="O34"/>
          <cell r="AJ34"/>
          <cell r="AO34"/>
          <cell r="AP34"/>
          <cell r="AQ34"/>
          <cell r="AR34"/>
          <cell r="AS34"/>
          <cell r="AT34"/>
          <cell r="AU34"/>
          <cell r="AV34"/>
          <cell r="AW34"/>
        </row>
        <row r="35">
          <cell r="G35"/>
          <cell r="H35" t="str">
            <v>ETF</v>
          </cell>
          <cell r="I35" t="str">
            <v>00645</v>
          </cell>
          <cell r="J35" t="str">
            <v>富邦日本</v>
          </cell>
          <cell r="K35">
            <v>20.78</v>
          </cell>
          <cell r="L35">
            <v>20.82</v>
          </cell>
          <cell r="M35">
            <v>-3.9999999999999147E-2</v>
          </cell>
          <cell r="N35">
            <v>-1.9212295869356355E-3</v>
          </cell>
          <cell r="O35">
            <v>45.804000000000002</v>
          </cell>
          <cell r="P35">
            <v>45.716000000000001</v>
          </cell>
          <cell r="Q35">
            <v>21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31</v>
          </cell>
          <cell r="W35">
            <v>30</v>
          </cell>
          <cell r="X35">
            <v>20.778387096774193</v>
          </cell>
          <cell r="Y35">
            <v>20.78</v>
          </cell>
          <cell r="Z35">
            <v>22</v>
          </cell>
          <cell r="AA35">
            <v>1</v>
          </cell>
          <cell r="AB35">
            <v>1000</v>
          </cell>
          <cell r="AC35">
            <v>20.778387096774193</v>
          </cell>
          <cell r="AD35">
            <v>20.780000000000005</v>
          </cell>
          <cell r="AE35">
            <v>64.412999999999997</v>
          </cell>
          <cell r="AF35">
            <v>62.340000000000011</v>
          </cell>
          <cell r="AG35">
            <v>2.0729999999999862</v>
          </cell>
          <cell r="AH35" t="str">
            <v>NTD</v>
          </cell>
          <cell r="AI35">
            <v>1</v>
          </cell>
          <cell r="AJ35">
            <v>21</v>
          </cell>
          <cell r="AK35">
            <v>20.57</v>
          </cell>
          <cell r="AL35">
            <v>20.59</v>
          </cell>
          <cell r="AM35">
            <v>-1.9999999999999574E-2</v>
          </cell>
          <cell r="AN35">
            <v>-9.7134531325882012E-4</v>
          </cell>
          <cell r="AO35">
            <v>0.38366000000001893</v>
          </cell>
          <cell r="AP35">
            <v>6.2340000000000007E-2</v>
          </cell>
          <cell r="AQ35">
            <v>0.44600000000001894</v>
          </cell>
          <cell r="AR35">
            <v>-4.1999999999999101E-2</v>
          </cell>
          <cell r="AS35">
            <v>1.6129032258085373E-4</v>
          </cell>
          <cell r="AT35">
            <v>-4.1838709677418248E-2</v>
          </cell>
          <cell r="AU35">
            <v>0.48300000000000093</v>
          </cell>
          <cell r="AV35">
            <v>4.8387096774362703E-3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-5.7299999999999997E-2</v>
          </cell>
        </row>
        <row r="36">
          <cell r="G36"/>
          <cell r="H36" t="str">
            <v>ETF</v>
          </cell>
          <cell r="I36" t="str">
            <v>00640L</v>
          </cell>
          <cell r="J36" t="str">
            <v>富邦日本正2</v>
          </cell>
          <cell r="K36">
            <v>19.46</v>
          </cell>
          <cell r="L36">
            <v>19.53642294167269</v>
          </cell>
          <cell r="M36">
            <v>-7.6422941672689149E-2</v>
          </cell>
          <cell r="N36">
            <v>-3.9118185504508629E-3</v>
          </cell>
          <cell r="O36">
            <v>2317.019760882381</v>
          </cell>
          <cell r="P36">
            <v>2307.9560000000001</v>
          </cell>
          <cell r="Q36">
            <v>593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150</v>
          </cell>
          <cell r="W36">
            <v>150</v>
          </cell>
          <cell r="X36">
            <v>19.39</v>
          </cell>
          <cell r="Y36">
            <v>19.39</v>
          </cell>
          <cell r="Z36">
            <v>593</v>
          </cell>
          <cell r="AA36">
            <v>2</v>
          </cell>
          <cell r="AB36">
            <v>1000</v>
          </cell>
          <cell r="AC36">
            <v>19.39</v>
          </cell>
          <cell r="AD36">
            <v>19.39</v>
          </cell>
          <cell r="AE36">
            <v>581.70000000000005</v>
          </cell>
          <cell r="AF36">
            <v>581.70000000000005</v>
          </cell>
          <cell r="AG36">
            <v>0</v>
          </cell>
          <cell r="AH36" t="str">
            <v>NTD</v>
          </cell>
          <cell r="AI36">
            <v>1</v>
          </cell>
          <cell r="AJ36">
            <v>593</v>
          </cell>
          <cell r="AK36">
            <v>19.059999999999999</v>
          </cell>
          <cell r="AL36">
            <v>18.989999999999998</v>
          </cell>
          <cell r="AM36">
            <v>7.0000000000000284E-2</v>
          </cell>
          <cell r="AN36">
            <v>3.6861506055818616E-3</v>
          </cell>
          <cell r="AO36">
            <v>23.429150000000128</v>
          </cell>
          <cell r="AP36">
            <v>0.29085</v>
          </cell>
          <cell r="AQ36">
            <v>23.720000000000127</v>
          </cell>
          <cell r="AR36">
            <v>-8.6828804411904823</v>
          </cell>
          <cell r="AS36">
            <v>0</v>
          </cell>
          <cell r="AT36">
            <v>-8.6828804411904823</v>
          </cell>
          <cell r="AU36">
            <v>32.402880441190611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2.87E-2</v>
          </cell>
        </row>
        <row r="37">
          <cell r="G37"/>
          <cell r="H37" t="str">
            <v>ETF</v>
          </cell>
          <cell r="I37" t="str">
            <v>00641R</v>
          </cell>
          <cell r="J37" t="str">
            <v>富邦日本反1</v>
          </cell>
          <cell r="K37">
            <v>13.71</v>
          </cell>
          <cell r="L37">
            <v>13.664538210688162</v>
          </cell>
          <cell r="M37">
            <v>4.546178931183853E-2</v>
          </cell>
          <cell r="N37">
            <v>3.326990536444141E-3</v>
          </cell>
          <cell r="O37">
            <v>-455.02912241591588</v>
          </cell>
          <cell r="P37">
            <v>-456.54300000000001</v>
          </cell>
          <cell r="Q37">
            <v>333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100</v>
          </cell>
          <cell r="W37">
            <v>100</v>
          </cell>
          <cell r="X37">
            <v>13.74</v>
          </cell>
          <cell r="Y37">
            <v>13.74</v>
          </cell>
          <cell r="Z37">
            <v>333</v>
          </cell>
          <cell r="AA37">
            <v>-1</v>
          </cell>
          <cell r="AB37">
            <v>1000</v>
          </cell>
          <cell r="AC37">
            <v>13.74</v>
          </cell>
          <cell r="AD37">
            <v>13.74</v>
          </cell>
          <cell r="AE37">
            <v>-137.4</v>
          </cell>
          <cell r="AF37">
            <v>-137.4</v>
          </cell>
          <cell r="AG37">
            <v>0</v>
          </cell>
          <cell r="AH37" t="str">
            <v>NTD</v>
          </cell>
          <cell r="AI37">
            <v>1</v>
          </cell>
          <cell r="AJ37">
            <v>333</v>
          </cell>
          <cell r="AK37">
            <v>13.85</v>
          </cell>
          <cell r="AL37">
            <v>13.85</v>
          </cell>
          <cell r="AM37">
            <v>0</v>
          </cell>
          <cell r="AN37">
            <v>0</v>
          </cell>
          <cell r="AO37">
            <v>-4.7993999999999604</v>
          </cell>
          <cell r="AP37">
            <v>0.13739999999999999</v>
          </cell>
          <cell r="AQ37">
            <v>-4.66199999999996</v>
          </cell>
          <cell r="AR37">
            <v>1.5138775840842231</v>
          </cell>
          <cell r="AS37">
            <v>0</v>
          </cell>
          <cell r="AT37">
            <v>1.5138775840842231</v>
          </cell>
          <cell r="AU37">
            <v>-6.1758775840841826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8.2199999999999995E-2</v>
          </cell>
        </row>
        <row r="38">
          <cell r="G38"/>
          <cell r="H38" t="str">
            <v>ETF</v>
          </cell>
          <cell r="I38" t="str">
            <v>00657</v>
          </cell>
          <cell r="J38" t="str">
            <v>國泰日經225</v>
          </cell>
          <cell r="K38">
            <v>28.22</v>
          </cell>
          <cell r="L38">
            <v>28.32</v>
          </cell>
          <cell r="M38">
            <v>-0.10000000000000142</v>
          </cell>
          <cell r="N38">
            <v>-3.5310734463277482E-3</v>
          </cell>
          <cell r="O38">
            <v>1237.5840000000001</v>
          </cell>
          <cell r="P38">
            <v>1233.2139999999999</v>
          </cell>
          <cell r="Q38">
            <v>499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62</v>
          </cell>
          <cell r="W38">
            <v>124</v>
          </cell>
          <cell r="X38">
            <v>28.082903225806451</v>
          </cell>
          <cell r="Y38">
            <v>28.03491935483871</v>
          </cell>
          <cell r="Z38">
            <v>437</v>
          </cell>
          <cell r="AA38">
            <v>1</v>
          </cell>
          <cell r="AB38">
            <v>1000</v>
          </cell>
          <cell r="AC38">
            <v>28.082903225806451</v>
          </cell>
          <cell r="AD38">
            <v>28.03491935483871</v>
          </cell>
          <cell r="AE38">
            <v>174.11399999999998</v>
          </cell>
          <cell r="AF38">
            <v>347.63299999999998</v>
          </cell>
          <cell r="AG38">
            <v>-173.51900000000001</v>
          </cell>
          <cell r="AH38" t="str">
            <v>NTD</v>
          </cell>
          <cell r="AI38">
            <v>1</v>
          </cell>
          <cell r="AJ38">
            <v>499</v>
          </cell>
          <cell r="AK38">
            <v>27.93</v>
          </cell>
          <cell r="AL38">
            <v>27.98</v>
          </cell>
          <cell r="AM38">
            <v>-5.0000000000000711E-2</v>
          </cell>
          <cell r="AN38">
            <v>-1.7869907076483171E-3</v>
          </cell>
          <cell r="AO38">
            <v>12.678366999999973</v>
          </cell>
          <cell r="AP38">
            <v>0.34763299999999997</v>
          </cell>
          <cell r="AQ38">
            <v>13.025999999999973</v>
          </cell>
          <cell r="AR38">
            <v>-2.4950000000000352</v>
          </cell>
          <cell r="AS38">
            <v>-1.1474999999999915</v>
          </cell>
          <cell r="AT38">
            <v>-3.6425000000000267</v>
          </cell>
          <cell r="AU38">
            <v>16.965999999999994</v>
          </cell>
          <cell r="AV38">
            <v>-0.29749999999999366</v>
          </cell>
          <cell r="AW38">
            <v>-1.710262210356964E-2</v>
          </cell>
          <cell r="AX38">
            <v>1E-4</v>
          </cell>
          <cell r="AY38">
            <v>0</v>
          </cell>
          <cell r="AZ38">
            <v>0</v>
          </cell>
          <cell r="BA38">
            <v>-4.1799999999999997E-2</v>
          </cell>
        </row>
        <row r="39">
          <cell r="G39"/>
          <cell r="H39" t="str">
            <v>ETF</v>
          </cell>
          <cell r="I39" t="str">
            <v>00657K</v>
          </cell>
          <cell r="J39" t="str">
            <v>國泰日經225+U</v>
          </cell>
          <cell r="K39">
            <v>9.4700000000000006</v>
          </cell>
          <cell r="L39">
            <v>9.5</v>
          </cell>
          <cell r="M39">
            <v>-2.9999999999999361E-2</v>
          </cell>
          <cell r="N39">
            <v>-3.1578947368420263E-3</v>
          </cell>
          <cell r="O39">
            <v>6.1749999999999998</v>
          </cell>
          <cell r="P39">
            <v>6.1555000000000009</v>
          </cell>
          <cell r="Q39">
            <v>6.5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6.5</v>
          </cell>
          <cell r="AA39">
            <v>1</v>
          </cell>
          <cell r="AB39">
            <v>1000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 t="str">
            <v>NTD</v>
          </cell>
          <cell r="AI39">
            <v>1</v>
          </cell>
          <cell r="AJ39">
            <v>6.5</v>
          </cell>
          <cell r="AK39">
            <v>9.35</v>
          </cell>
          <cell r="AL39">
            <v>9.3699999999999992</v>
          </cell>
          <cell r="AM39">
            <v>-1.9999999999999574E-2</v>
          </cell>
          <cell r="AN39">
            <v>-2.1344717182496531E-3</v>
          </cell>
          <cell r="AO39">
            <v>7.8000000000000638E-2</v>
          </cell>
          <cell r="AP39">
            <v>0</v>
          </cell>
          <cell r="AQ39">
            <v>7.8000000000000638E-2</v>
          </cell>
          <cell r="AR39">
            <v>-6.4999999999998609E-3</v>
          </cell>
          <cell r="AS39">
            <v>0</v>
          </cell>
          <cell r="AT39">
            <v>-6.4999999999998609E-3</v>
          </cell>
          <cell r="AU39">
            <v>8.4500000000000505E-2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2.6499999999999999E-2</v>
          </cell>
        </row>
        <row r="40">
          <cell r="G40" t="str">
            <v>TOPIX-M20</v>
          </cell>
          <cell r="H40" t="str">
            <v>期貨</v>
          </cell>
          <cell r="I40" t="str">
            <v>JTIF0</v>
          </cell>
          <cell r="J40" t="str">
            <v>東證指數</v>
          </cell>
          <cell r="K40">
            <v>1611.75</v>
          </cell>
          <cell r="L40">
            <v>1611.75</v>
          </cell>
          <cell r="M40" t="str">
            <v/>
          </cell>
          <cell r="N40" t="str">
            <v/>
          </cell>
          <cell r="O40">
            <v>-2175.8625000000002</v>
          </cell>
          <cell r="P40">
            <v>-2175.8625000000002</v>
          </cell>
          <cell r="Q40">
            <v>-5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-5</v>
          </cell>
          <cell r="AA40">
            <v>1</v>
          </cell>
          <cell r="AB40">
            <v>10000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 t="str">
            <v>JPY</v>
          </cell>
          <cell r="AI40">
            <v>0.27</v>
          </cell>
          <cell r="AJ40">
            <v>-5</v>
          </cell>
          <cell r="AK40">
            <v>1589.5</v>
          </cell>
          <cell r="AL40">
            <v>1589.5</v>
          </cell>
          <cell r="AM40" t="str">
            <v/>
          </cell>
          <cell r="AN40" t="str">
            <v/>
          </cell>
          <cell r="AO40">
            <v>-30.037500000000001</v>
          </cell>
          <cell r="AP40">
            <v>0</v>
          </cell>
          <cell r="AQ40">
            <v>-30.037500000000001</v>
          </cell>
          <cell r="AR40">
            <v>0</v>
          </cell>
          <cell r="AS40">
            <v>0</v>
          </cell>
          <cell r="AT40">
            <v>0</v>
          </cell>
          <cell r="AU40">
            <v>-30.037500000000001</v>
          </cell>
          <cell r="AV40">
            <v>0</v>
          </cell>
          <cell r="AW40">
            <v>14.562625000000152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</row>
        <row r="41">
          <cell r="G41" t="str">
            <v>NK-M20</v>
          </cell>
          <cell r="H41" t="str">
            <v>期貨</v>
          </cell>
          <cell r="I41" t="str">
            <v>SSIF0</v>
          </cell>
          <cell r="J41" t="str">
            <v>日經225</v>
          </cell>
          <cell r="K41">
            <v>22842.5</v>
          </cell>
          <cell r="L41">
            <v>22842.5</v>
          </cell>
          <cell r="M41" t="str">
            <v/>
          </cell>
          <cell r="N41" t="str">
            <v/>
          </cell>
          <cell r="O41">
            <v>-925.12125000000003</v>
          </cell>
          <cell r="P41">
            <v>-925.12125000000003</v>
          </cell>
          <cell r="Q41">
            <v>-5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2</v>
          </cell>
          <cell r="W41">
            <v>0</v>
          </cell>
          <cell r="X41">
            <v>22660</v>
          </cell>
          <cell r="Y41">
            <v>0</v>
          </cell>
          <cell r="Z41">
            <v>-3</v>
          </cell>
          <cell r="AA41">
            <v>1</v>
          </cell>
          <cell r="AB41">
            <v>500</v>
          </cell>
          <cell r="AC41">
            <v>22660</v>
          </cell>
          <cell r="AD41">
            <v>0</v>
          </cell>
          <cell r="AE41">
            <v>611.82000000000005</v>
          </cell>
          <cell r="AF41">
            <v>0</v>
          </cell>
          <cell r="AG41">
            <v>611.82000000000005</v>
          </cell>
          <cell r="AH41" t="str">
            <v>JPY</v>
          </cell>
          <cell r="AI41">
            <v>0.27</v>
          </cell>
          <cell r="AJ41">
            <v>-5</v>
          </cell>
          <cell r="AK41">
            <v>22475</v>
          </cell>
          <cell r="AL41">
            <v>22475</v>
          </cell>
          <cell r="AM41" t="str">
            <v/>
          </cell>
          <cell r="AN41" t="str">
            <v/>
          </cell>
          <cell r="AO41">
            <v>-19.87875</v>
          </cell>
          <cell r="AP41">
            <v>0</v>
          </cell>
          <cell r="AQ41">
            <v>-19.87875</v>
          </cell>
          <cell r="AR41">
            <v>0</v>
          </cell>
          <cell r="AS41">
            <v>4.9275000000000011</v>
          </cell>
          <cell r="AT41">
            <v>4.9275000000000011</v>
          </cell>
          <cell r="AU41">
            <v>-24.806250000000002</v>
          </cell>
          <cell r="AV41">
            <v>0</v>
          </cell>
          <cell r="AW41">
            <v>12.026437500000123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</row>
        <row r="42">
          <cell r="G42" t="str">
            <v>日股小計</v>
          </cell>
          <cell r="H42"/>
          <cell r="I42"/>
          <cell r="J42"/>
          <cell r="K42"/>
          <cell r="L42"/>
          <cell r="M42"/>
          <cell r="N42"/>
          <cell r="O42">
            <v>50.569888466465386</v>
          </cell>
          <cell r="P42">
            <v>35.514749999999481</v>
          </cell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>
            <v>1294.6469999999999</v>
          </cell>
          <cell r="AF42">
            <v>854.27300000000014</v>
          </cell>
          <cell r="AG42">
            <v>440.37400000000002</v>
          </cell>
          <cell r="AH42"/>
          <cell r="AI42"/>
          <cell r="AJ42"/>
          <cell r="AK42"/>
          <cell r="AL42"/>
          <cell r="AM42"/>
          <cell r="AN42"/>
          <cell r="AO42">
            <v>-18.14647299999984</v>
          </cell>
          <cell r="AP42">
            <v>0.83822299999999994</v>
          </cell>
          <cell r="AQ42">
            <v>-17.308249999999841</v>
          </cell>
          <cell r="AR42">
            <v>-9.7125028571062924</v>
          </cell>
          <cell r="AS42">
            <v>3.7801612903225905</v>
          </cell>
          <cell r="AT42">
            <v>-5.9323415667837009</v>
          </cell>
          <cell r="AU42">
            <v>-11.08324714289358</v>
          </cell>
          <cell r="AV42">
            <v>-0.29266129032255739</v>
          </cell>
          <cell r="AW42">
            <v>26.571959877896703</v>
          </cell>
        </row>
        <row r="43">
          <cell r="O43"/>
          <cell r="AJ43"/>
          <cell r="AO43"/>
          <cell r="AP43"/>
          <cell r="AQ43"/>
          <cell r="AR43"/>
          <cell r="AS43"/>
          <cell r="AT43"/>
          <cell r="AU43"/>
          <cell r="AV43"/>
          <cell r="AW43"/>
        </row>
        <row r="44">
          <cell r="G44"/>
          <cell r="H44" t="str">
            <v>ETF</v>
          </cell>
          <cell r="I44" t="str">
            <v>00706L</v>
          </cell>
          <cell r="J44" t="str">
            <v>元大S&amp;P日圓正2</v>
          </cell>
          <cell r="K44">
            <v>16.760000000000002</v>
          </cell>
          <cell r="L44">
            <v>16.84140248978774</v>
          </cell>
          <cell r="M44">
            <v>-8.1402489787738119E-2</v>
          </cell>
          <cell r="N44">
            <v>-4.8334745183543637E-3</v>
          </cell>
          <cell r="O44">
            <v>3604.0601328145763</v>
          </cell>
          <cell r="P44">
            <v>3586.64</v>
          </cell>
          <cell r="Q44">
            <v>1110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40</v>
          </cell>
          <cell r="X44">
            <v>0</v>
          </cell>
          <cell r="Y44">
            <v>16.768000000000001</v>
          </cell>
          <cell r="Z44">
            <v>1070</v>
          </cell>
          <cell r="AA44">
            <v>2</v>
          </cell>
          <cell r="AB44">
            <v>1000</v>
          </cell>
          <cell r="AC44">
            <v>0</v>
          </cell>
          <cell r="AD44">
            <v>16.768000000000001</v>
          </cell>
          <cell r="AE44">
            <v>0</v>
          </cell>
          <cell r="AF44">
            <v>134.14400000000001</v>
          </cell>
          <cell r="AG44">
            <v>-134.14400000000001</v>
          </cell>
          <cell r="AH44" t="str">
            <v>NTD</v>
          </cell>
          <cell r="AI44">
            <v>1</v>
          </cell>
          <cell r="AJ44">
            <v>1110</v>
          </cell>
          <cell r="AK44">
            <v>16.920000000000002</v>
          </cell>
          <cell r="AL44">
            <v>17.100000000000001</v>
          </cell>
          <cell r="AM44">
            <v>-0.17999999999999972</v>
          </cell>
          <cell r="AN44">
            <v>-1.0526315789473717E-2</v>
          </cell>
          <cell r="AO44">
            <v>-17.795072000000015</v>
          </cell>
          <cell r="AP44">
            <v>6.7072000000000007E-2</v>
          </cell>
          <cell r="AQ44">
            <v>-17.728000000000016</v>
          </cell>
          <cell r="AR44">
            <v>10.944323633561037</v>
          </cell>
          <cell r="AS44">
            <v>3.1999999999996476E-2</v>
          </cell>
          <cell r="AT44">
            <v>10.976323633561034</v>
          </cell>
          <cell r="AU44">
            <v>-28.704323633561049</v>
          </cell>
          <cell r="AV44">
            <v>0</v>
          </cell>
          <cell r="AW44">
            <v>445.10883913005011</v>
          </cell>
          <cell r="AX44">
            <v>-1.9144000000000001</v>
          </cell>
          <cell r="AY44">
            <v>0</v>
          </cell>
          <cell r="AZ44">
            <v>0</v>
          </cell>
          <cell r="BA44">
            <v>2</v>
          </cell>
        </row>
        <row r="45">
          <cell r="G45"/>
          <cell r="H45" t="str">
            <v>ETF</v>
          </cell>
          <cell r="I45" t="str">
            <v>00707R</v>
          </cell>
          <cell r="J45" t="str">
            <v>元大S&amp;P日圓反1</v>
          </cell>
          <cell r="K45">
            <v>19.850000000000001</v>
          </cell>
          <cell r="L45">
            <v>20.083927924005142</v>
          </cell>
          <cell r="M45">
            <v>-0.2339279240051404</v>
          </cell>
          <cell r="N45">
            <v>-1.1647518597472151E-2</v>
          </cell>
          <cell r="O45">
            <v>-855.57532956261912</v>
          </cell>
          <cell r="P45">
            <v>-845.61</v>
          </cell>
          <cell r="Q45">
            <v>426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426</v>
          </cell>
          <cell r="AA45">
            <v>-1</v>
          </cell>
          <cell r="AB45">
            <v>1000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 t="str">
            <v>NTD</v>
          </cell>
          <cell r="AI45">
            <v>1</v>
          </cell>
          <cell r="AJ45">
            <v>426</v>
          </cell>
          <cell r="AK45">
            <v>19.75</v>
          </cell>
          <cell r="AL45">
            <v>19.95</v>
          </cell>
          <cell r="AM45">
            <v>-0.19999999999999929</v>
          </cell>
          <cell r="AN45">
            <v>-1.0025062656641603E-2</v>
          </cell>
          <cell r="AO45">
            <v>4.2600000000000611</v>
          </cell>
          <cell r="AP45">
            <v>0</v>
          </cell>
          <cell r="AQ45">
            <v>4.2600000000000611</v>
          </cell>
          <cell r="AR45">
            <v>-1.4453295626190112</v>
          </cell>
          <cell r="AS45">
            <v>0</v>
          </cell>
          <cell r="AT45">
            <v>-1.4453295626190112</v>
          </cell>
          <cell r="AU45">
            <v>5.7053295626190721</v>
          </cell>
          <cell r="AV45">
            <v>0</v>
          </cell>
          <cell r="AW45">
            <v>-114.4205815990405</v>
          </cell>
          <cell r="AX45">
            <v>1.0991</v>
          </cell>
          <cell r="AY45">
            <v>0</v>
          </cell>
          <cell r="AZ45">
            <v>0</v>
          </cell>
          <cell r="BA45">
            <v>-1</v>
          </cell>
        </row>
        <row r="46">
          <cell r="G46" t="str">
            <v>NK-M20</v>
          </cell>
          <cell r="H46" t="str">
            <v>期貨</v>
          </cell>
          <cell r="I46" t="str">
            <v>SSIF0</v>
          </cell>
          <cell r="J46" t="str">
            <v>日經225</v>
          </cell>
          <cell r="K46">
            <v>22842.5</v>
          </cell>
          <cell r="L46">
            <v>22842.5</v>
          </cell>
          <cell r="M46" t="str">
            <v/>
          </cell>
          <cell r="N46" t="str">
            <v/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1</v>
          </cell>
          <cell r="AB46">
            <v>500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 t="str">
            <v>JPY</v>
          </cell>
          <cell r="AI46">
            <v>0.27</v>
          </cell>
          <cell r="AJ46">
            <v>0</v>
          </cell>
          <cell r="AK46">
            <v>22475</v>
          </cell>
          <cell r="AL46">
            <v>22475</v>
          </cell>
          <cell r="AM46" t="str">
            <v/>
          </cell>
          <cell r="AN46" t="str">
            <v/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</row>
        <row r="47">
          <cell r="G47" t="str">
            <v>日圓小計</v>
          </cell>
          <cell r="H47"/>
          <cell r="I47"/>
          <cell r="J47"/>
          <cell r="K47"/>
          <cell r="L47"/>
          <cell r="M47"/>
          <cell r="N47"/>
          <cell r="O47">
            <v>2748.4848032519571</v>
          </cell>
          <cell r="P47">
            <v>2741.0299999999997</v>
          </cell>
          <cell r="Q47"/>
          <cell r="R47"/>
          <cell r="S47"/>
          <cell r="T47"/>
          <cell r="U47"/>
          <cell r="V47"/>
          <cell r="W47"/>
          <cell r="X47"/>
          <cell r="Y47"/>
          <cell r="Z47"/>
          <cell r="AA47"/>
          <cell r="AB47"/>
          <cell r="AC47"/>
          <cell r="AD47"/>
          <cell r="AE47">
            <v>0</v>
          </cell>
          <cell r="AF47">
            <v>134.14400000000001</v>
          </cell>
          <cell r="AG47">
            <v>-134.14400000000001</v>
          </cell>
          <cell r="AH47"/>
          <cell r="AI47"/>
          <cell r="AJ47"/>
          <cell r="AK47"/>
          <cell r="AL47"/>
          <cell r="AM47"/>
          <cell r="AN47"/>
          <cell r="AO47">
            <v>-13.535071999999953</v>
          </cell>
          <cell r="AP47">
            <v>6.7072000000000007E-2</v>
          </cell>
          <cell r="AQ47">
            <v>-13.467999999999954</v>
          </cell>
          <cell r="AR47">
            <v>9.4989940709420253</v>
          </cell>
          <cell r="AS47">
            <v>3.1999999999996476E-2</v>
          </cell>
          <cell r="AT47">
            <v>9.5309940709420218</v>
          </cell>
          <cell r="AU47">
            <v>-22.998994070941976</v>
          </cell>
          <cell r="AV47">
            <v>0</v>
          </cell>
          <cell r="AW47">
            <v>330.68825753100964</v>
          </cell>
        </row>
        <row r="48">
          <cell r="G48"/>
          <cell r="H48"/>
          <cell r="I48"/>
          <cell r="J48"/>
          <cell r="K48"/>
          <cell r="L48"/>
          <cell r="M48"/>
          <cell r="N48"/>
          <cell r="O48">
            <v>2799.0546917184224</v>
          </cell>
          <cell r="P48">
            <v>2776.5447499999991</v>
          </cell>
          <cell r="Q48"/>
          <cell r="R48"/>
          <cell r="S48"/>
          <cell r="T48"/>
          <cell r="U48"/>
          <cell r="V48"/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/>
          <cell r="AN48"/>
          <cell r="AO48">
            <v>-31.681544999999794</v>
          </cell>
          <cell r="AP48">
            <v>0.90529499999999996</v>
          </cell>
          <cell r="AQ48">
            <v>-30.776249999999795</v>
          </cell>
          <cell r="AR48">
            <v>-0.21350878616426705</v>
          </cell>
          <cell r="AS48">
            <v>3.812161290322587</v>
          </cell>
          <cell r="AT48">
            <v>3.5986525041583208</v>
          </cell>
          <cell r="AU48">
            <v>-34.082241213835559</v>
          </cell>
          <cell r="AV48">
            <v>-0.29266129032255739</v>
          </cell>
          <cell r="AW48">
            <v>357.26021740890633</v>
          </cell>
          <cell r="AX48"/>
          <cell r="AY48"/>
          <cell r="AZ48"/>
          <cell r="BA48"/>
        </row>
        <row r="49">
          <cell r="O49"/>
          <cell r="AJ49"/>
          <cell r="AO49"/>
          <cell r="AP49"/>
          <cell r="AQ49"/>
          <cell r="AR49"/>
          <cell r="AS49"/>
          <cell r="AT49"/>
          <cell r="AU49"/>
          <cell r="AV49"/>
          <cell r="AW49"/>
        </row>
        <row r="50">
          <cell r="G50"/>
          <cell r="H50" t="str">
            <v>ETF</v>
          </cell>
          <cell r="I50" t="str">
            <v>00635U</v>
          </cell>
          <cell r="J50" t="str">
            <v>元大S&amp;P黃金</v>
          </cell>
          <cell r="K50">
            <v>24.09</v>
          </cell>
          <cell r="L50">
            <v>24.103675366922527</v>
          </cell>
          <cell r="M50">
            <v>-1.3675366922527132E-2</v>
          </cell>
          <cell r="N50">
            <v>-5.6735608633751156E-4</v>
          </cell>
          <cell r="O50">
            <v>5367.8885042136471</v>
          </cell>
          <cell r="P50">
            <v>5364.8429999999998</v>
          </cell>
          <cell r="Q50">
            <v>2227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2227</v>
          </cell>
          <cell r="AA50">
            <v>1</v>
          </cell>
          <cell r="AB50">
            <v>1000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 t="str">
            <v>NTD</v>
          </cell>
          <cell r="AI50">
            <v>1</v>
          </cell>
          <cell r="AJ50">
            <v>2227</v>
          </cell>
          <cell r="AK50">
            <v>24.29</v>
          </cell>
          <cell r="AL50">
            <v>24.27</v>
          </cell>
          <cell r="AM50">
            <v>1.9999999999999574E-2</v>
          </cell>
          <cell r="AN50">
            <v>8.2406262875966974E-4</v>
          </cell>
          <cell r="AO50">
            <v>-44.539999999999836</v>
          </cell>
          <cell r="AP50">
            <v>0</v>
          </cell>
          <cell r="AQ50">
            <v>-44.539999999999836</v>
          </cell>
          <cell r="AR50">
            <v>-7.4995042136466976</v>
          </cell>
          <cell r="AS50">
            <v>0</v>
          </cell>
          <cell r="AT50">
            <v>-7.4995042136466976</v>
          </cell>
          <cell r="AU50">
            <v>-37.040495786353141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</row>
        <row r="51">
          <cell r="G51"/>
          <cell r="H51" t="str">
            <v>ETF</v>
          </cell>
          <cell r="I51" t="str">
            <v>00708L</v>
          </cell>
          <cell r="J51" t="str">
            <v>元大S&amp;P黃金正2</v>
          </cell>
          <cell r="K51">
            <v>27</v>
          </cell>
          <cell r="L51">
            <v>27.003835380522844</v>
          </cell>
          <cell r="M51">
            <v>-3.8353805228439342E-3</v>
          </cell>
          <cell r="N51">
            <v>-1.4203095481801764E-4</v>
          </cell>
          <cell r="O51">
            <v>2581.5666623779839</v>
          </cell>
          <cell r="P51">
            <v>2581.1999999999998</v>
          </cell>
          <cell r="Q51">
            <v>478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478</v>
          </cell>
          <cell r="AA51">
            <v>2</v>
          </cell>
          <cell r="AB51">
            <v>1000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 t="str">
            <v>NTD</v>
          </cell>
          <cell r="AI51">
            <v>1</v>
          </cell>
          <cell r="AJ51">
            <v>478</v>
          </cell>
          <cell r="AK51">
            <v>27.43</v>
          </cell>
          <cell r="AL51">
            <v>27.37</v>
          </cell>
          <cell r="AM51">
            <v>5.9999999999998721E-2</v>
          </cell>
          <cell r="AN51">
            <v>2.19218122031406E-3</v>
          </cell>
          <cell r="AO51">
            <v>-20.553999999999984</v>
          </cell>
          <cell r="AP51">
            <v>0</v>
          </cell>
          <cell r="AQ51">
            <v>-20.553999999999984</v>
          </cell>
          <cell r="AR51">
            <v>-3.0513311889918788</v>
          </cell>
          <cell r="AS51">
            <v>0</v>
          </cell>
          <cell r="AT51">
            <v>-3.0513311889918788</v>
          </cell>
          <cell r="AU51">
            <v>-17.502668811008107</v>
          </cell>
          <cell r="AV51">
            <v>0</v>
          </cell>
          <cell r="AW51">
            <v>-28.669985846480657</v>
          </cell>
          <cell r="AX51">
            <v>0.1789</v>
          </cell>
          <cell r="AY51">
            <v>0</v>
          </cell>
          <cell r="AZ51">
            <v>0</v>
          </cell>
          <cell r="BA51">
            <v>0</v>
          </cell>
        </row>
        <row r="52">
          <cell r="G52"/>
          <cell r="H52" t="str">
            <v>ETF</v>
          </cell>
          <cell r="I52" t="str">
            <v>00674R</v>
          </cell>
          <cell r="J52" t="str">
            <v>元大S&amp;P黃金反1</v>
          </cell>
          <cell r="K52">
            <v>14.26</v>
          </cell>
          <cell r="L52">
            <v>14.272166456640194</v>
          </cell>
          <cell r="M52">
            <v>-1.2166456640194667E-2</v>
          </cell>
          <cell r="N52">
            <v>-8.5246039395325823E-4</v>
          </cell>
          <cell r="O52">
            <v>-3144.1582703978347</v>
          </cell>
          <cell r="P52">
            <v>-3141.4780000000001</v>
          </cell>
          <cell r="Q52">
            <v>2210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7</v>
          </cell>
          <cell r="X52">
            <v>0</v>
          </cell>
          <cell r="Y52">
            <v>14.28</v>
          </cell>
          <cell r="Z52">
            <v>2203</v>
          </cell>
          <cell r="AA52">
            <v>-1</v>
          </cell>
          <cell r="AB52">
            <v>1000</v>
          </cell>
          <cell r="AC52">
            <v>0</v>
          </cell>
          <cell r="AD52">
            <v>14.28</v>
          </cell>
          <cell r="AE52">
            <v>0</v>
          </cell>
          <cell r="AF52">
            <v>-9.9960000000000004</v>
          </cell>
          <cell r="AG52">
            <v>9.9960000000000004</v>
          </cell>
          <cell r="AH52" t="str">
            <v>NTD</v>
          </cell>
          <cell r="AI52">
            <v>1</v>
          </cell>
          <cell r="AJ52">
            <v>2210</v>
          </cell>
          <cell r="AK52">
            <v>14.19</v>
          </cell>
          <cell r="AL52">
            <v>14.2</v>
          </cell>
          <cell r="AM52">
            <v>-9.9999999999997868E-3</v>
          </cell>
          <cell r="AN52">
            <v>-7.0422535211267512E-4</v>
          </cell>
          <cell r="AO52">
            <v>15.474004000000063</v>
          </cell>
          <cell r="AP52">
            <v>9.9960000000000014E-3</v>
          </cell>
          <cell r="AQ52">
            <v>15.484000000000062</v>
          </cell>
          <cell r="AR52">
            <v>-0.47878691748306856</v>
          </cell>
          <cell r="AS52">
            <v>1.3999999999999702E-2</v>
          </cell>
          <cell r="AT52">
            <v>-0.46478691748306888</v>
          </cell>
          <cell r="AU52">
            <v>15.948786917483131</v>
          </cell>
          <cell r="AV52">
            <v>0</v>
          </cell>
          <cell r="AW52">
            <v>-31.867617264704563</v>
          </cell>
          <cell r="AX52">
            <v>8.2900000000000001E-2</v>
          </cell>
          <cell r="AY52">
            <v>0</v>
          </cell>
          <cell r="AZ52">
            <v>0</v>
          </cell>
          <cell r="BA52">
            <v>0</v>
          </cell>
        </row>
        <row r="53">
          <cell r="G53" t="str">
            <v>GC-M20</v>
          </cell>
          <cell r="H53" t="str">
            <v>期貨</v>
          </cell>
          <cell r="I53" t="str">
            <v>GCF0</v>
          </cell>
          <cell r="J53" t="str">
            <v>SP500-Mini</v>
          </cell>
          <cell r="K53">
            <v>1710.25</v>
          </cell>
          <cell r="L53">
            <v>1710.25</v>
          </cell>
          <cell r="M53" t="str">
            <v/>
          </cell>
          <cell r="N53" t="str">
            <v/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1</v>
          </cell>
          <cell r="AB53">
            <v>100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 t="str">
            <v>USD</v>
          </cell>
          <cell r="AI53">
            <v>29.77</v>
          </cell>
          <cell r="AJ53">
            <v>0</v>
          </cell>
          <cell r="AK53">
            <v>1726.3</v>
          </cell>
          <cell r="AL53">
            <v>1726.3</v>
          </cell>
          <cell r="AM53" t="str">
            <v/>
          </cell>
          <cell r="AN53" t="str">
            <v/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</row>
        <row r="54">
          <cell r="G54" t="str">
            <v>黃金小計</v>
          </cell>
          <cell r="H54"/>
          <cell r="I54"/>
          <cell r="J54"/>
          <cell r="K54"/>
          <cell r="L54"/>
          <cell r="M54"/>
          <cell r="N54"/>
          <cell r="O54">
            <v>4805.2968961937968</v>
          </cell>
          <cell r="P54">
            <v>4804.5649999999996</v>
          </cell>
          <cell r="Q54"/>
          <cell r="R54"/>
          <cell r="S54"/>
          <cell r="T54"/>
          <cell r="U54"/>
          <cell r="V54"/>
          <cell r="W54"/>
          <cell r="X54"/>
          <cell r="Y54"/>
          <cell r="Z54"/>
          <cell r="AA54"/>
          <cell r="AB54"/>
          <cell r="AC54"/>
          <cell r="AD54"/>
          <cell r="AE54">
            <v>0</v>
          </cell>
          <cell r="AF54">
            <v>-9.9960000000000004</v>
          </cell>
          <cell r="AG54">
            <v>9.9960000000000004</v>
          </cell>
          <cell r="AH54"/>
          <cell r="AI54"/>
          <cell r="AJ54"/>
          <cell r="AK54"/>
          <cell r="AL54"/>
          <cell r="AM54"/>
          <cell r="AN54"/>
          <cell r="AO54">
            <v>-49.619995999999759</v>
          </cell>
          <cell r="AP54">
            <v>9.9960000000000014E-3</v>
          </cell>
          <cell r="AQ54">
            <v>-49.609999999999758</v>
          </cell>
          <cell r="AR54">
            <v>-11.029622320121645</v>
          </cell>
          <cell r="AS54">
            <v>1.3999999999999702E-2</v>
          </cell>
          <cell r="AT54">
            <v>-11.015622320121645</v>
          </cell>
          <cell r="AU54">
            <v>-38.594377679878114</v>
          </cell>
          <cell r="AV54">
            <v>0</v>
          </cell>
          <cell r="AW54">
            <v>-60.53760311118522</v>
          </cell>
        </row>
        <row r="55">
          <cell r="O55"/>
          <cell r="AJ55"/>
          <cell r="AO55"/>
          <cell r="AP55"/>
          <cell r="AQ55"/>
          <cell r="AR55"/>
          <cell r="AS55"/>
          <cell r="AT55"/>
          <cell r="AU55"/>
          <cell r="AV55"/>
          <cell r="AW55"/>
        </row>
        <row r="56">
          <cell r="G56"/>
          <cell r="H56" t="str">
            <v>ETF</v>
          </cell>
          <cell r="I56" t="str">
            <v>00738U</v>
          </cell>
          <cell r="J56" t="str">
            <v>元大道瓊白銀</v>
          </cell>
          <cell r="K56">
            <v>19.63</v>
          </cell>
          <cell r="L56">
            <v>19.682498673098312</v>
          </cell>
          <cell r="M56">
            <v>-5.249867309831302E-2</v>
          </cell>
          <cell r="N56">
            <v>-2.6672768519002688E-3</v>
          </cell>
          <cell r="O56">
            <v>2190.6621023158423</v>
          </cell>
          <cell r="P56">
            <v>2184.819</v>
          </cell>
          <cell r="Q56">
            <v>1113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1113</v>
          </cell>
          <cell r="AA56">
            <v>1</v>
          </cell>
          <cell r="AB56">
            <v>1000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 t="str">
            <v>NTD</v>
          </cell>
          <cell r="AI56">
            <v>1</v>
          </cell>
          <cell r="AJ56">
            <v>1113</v>
          </cell>
          <cell r="AK56">
            <v>19.93</v>
          </cell>
          <cell r="AL56">
            <v>19.88</v>
          </cell>
          <cell r="AM56">
            <v>5.0000000000000711E-2</v>
          </cell>
          <cell r="AN56">
            <v>2.5150905432596016E-3</v>
          </cell>
          <cell r="AO56">
            <v>-33.390000000000079</v>
          </cell>
          <cell r="AP56">
            <v>0</v>
          </cell>
          <cell r="AQ56">
            <v>-33.390000000000079</v>
          </cell>
          <cell r="AR56">
            <v>-11.408102315842319</v>
          </cell>
          <cell r="AS56">
            <v>0</v>
          </cell>
          <cell r="AT56">
            <v>-11.408102315842319</v>
          </cell>
          <cell r="AU56">
            <v>-21.981897684157762</v>
          </cell>
          <cell r="AV56">
            <v>0</v>
          </cell>
          <cell r="AW56">
            <v>-50.03313143762503</v>
          </cell>
          <cell r="AX56">
            <v>0.18459999999999999</v>
          </cell>
          <cell r="AY56">
            <v>0</v>
          </cell>
          <cell r="AZ56">
            <v>0</v>
          </cell>
          <cell r="BA56">
            <v>0</v>
          </cell>
        </row>
        <row r="57">
          <cell r="G57" t="str">
            <v>SI-M20</v>
          </cell>
          <cell r="H57" t="str">
            <v>期貨</v>
          </cell>
          <cell r="I57" t="str">
            <v>SIF0</v>
          </cell>
          <cell r="J57" t="str">
            <v>白銀期貨</v>
          </cell>
          <cell r="K57">
            <v>17.96</v>
          </cell>
          <cell r="L57">
            <v>17.96</v>
          </cell>
          <cell r="M57" t="str">
            <v/>
          </cell>
          <cell r="N57" t="str">
            <v/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1</v>
          </cell>
          <cell r="AB57">
            <v>50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 t="str">
            <v>USD</v>
          </cell>
          <cell r="AI57">
            <v>29.77</v>
          </cell>
          <cell r="AJ57">
            <v>0</v>
          </cell>
          <cell r="AK57">
            <v>18.350000000000001</v>
          </cell>
          <cell r="AL57">
            <v>18.350000000000001</v>
          </cell>
          <cell r="AM57" t="str">
            <v/>
          </cell>
          <cell r="AN57" t="str">
            <v/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</row>
        <row r="58">
          <cell r="G58" t="str">
            <v>白銀小計</v>
          </cell>
          <cell r="H58"/>
          <cell r="I58"/>
          <cell r="J58"/>
          <cell r="K58"/>
          <cell r="L58"/>
          <cell r="M58"/>
          <cell r="N58"/>
          <cell r="O58">
            <v>2190.6621023158423</v>
          </cell>
          <cell r="P58">
            <v>2184.819</v>
          </cell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>
            <v>0</v>
          </cell>
          <cell r="AF58">
            <v>0</v>
          </cell>
          <cell r="AG58">
            <v>0</v>
          </cell>
          <cell r="AH58"/>
          <cell r="AI58"/>
          <cell r="AJ58"/>
          <cell r="AK58"/>
          <cell r="AL58"/>
          <cell r="AM58"/>
          <cell r="AN58"/>
          <cell r="AO58">
            <v>-33.390000000000079</v>
          </cell>
          <cell r="AP58">
            <v>0</v>
          </cell>
          <cell r="AQ58">
            <v>-33.390000000000079</v>
          </cell>
          <cell r="AR58">
            <v>-11.408102315842319</v>
          </cell>
          <cell r="AS58">
            <v>0</v>
          </cell>
          <cell r="AT58">
            <v>-11.408102315842319</v>
          </cell>
          <cell r="AU58">
            <v>-21.981897684157762</v>
          </cell>
          <cell r="AV58">
            <v>0</v>
          </cell>
          <cell r="AW58">
            <v>-50.03313143762503</v>
          </cell>
        </row>
        <row r="59">
          <cell r="O59"/>
          <cell r="AJ59"/>
          <cell r="AO59"/>
          <cell r="AP59"/>
          <cell r="AQ59"/>
          <cell r="AR59"/>
          <cell r="AS59"/>
          <cell r="AT59"/>
          <cell r="AU59"/>
          <cell r="AV59"/>
          <cell r="AW59"/>
        </row>
        <row r="60">
          <cell r="G60"/>
          <cell r="H60" t="str">
            <v>ETF</v>
          </cell>
          <cell r="I60" t="str">
            <v>00763U</v>
          </cell>
          <cell r="J60" t="str">
            <v>街口道瓊銅</v>
          </cell>
          <cell r="K60">
            <v>17.04</v>
          </cell>
          <cell r="L60">
            <v>17.139634789777411</v>
          </cell>
          <cell r="M60">
            <v>-9.963478977741147E-2</v>
          </cell>
          <cell r="N60">
            <v>-5.8131220997098554E-3</v>
          </cell>
          <cell r="O60">
            <v>4382.6046157460842</v>
          </cell>
          <cell r="P60">
            <v>4357.1279999999997</v>
          </cell>
          <cell r="Q60">
            <v>2527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42</v>
          </cell>
          <cell r="W60">
            <v>12</v>
          </cell>
          <cell r="X60">
            <v>17.029285714285713</v>
          </cell>
          <cell r="Y60">
            <v>16.999166666666667</v>
          </cell>
          <cell r="Z60">
            <v>2557</v>
          </cell>
          <cell r="AA60">
            <v>1</v>
          </cell>
          <cell r="AB60">
            <v>1000</v>
          </cell>
          <cell r="AC60">
            <v>17.029285714285713</v>
          </cell>
          <cell r="AD60">
            <v>16.999166666666667</v>
          </cell>
          <cell r="AE60">
            <v>71.522999999999982</v>
          </cell>
          <cell r="AF60">
            <v>20.399000000000001</v>
          </cell>
          <cell r="AG60">
            <v>51.123999999999981</v>
          </cell>
          <cell r="AH60" t="str">
            <v>NTD</v>
          </cell>
          <cell r="AI60">
            <v>1</v>
          </cell>
          <cell r="AJ60">
            <v>2527</v>
          </cell>
          <cell r="AK60">
            <v>17</v>
          </cell>
          <cell r="AL60">
            <v>16.97</v>
          </cell>
          <cell r="AM60">
            <v>3.0000000000001137E-2</v>
          </cell>
          <cell r="AN60">
            <v>1.767825574543469E-3</v>
          </cell>
          <cell r="AO60">
            <v>10.083600999999796</v>
          </cell>
          <cell r="AP60">
            <v>2.0399E-2</v>
          </cell>
          <cell r="AQ60">
            <v>10.103999999999795</v>
          </cell>
          <cell r="AR60">
            <v>-32.75871137675216</v>
          </cell>
          <cell r="AS60">
            <v>3.2142857142858361E-2</v>
          </cell>
          <cell r="AT60">
            <v>-32.726568519609302</v>
          </cell>
          <cell r="AU60">
            <v>42.866711376751951</v>
          </cell>
          <cell r="AV60">
            <v>-3.6142857142854722E-2</v>
          </cell>
          <cell r="AW60">
            <v>-97.70447881380862</v>
          </cell>
          <cell r="AX60">
            <v>0.186</v>
          </cell>
          <cell r="AY60">
            <v>0</v>
          </cell>
          <cell r="AZ60">
            <v>0</v>
          </cell>
          <cell r="BA60">
            <v>0</v>
          </cell>
        </row>
        <row r="61">
          <cell r="G61" t="str">
            <v>HG-N20</v>
          </cell>
          <cell r="H61" t="str">
            <v>期貨</v>
          </cell>
          <cell r="I61" t="str">
            <v>HGG0</v>
          </cell>
          <cell r="J61" t="str">
            <v>高級銅期貨</v>
          </cell>
          <cell r="K61">
            <v>2.5099999999999998</v>
          </cell>
          <cell r="L61">
            <v>2.5099999999999998</v>
          </cell>
          <cell r="M61" t="str">
            <v/>
          </cell>
          <cell r="N61" t="str">
            <v/>
          </cell>
          <cell r="O61">
            <v>-4109.7485000000006</v>
          </cell>
          <cell r="P61">
            <v>-4109.7485000000006</v>
          </cell>
          <cell r="Q61">
            <v>-22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-22</v>
          </cell>
          <cell r="AA61">
            <v>1</v>
          </cell>
          <cell r="AB61">
            <v>25000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 t="str">
            <v>USD</v>
          </cell>
          <cell r="AI61">
            <v>29.77</v>
          </cell>
          <cell r="AJ61">
            <v>-22</v>
          </cell>
          <cell r="AK61">
            <v>2.4820000000000002</v>
          </cell>
          <cell r="AL61">
            <v>2.48</v>
          </cell>
          <cell r="AM61" t="str">
            <v/>
          </cell>
          <cell r="AN61" t="str">
            <v/>
          </cell>
          <cell r="AO61">
            <v>-45.845799999999315</v>
          </cell>
          <cell r="AP61">
            <v>0</v>
          </cell>
          <cell r="AQ61">
            <v>-45.845799999999315</v>
          </cell>
          <cell r="AR61">
            <v>0</v>
          </cell>
          <cell r="AS61">
            <v>0</v>
          </cell>
          <cell r="AT61">
            <v>0</v>
          </cell>
          <cell r="AU61">
            <v>-45.845799999999315</v>
          </cell>
          <cell r="AV61">
            <v>0</v>
          </cell>
          <cell r="AW61">
            <v>0.20158599999999904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</row>
        <row r="62">
          <cell r="G62" t="str">
            <v>銅小計</v>
          </cell>
          <cell r="H62"/>
          <cell r="I62"/>
          <cell r="J62"/>
          <cell r="K62"/>
          <cell r="L62"/>
          <cell r="M62"/>
          <cell r="N62"/>
          <cell r="O62">
            <v>272.85611574608356</v>
          </cell>
          <cell r="P62">
            <v>247.3794999999991</v>
          </cell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>
            <v>71.522999999999982</v>
          </cell>
          <cell r="AF62">
            <v>20.399000000000001</v>
          </cell>
          <cell r="AG62">
            <v>51.123999999999981</v>
          </cell>
          <cell r="AH62"/>
          <cell r="AI62"/>
          <cell r="AJ62"/>
          <cell r="AK62"/>
          <cell r="AL62"/>
          <cell r="AM62"/>
          <cell r="AN62"/>
          <cell r="AO62">
            <v>-35.762198999999519</v>
          </cell>
          <cell r="AP62">
            <v>2.0399E-2</v>
          </cell>
          <cell r="AQ62">
            <v>-35.741799999999522</v>
          </cell>
          <cell r="AR62">
            <v>-32.75871137675216</v>
          </cell>
          <cell r="AS62">
            <v>3.2142857142858361E-2</v>
          </cell>
          <cell r="AT62">
            <v>-32.726568519609302</v>
          </cell>
          <cell r="AU62">
            <v>-2.9790886232473639</v>
          </cell>
          <cell r="AV62">
            <v>-3.6142857142854722E-2</v>
          </cell>
          <cell r="AW62">
            <v>-97.502892813808614</v>
          </cell>
        </row>
        <row r="63">
          <cell r="G63"/>
          <cell r="H63"/>
          <cell r="I63"/>
          <cell r="J63"/>
          <cell r="K63"/>
          <cell r="L63"/>
          <cell r="M63"/>
          <cell r="N63"/>
          <cell r="O63">
            <v>7268.8151142557226</v>
          </cell>
          <cell r="P63">
            <v>7236.7634999999991</v>
          </cell>
          <cell r="Q63"/>
          <cell r="R63"/>
          <cell r="S63"/>
          <cell r="T63"/>
          <cell r="U63"/>
          <cell r="V63"/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/>
          <cell r="AN63"/>
          <cell r="AO63">
            <v>-118.77219499999936</v>
          </cell>
          <cell r="AP63">
            <v>3.0395000000000002E-2</v>
          </cell>
          <cell r="AQ63">
            <v>-118.74179999999936</v>
          </cell>
          <cell r="AR63">
            <v>-55.19643601271612</v>
          </cell>
          <cell r="AS63">
            <v>4.6142857142858061E-2</v>
          </cell>
          <cell r="AT63">
            <v>-55.150293155573266</v>
          </cell>
          <cell r="AU63">
            <v>-63.555363987283243</v>
          </cell>
          <cell r="AV63">
            <v>-3.6142857142854722E-2</v>
          </cell>
          <cell r="AW63">
            <v>-208.07362736261888</v>
          </cell>
          <cell r="AX63"/>
          <cell r="AY63"/>
          <cell r="AZ63"/>
          <cell r="BA63"/>
        </row>
        <row r="64">
          <cell r="O64"/>
          <cell r="AJ64"/>
          <cell r="AO64"/>
          <cell r="AP64"/>
          <cell r="AQ64"/>
          <cell r="AR64"/>
          <cell r="AS64"/>
          <cell r="AT64"/>
          <cell r="AU64"/>
          <cell r="AV64"/>
          <cell r="AW64"/>
        </row>
        <row r="65">
          <cell r="H65" t="str">
            <v>ETF</v>
          </cell>
          <cell r="I65" t="str">
            <v>00677U</v>
          </cell>
          <cell r="J65" t="str">
            <v>富邦VIX</v>
          </cell>
          <cell r="K65">
            <v>5.47</v>
          </cell>
          <cell r="L65">
            <v>5.4340303686906939</v>
          </cell>
          <cell r="M65">
            <v>3.5969631309305861E-2</v>
          </cell>
          <cell r="N65">
            <v>6.6193283564539573E-3</v>
          </cell>
          <cell r="O65">
            <v>6611.5847495859671</v>
          </cell>
          <cell r="P65">
            <v>6655.3489999999993</v>
          </cell>
          <cell r="Q65">
            <v>14820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2653</v>
          </cell>
          <cell r="X65">
            <v>0</v>
          </cell>
          <cell r="Y65">
            <v>5.5341424802110817</v>
          </cell>
          <cell r="Z65">
            <v>12167</v>
          </cell>
          <cell r="AA65">
            <v>1</v>
          </cell>
          <cell r="AB65">
            <v>1000</v>
          </cell>
          <cell r="AC65">
            <v>0</v>
          </cell>
          <cell r="AD65">
            <v>5.5341424802110817</v>
          </cell>
          <cell r="AE65">
            <v>0</v>
          </cell>
          <cell r="AF65">
            <v>1468.2080000000001</v>
          </cell>
          <cell r="AG65">
            <v>-1468.2080000000001</v>
          </cell>
          <cell r="AH65" t="str">
            <v>NTD</v>
          </cell>
          <cell r="AI65">
            <v>1</v>
          </cell>
          <cell r="AJ65">
            <v>14820</v>
          </cell>
          <cell r="AK65">
            <v>5.85</v>
          </cell>
          <cell r="AL65">
            <v>5.84</v>
          </cell>
          <cell r="AM65">
            <v>9.9999999999997868E-3</v>
          </cell>
          <cell r="AN65">
            <v>1.712328767123239E-3</v>
          </cell>
          <cell r="AO65">
            <v>-547.61120799999992</v>
          </cell>
          <cell r="AP65">
            <v>1.468208</v>
          </cell>
          <cell r="AQ65">
            <v>-546.14299999999992</v>
          </cell>
          <cell r="AR65">
            <v>38.4869936003916</v>
          </cell>
          <cell r="AS65">
            <v>17.017000000000035</v>
          </cell>
          <cell r="AT65">
            <v>55.503993600391638</v>
          </cell>
          <cell r="AU65">
            <v>-601.64699360039151</v>
          </cell>
          <cell r="AV65">
            <v>0</v>
          </cell>
          <cell r="AW65">
            <v>-722.92989642021303</v>
          </cell>
          <cell r="AX65">
            <v>0.68189999999999995</v>
          </cell>
          <cell r="AY65">
            <v>0</v>
          </cell>
          <cell r="AZ65">
            <v>0</v>
          </cell>
          <cell r="BA65">
            <v>0</v>
          </cell>
        </row>
        <row r="66">
          <cell r="G66" t="str">
            <v>VX-N20</v>
          </cell>
          <cell r="H66" t="str">
            <v>期貨</v>
          </cell>
          <cell r="I66" t="str">
            <v>VXG0</v>
          </cell>
          <cell r="J66" t="str">
            <v>VIX期貨</v>
          </cell>
          <cell r="K66">
            <v>28.18</v>
          </cell>
          <cell r="L66">
            <v>28.18</v>
          </cell>
          <cell r="M66" t="str">
            <v/>
          </cell>
          <cell r="N66" t="str">
            <v/>
          </cell>
          <cell r="O66">
            <v>1929.5127799999998</v>
          </cell>
          <cell r="P66">
            <v>1929.5127799999998</v>
          </cell>
          <cell r="Q66">
            <v>16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10</v>
          </cell>
          <cell r="W66">
            <v>3</v>
          </cell>
          <cell r="X66">
            <v>28.530000000000008</v>
          </cell>
          <cell r="Y66">
            <v>28.715</v>
          </cell>
          <cell r="Z66">
            <v>23</v>
          </cell>
          <cell r="AA66">
            <v>1</v>
          </cell>
          <cell r="AB66">
            <v>1000</v>
          </cell>
          <cell r="AC66">
            <v>28.530000000000008</v>
          </cell>
          <cell r="AD66">
            <v>28.715</v>
          </cell>
          <cell r="AE66">
            <v>849.33810000000017</v>
          </cell>
          <cell r="AF66">
            <v>256.453665</v>
          </cell>
          <cell r="AG66">
            <v>592.88443500000017</v>
          </cell>
          <cell r="AH66" t="str">
            <v>USD</v>
          </cell>
          <cell r="AI66">
            <v>29.77</v>
          </cell>
          <cell r="AJ66">
            <v>16</v>
          </cell>
          <cell r="AK66">
            <v>29.95</v>
          </cell>
          <cell r="AL66">
            <v>29.95</v>
          </cell>
          <cell r="AM66" t="str">
            <v/>
          </cell>
          <cell r="AN66" t="str">
            <v/>
          </cell>
          <cell r="AO66">
            <v>-89.950055000000233</v>
          </cell>
          <cell r="AP66">
            <v>0</v>
          </cell>
          <cell r="AQ66">
            <v>-89.950055000000233</v>
          </cell>
          <cell r="AR66">
            <v>0</v>
          </cell>
          <cell r="AS66">
            <v>-7.2936500000001772</v>
          </cell>
          <cell r="AT66">
            <v>-7.2936500000001772</v>
          </cell>
          <cell r="AU66">
            <v>-84.308639999999983</v>
          </cell>
          <cell r="AV66">
            <v>1.6522349999999255</v>
          </cell>
          <cell r="AW66">
            <v>0.37070880000000378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</row>
        <row r="67">
          <cell r="G67" t="str">
            <v>VX-M20</v>
          </cell>
          <cell r="H67" t="str">
            <v>期貨</v>
          </cell>
          <cell r="I67" t="str">
            <v>VXF0</v>
          </cell>
          <cell r="J67" t="str">
            <v>VIX期貨</v>
          </cell>
          <cell r="K67">
            <v>26.08</v>
          </cell>
          <cell r="L67">
            <v>26.08</v>
          </cell>
          <cell r="M67" t="str">
            <v/>
          </cell>
          <cell r="N67" t="str">
            <v/>
          </cell>
          <cell r="O67">
            <v>2329.2048</v>
          </cell>
          <cell r="P67">
            <v>2329.2048</v>
          </cell>
          <cell r="Q67">
            <v>18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12</v>
          </cell>
          <cell r="W67">
            <v>0</v>
          </cell>
          <cell r="X67">
            <v>26.597916666666666</v>
          </cell>
          <cell r="Y67">
            <v>0</v>
          </cell>
          <cell r="Z67">
            <v>30</v>
          </cell>
          <cell r="AA67">
            <v>1</v>
          </cell>
          <cell r="AB67">
            <v>1000</v>
          </cell>
          <cell r="AC67">
            <v>26.597916666666666</v>
          </cell>
          <cell r="AD67">
            <v>0</v>
          </cell>
          <cell r="AE67">
            <v>950.18397500000003</v>
          </cell>
          <cell r="AF67">
            <v>0</v>
          </cell>
          <cell r="AG67">
            <v>950.18397500000003</v>
          </cell>
          <cell r="AH67" t="str">
            <v>USD</v>
          </cell>
          <cell r="AI67">
            <v>29.77</v>
          </cell>
          <cell r="AJ67">
            <v>18</v>
          </cell>
          <cell r="AK67">
            <v>28.2</v>
          </cell>
          <cell r="AL67">
            <v>28.2</v>
          </cell>
          <cell r="AM67" t="str">
            <v/>
          </cell>
          <cell r="AN67" t="str">
            <v/>
          </cell>
          <cell r="AO67">
            <v>-132.10437500000012</v>
          </cell>
          <cell r="AP67">
            <v>0</v>
          </cell>
          <cell r="AQ67">
            <v>-132.10437500000012</v>
          </cell>
          <cell r="AR67">
            <v>0</v>
          </cell>
          <cell r="AS67">
            <v>-18.502055000000052</v>
          </cell>
          <cell r="AT67">
            <v>-18.502055000000052</v>
          </cell>
          <cell r="AU67">
            <v>-113.60232000000006</v>
          </cell>
          <cell r="AV67">
            <v>0</v>
          </cell>
          <cell r="AW67">
            <v>0.49951440000000535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</row>
        <row r="68">
          <cell r="G68" t="str">
            <v>VIX小計</v>
          </cell>
          <cell r="H68"/>
          <cell r="I68"/>
          <cell r="J68"/>
          <cell r="K68"/>
          <cell r="L68"/>
          <cell r="M68"/>
          <cell r="N68"/>
          <cell r="O68">
            <v>10870.302329585966</v>
          </cell>
          <cell r="P68">
            <v>10914.066579999999</v>
          </cell>
          <cell r="Q68"/>
          <cell r="R68"/>
          <cell r="S68"/>
          <cell r="T68"/>
          <cell r="U68"/>
          <cell r="V68"/>
          <cell r="W68"/>
          <cell r="X68"/>
          <cell r="Y68"/>
          <cell r="Z68"/>
          <cell r="AA68"/>
          <cell r="AB68"/>
          <cell r="AC68"/>
          <cell r="AD68"/>
          <cell r="AE68">
            <v>1799.5220750000003</v>
          </cell>
          <cell r="AF68">
            <v>1724.6616650000001</v>
          </cell>
          <cell r="AG68">
            <v>74.860410000000115</v>
          </cell>
          <cell r="AH68"/>
          <cell r="AI68"/>
          <cell r="AJ68"/>
          <cell r="AK68"/>
          <cell r="AL68"/>
          <cell r="AM68"/>
          <cell r="AN68"/>
          <cell r="AO68">
            <v>-769.66563800000029</v>
          </cell>
          <cell r="AP68">
            <v>1.468208</v>
          </cell>
          <cell r="AQ68">
            <v>-768.19743000000028</v>
          </cell>
          <cell r="AR68">
            <v>38.4869936003916</v>
          </cell>
          <cell r="AS68">
            <v>-8.778705000000194</v>
          </cell>
          <cell r="AT68">
            <v>29.708288600391409</v>
          </cell>
          <cell r="AU68">
            <v>-799.55795360039156</v>
          </cell>
          <cell r="AV68">
            <v>1.6522349999999255</v>
          </cell>
          <cell r="AW68">
            <v>-722.05967322021309</v>
          </cell>
        </row>
        <row r="69">
          <cell r="G69"/>
          <cell r="H69"/>
          <cell r="I69"/>
          <cell r="J69"/>
          <cell r="K69"/>
          <cell r="L69"/>
          <cell r="M69"/>
          <cell r="N69"/>
          <cell r="O69">
            <v>10870.302329585966</v>
          </cell>
          <cell r="P69">
            <v>10914.066579999999</v>
          </cell>
          <cell r="Q69"/>
          <cell r="R69"/>
          <cell r="S69"/>
          <cell r="T69"/>
          <cell r="U69"/>
          <cell r="V69"/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/>
          <cell r="AN69"/>
          <cell r="AO69">
            <v>-769.66563800000029</v>
          </cell>
          <cell r="AP69">
            <v>1.468208</v>
          </cell>
          <cell r="AQ69">
            <v>-768.19743000000028</v>
          </cell>
          <cell r="AR69">
            <v>38.4869936003916</v>
          </cell>
          <cell r="AS69">
            <v>-8.778705000000194</v>
          </cell>
          <cell r="AT69">
            <v>29.708288600391409</v>
          </cell>
          <cell r="AU69">
            <v>-799.55795360039156</v>
          </cell>
          <cell r="AV69">
            <v>1.6522349999999255</v>
          </cell>
          <cell r="AW69">
            <v>-722.05967322021309</v>
          </cell>
          <cell r="AX69"/>
          <cell r="AY69"/>
          <cell r="AZ69"/>
          <cell r="BA69"/>
        </row>
        <row r="71">
          <cell r="H71" t="str">
            <v>ETF</v>
          </cell>
          <cell r="I71" t="str">
            <v>00693U</v>
          </cell>
          <cell r="J71" t="str">
            <v>街口S&amp;P黃豆</v>
          </cell>
          <cell r="K71">
            <v>14.24</v>
          </cell>
          <cell r="L71">
            <v>13.882463178009703</v>
          </cell>
          <cell r="M71">
            <v>0.35753682199029768</v>
          </cell>
          <cell r="N71">
            <v>2.5754566563997772E-2</v>
          </cell>
          <cell r="O71">
            <v>-156.87183391150961</v>
          </cell>
          <cell r="P71">
            <v>-160.91200000000003</v>
          </cell>
          <cell r="Q71">
            <v>102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215</v>
          </cell>
          <cell r="X71">
            <v>0</v>
          </cell>
          <cell r="Y71">
            <v>14.2</v>
          </cell>
          <cell r="Z71">
            <v>-113</v>
          </cell>
          <cell r="AA71">
            <v>1</v>
          </cell>
          <cell r="AB71">
            <v>1000</v>
          </cell>
          <cell r="AC71">
            <v>0</v>
          </cell>
          <cell r="AD71">
            <v>14.2</v>
          </cell>
          <cell r="AE71">
            <v>0</v>
          </cell>
          <cell r="AF71">
            <v>305.3</v>
          </cell>
          <cell r="AG71">
            <v>-305.3</v>
          </cell>
          <cell r="AH71" t="str">
            <v>NTD</v>
          </cell>
          <cell r="AI71">
            <v>1</v>
          </cell>
          <cell r="AJ71">
            <v>102</v>
          </cell>
          <cell r="AK71">
            <v>13.7</v>
          </cell>
          <cell r="AL71">
            <v>13.58</v>
          </cell>
          <cell r="AM71">
            <v>0.11999999999999922</v>
          </cell>
          <cell r="AN71">
            <v>8.8365243004417948E-3</v>
          </cell>
          <cell r="AO71">
            <v>4.3426999999999891</v>
          </cell>
          <cell r="AP71">
            <v>0.30530000000000002</v>
          </cell>
          <cell r="AQ71">
            <v>4.647999999999989</v>
          </cell>
          <cell r="AR71">
            <v>2.4228755843010443</v>
          </cell>
          <cell r="AS71">
            <v>-0.86000000000001986</v>
          </cell>
          <cell r="AT71">
            <v>1.5628755843010245</v>
          </cell>
          <cell r="AU71">
            <v>3.085124415698965</v>
          </cell>
          <cell r="AV71">
            <v>0</v>
          </cell>
          <cell r="AW71">
            <v>-3.1542330317039218</v>
          </cell>
          <cell r="AX71">
            <v>0.18590000000000001</v>
          </cell>
          <cell r="AY71">
            <v>0</v>
          </cell>
          <cell r="AZ71">
            <v>0</v>
          </cell>
          <cell r="BA71">
            <v>0</v>
          </cell>
        </row>
        <row r="72">
          <cell r="G72" t="str">
            <v>ZS-N20</v>
          </cell>
          <cell r="H72" t="str">
            <v>期貨</v>
          </cell>
          <cell r="I72" t="str">
            <v>ZSG0</v>
          </cell>
          <cell r="J72" t="str">
            <v>黃豆期貨CBOT</v>
          </cell>
          <cell r="K72">
            <v>870.88</v>
          </cell>
          <cell r="L72">
            <v>870.88</v>
          </cell>
          <cell r="M72" t="str">
            <v/>
          </cell>
          <cell r="N72" t="str">
            <v/>
          </cell>
          <cell r="O72">
            <v>518.52195199999994</v>
          </cell>
          <cell r="P72">
            <v>518.52195199999994</v>
          </cell>
          <cell r="Q72">
            <v>3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1</v>
          </cell>
          <cell r="W72">
            <v>0</v>
          </cell>
          <cell r="X72">
            <v>871.25</v>
          </cell>
          <cell r="Y72">
            <v>0</v>
          </cell>
          <cell r="Z72">
            <v>4</v>
          </cell>
          <cell r="AA72">
            <v>1</v>
          </cell>
          <cell r="AB72">
            <v>50</v>
          </cell>
          <cell r="AC72">
            <v>871.25</v>
          </cell>
          <cell r="AD72">
            <v>0</v>
          </cell>
          <cell r="AE72">
            <v>129.6855625</v>
          </cell>
          <cell r="AF72">
            <v>0</v>
          </cell>
          <cell r="AG72">
            <v>129.6855625</v>
          </cell>
          <cell r="AH72" t="str">
            <v>USD</v>
          </cell>
          <cell r="AI72">
            <v>29.77</v>
          </cell>
          <cell r="AJ72">
            <v>3</v>
          </cell>
          <cell r="AK72">
            <v>851.5</v>
          </cell>
          <cell r="AL72">
            <v>851.5</v>
          </cell>
          <cell r="AM72" t="str">
            <v/>
          </cell>
          <cell r="AN72" t="str">
            <v/>
          </cell>
          <cell r="AO72">
            <v>8.599064499999999</v>
          </cell>
          <cell r="AP72">
            <v>0</v>
          </cell>
          <cell r="AQ72">
            <v>8.599064499999999</v>
          </cell>
          <cell r="AR72">
            <v>0</v>
          </cell>
          <cell r="AS72">
            <v>-5.5074500000000685E-2</v>
          </cell>
          <cell r="AT72">
            <v>-5.5074500000000685E-2</v>
          </cell>
          <cell r="AU72">
            <v>8.6541389999999989</v>
          </cell>
          <cell r="AV72">
            <v>0</v>
          </cell>
          <cell r="AW72">
            <v>-3.8052630000000379E-2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</row>
        <row r="73">
          <cell r="G73" t="str">
            <v>黃豆小計</v>
          </cell>
          <cell r="H73"/>
          <cell r="I73"/>
          <cell r="J73"/>
          <cell r="K73"/>
          <cell r="L73"/>
          <cell r="M73"/>
          <cell r="N73"/>
          <cell r="O73">
            <v>361.65011808849033</v>
          </cell>
          <cell r="P73">
            <v>357.60995199999991</v>
          </cell>
          <cell r="Q73"/>
          <cell r="R73"/>
          <cell r="S73"/>
          <cell r="T73"/>
          <cell r="U73"/>
          <cell r="V73"/>
          <cell r="W73"/>
          <cell r="X73"/>
          <cell r="Y73"/>
          <cell r="Z73"/>
          <cell r="AA73"/>
          <cell r="AB73"/>
          <cell r="AC73"/>
          <cell r="AD73"/>
          <cell r="AE73">
            <v>129.6855625</v>
          </cell>
          <cell r="AF73">
            <v>305.3</v>
          </cell>
          <cell r="AG73">
            <v>-175.61443750000001</v>
          </cell>
          <cell r="AH73"/>
          <cell r="AI73"/>
          <cell r="AJ73"/>
          <cell r="AK73"/>
          <cell r="AL73"/>
          <cell r="AM73"/>
          <cell r="AN73"/>
          <cell r="AO73">
            <v>12.941764499999987</v>
          </cell>
          <cell r="AP73">
            <v>0.30530000000000002</v>
          </cell>
          <cell r="AQ73">
            <v>13.247064499999988</v>
          </cell>
          <cell r="AR73">
            <v>2.4228755843010443</v>
          </cell>
          <cell r="AS73">
            <v>-0.91507450000002055</v>
          </cell>
          <cell r="AT73">
            <v>1.5078010843010239</v>
          </cell>
          <cell r="AU73">
            <v>11.739263415698964</v>
          </cell>
          <cell r="AV73">
            <v>0</v>
          </cell>
          <cell r="AW73">
            <v>-3.1922856617039224</v>
          </cell>
        </row>
        <row r="74">
          <cell r="G74"/>
          <cell r="H74"/>
          <cell r="I74"/>
          <cell r="J74"/>
          <cell r="K74"/>
          <cell r="L74"/>
          <cell r="M74"/>
          <cell r="N74"/>
          <cell r="O74">
            <v>361.65011808849033</v>
          </cell>
          <cell r="P74">
            <v>357.60995199999991</v>
          </cell>
          <cell r="Q74"/>
          <cell r="R74"/>
          <cell r="S74"/>
          <cell r="T74"/>
          <cell r="U74"/>
          <cell r="V74"/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/>
          <cell r="AI74"/>
          <cell r="AJ74"/>
          <cell r="AK74"/>
          <cell r="AL74"/>
          <cell r="AM74"/>
          <cell r="AN74"/>
          <cell r="AO74">
            <v>12.941764499999987</v>
          </cell>
          <cell r="AP74">
            <v>0.30530000000000002</v>
          </cell>
          <cell r="AQ74">
            <v>13.247064499999988</v>
          </cell>
          <cell r="AR74">
            <v>2.4228755843010443</v>
          </cell>
          <cell r="AS74">
            <v>-0.91507450000002055</v>
          </cell>
          <cell r="AT74">
            <v>1.5078010843010239</v>
          </cell>
          <cell r="AU74">
            <v>11.739263415698964</v>
          </cell>
          <cell r="AV74">
            <v>0</v>
          </cell>
          <cell r="AW74">
            <v>-3.1922856617039224</v>
          </cell>
          <cell r="AX74"/>
          <cell r="AY74"/>
          <cell r="AZ74"/>
          <cell r="BA74"/>
        </row>
        <row r="76">
          <cell r="H76" t="str">
            <v>ETF</v>
          </cell>
          <cell r="I76" t="str">
            <v>00633L</v>
          </cell>
          <cell r="J76" t="str">
            <v>富邦上証正2</v>
          </cell>
          <cell r="K76">
            <v>43.87</v>
          </cell>
          <cell r="L76">
            <v>43.928396056725958</v>
          </cell>
          <cell r="M76">
            <v>-5.8396056725960932E-2</v>
          </cell>
          <cell r="N76">
            <v>-1.3293464357440055E-3</v>
          </cell>
          <cell r="O76">
            <v>-1906.4923888619064</v>
          </cell>
          <cell r="P76">
            <v>-1903.9579999999996</v>
          </cell>
          <cell r="Q76">
            <v>-217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-217</v>
          </cell>
          <cell r="AA76">
            <v>2</v>
          </cell>
          <cell r="AB76">
            <v>1000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 t="str">
            <v>NTD</v>
          </cell>
          <cell r="AI76">
            <v>1</v>
          </cell>
          <cell r="AJ76">
            <v>-217</v>
          </cell>
          <cell r="AK76">
            <v>44.37</v>
          </cell>
          <cell r="AL76">
            <v>44.35</v>
          </cell>
          <cell r="AM76">
            <v>1.9999999999996021E-2</v>
          </cell>
          <cell r="AN76">
            <v>4.5095828635832724E-4</v>
          </cell>
          <cell r="AO76">
            <v>10.850000000000001</v>
          </cell>
          <cell r="AP76">
            <v>0</v>
          </cell>
          <cell r="AQ76">
            <v>10.850000000000001</v>
          </cell>
          <cell r="AR76">
            <v>1.7011944309532661</v>
          </cell>
          <cell r="AS76">
            <v>0</v>
          </cell>
          <cell r="AT76">
            <v>1.7011944309532661</v>
          </cell>
          <cell r="AU76">
            <v>9.1488055690467345</v>
          </cell>
          <cell r="AV76">
            <v>0</v>
          </cell>
          <cell r="AW76">
            <v>100.84370230676821</v>
          </cell>
          <cell r="AX76">
            <v>0.84989999999999999</v>
          </cell>
          <cell r="AY76">
            <v>8.5800000000000001E-2</v>
          </cell>
          <cell r="AZ76">
            <v>0</v>
          </cell>
          <cell r="BA76">
            <v>0</v>
          </cell>
        </row>
        <row r="77">
          <cell r="H77" t="str">
            <v>ETF</v>
          </cell>
          <cell r="I77" t="str">
            <v>00637L</v>
          </cell>
          <cell r="J77" t="str">
            <v>元大滬深300正2</v>
          </cell>
          <cell r="K77">
            <v>16.91</v>
          </cell>
          <cell r="L77">
            <v>16.986589524496193</v>
          </cell>
          <cell r="M77">
            <v>-7.6589524496192496E-2</v>
          </cell>
          <cell r="N77">
            <v>-4.5088229385742418E-3</v>
          </cell>
          <cell r="O77">
            <v>-41634.130924540164</v>
          </cell>
          <cell r="P77">
            <v>-41446.410000000003</v>
          </cell>
          <cell r="Q77">
            <v>-12219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36</v>
          </cell>
          <cell r="X77">
            <v>0</v>
          </cell>
          <cell r="Y77">
            <v>16.91138888888889</v>
          </cell>
          <cell r="Z77">
            <v>-12255</v>
          </cell>
          <cell r="AA77">
            <v>2</v>
          </cell>
          <cell r="AB77">
            <v>1000</v>
          </cell>
          <cell r="AC77">
            <v>0</v>
          </cell>
          <cell r="AD77">
            <v>16.91138888888889</v>
          </cell>
          <cell r="AE77">
            <v>0</v>
          </cell>
          <cell r="AF77">
            <v>121.76200000000003</v>
          </cell>
          <cell r="AG77">
            <v>-121.76200000000003</v>
          </cell>
          <cell r="AH77" t="str">
            <v>NTD</v>
          </cell>
          <cell r="AI77">
            <v>1</v>
          </cell>
          <cell r="AJ77">
            <v>-12219</v>
          </cell>
          <cell r="AK77">
            <v>17.149999999999999</v>
          </cell>
          <cell r="AL77">
            <v>17.13</v>
          </cell>
          <cell r="AM77">
            <v>1.9999999999999574E-2</v>
          </cell>
          <cell r="AN77">
            <v>1.1675423234092097E-3</v>
          </cell>
          <cell r="AO77">
            <v>293.20011899999815</v>
          </cell>
          <cell r="AP77">
            <v>6.0881000000000018E-2</v>
          </cell>
          <cell r="AQ77">
            <v>293.26099999999815</v>
          </cell>
          <cell r="AR77">
            <v>118.0227399818971</v>
          </cell>
          <cell r="AS77">
            <v>5.0000000000039787E-3</v>
          </cell>
          <cell r="AT77">
            <v>118.02773998189711</v>
          </cell>
          <cell r="AU77">
            <v>175.23326001810102</v>
          </cell>
          <cell r="AV77">
            <v>0</v>
          </cell>
          <cell r="AW77">
            <v>2090.523526265702</v>
          </cell>
          <cell r="AX77">
            <v>0.81469999999999998</v>
          </cell>
          <cell r="AY77">
            <v>1.0200000000000001E-2</v>
          </cell>
          <cell r="AZ77">
            <v>0</v>
          </cell>
          <cell r="BA77">
            <v>0</v>
          </cell>
        </row>
        <row r="78">
          <cell r="H78" t="str">
            <v>ETF</v>
          </cell>
          <cell r="I78" t="str">
            <v>00655L</v>
          </cell>
          <cell r="J78" t="str">
            <v>國泰中國A50正2</v>
          </cell>
          <cell r="K78">
            <v>31.94</v>
          </cell>
          <cell r="L78">
            <v>32.054666027276873</v>
          </cell>
          <cell r="M78">
            <v>-0.11466602727687203</v>
          </cell>
          <cell r="N78">
            <v>-3.5772023698296129E-3</v>
          </cell>
          <cell r="O78">
            <v>1083.4477117219585</v>
          </cell>
          <cell r="P78">
            <v>1079.5720000000001</v>
          </cell>
          <cell r="Q78">
            <v>169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169</v>
          </cell>
          <cell r="AA78">
            <v>2</v>
          </cell>
          <cell r="AB78">
            <v>1000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 t="str">
            <v>NTD</v>
          </cell>
          <cell r="AI78">
            <v>1</v>
          </cell>
          <cell r="AJ78">
            <v>169</v>
          </cell>
          <cell r="AK78">
            <v>32.29</v>
          </cell>
          <cell r="AL78">
            <v>32.299999999999997</v>
          </cell>
          <cell r="AM78">
            <v>-9.9999999999980105E-3</v>
          </cell>
          <cell r="AN78">
            <v>-3.0959752321979561E-4</v>
          </cell>
          <cell r="AO78">
            <v>-5.9149999999999645</v>
          </cell>
          <cell r="AP78">
            <v>0</v>
          </cell>
          <cell r="AQ78">
            <v>-5.9149999999999645</v>
          </cell>
          <cell r="AR78">
            <v>-1.7688558609791707</v>
          </cell>
          <cell r="AS78">
            <v>0</v>
          </cell>
          <cell r="AT78">
            <v>-1.7688558609791707</v>
          </cell>
          <cell r="AU78">
            <v>-4.1461441390207936</v>
          </cell>
          <cell r="AV78">
            <v>0</v>
          </cell>
          <cell r="AW78">
            <v>-23.43486149036746</v>
          </cell>
          <cell r="AX78">
            <v>0.35</v>
          </cell>
          <cell r="AY78">
            <v>7.4000000000000003E-3</v>
          </cell>
          <cell r="AZ78">
            <v>0</v>
          </cell>
          <cell r="BA78">
            <v>0</v>
          </cell>
        </row>
        <row r="79">
          <cell r="G79" t="str">
            <v>CN-M20</v>
          </cell>
          <cell r="H79" t="str">
            <v>期貨</v>
          </cell>
          <cell r="I79" t="str">
            <v>SCNF0</v>
          </cell>
          <cell r="J79" t="str">
            <v>A50期貨</v>
          </cell>
          <cell r="K79">
            <v>13631.25</v>
          </cell>
          <cell r="L79">
            <v>13631.25</v>
          </cell>
          <cell r="M79" t="str">
            <v/>
          </cell>
          <cell r="N79" t="str">
            <v/>
          </cell>
          <cell r="O79">
            <v>42000.539343749995</v>
          </cell>
          <cell r="P79">
            <v>42000.539343749995</v>
          </cell>
          <cell r="Q79">
            <v>1035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1035</v>
          </cell>
          <cell r="AA79">
            <v>1</v>
          </cell>
          <cell r="AB79">
            <v>1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 t="str">
            <v>USD</v>
          </cell>
          <cell r="AI79">
            <v>29.77</v>
          </cell>
          <cell r="AJ79">
            <v>1035</v>
          </cell>
          <cell r="AK79">
            <v>13667.5</v>
          </cell>
          <cell r="AL79">
            <v>13667.5</v>
          </cell>
          <cell r="AM79" t="str">
            <v/>
          </cell>
          <cell r="AN79" t="str">
            <v/>
          </cell>
          <cell r="AO79">
            <v>-111.69331875</v>
          </cell>
          <cell r="AP79">
            <v>0</v>
          </cell>
          <cell r="AQ79">
            <v>-111.69331875</v>
          </cell>
          <cell r="AR79">
            <v>0</v>
          </cell>
          <cell r="AS79">
            <v>0</v>
          </cell>
          <cell r="AT79">
            <v>0</v>
          </cell>
          <cell r="AU79">
            <v>-111.69331875</v>
          </cell>
          <cell r="AV79">
            <v>0</v>
          </cell>
          <cell r="AW79">
            <v>0.49112043750000506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</row>
        <row r="80">
          <cell r="G80" t="str">
            <v>陸股GAH小計</v>
          </cell>
          <cell r="H80"/>
          <cell r="I80"/>
          <cell r="J80"/>
          <cell r="K80"/>
          <cell r="L80"/>
          <cell r="M80"/>
          <cell r="N80"/>
          <cell r="O80">
            <v>-456.63625793012034</v>
          </cell>
          <cell r="P80">
            <v>-270.25665625000693</v>
          </cell>
          <cell r="Q80"/>
          <cell r="R80"/>
          <cell r="S80"/>
          <cell r="T80"/>
          <cell r="U80"/>
          <cell r="V80"/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/>
          <cell r="AO80">
            <v>186.44180024999821</v>
          </cell>
          <cell r="AP80">
            <v>6.0881000000000018E-2</v>
          </cell>
          <cell r="AQ80">
            <v>186.5026812499982</v>
          </cell>
          <cell r="AR80">
            <v>117.9550785518712</v>
          </cell>
          <cell r="AS80">
            <v>5.0000000000039787E-3</v>
          </cell>
          <cell r="AT80">
            <v>117.96007855187121</v>
          </cell>
          <cell r="AU80">
            <v>68.542602698126956</v>
          </cell>
          <cell r="AV80">
            <v>0</v>
          </cell>
          <cell r="AW80">
            <v>2168.4234875196025</v>
          </cell>
        </row>
        <row r="82">
          <cell r="H82" t="str">
            <v>ETF</v>
          </cell>
          <cell r="I82" t="str">
            <v>0061</v>
          </cell>
          <cell r="J82" t="str">
            <v>元大寶滬深</v>
          </cell>
          <cell r="K82">
            <v>17.57</v>
          </cell>
          <cell r="L82">
            <v>17.73</v>
          </cell>
          <cell r="M82">
            <v>-0.16000000000000014</v>
          </cell>
          <cell r="N82">
            <v>-9.0242526790750288E-3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1</v>
          </cell>
          <cell r="AB82">
            <v>1000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 t="str">
            <v>NTD</v>
          </cell>
          <cell r="AI82">
            <v>1</v>
          </cell>
          <cell r="AJ82">
            <v>0</v>
          </cell>
          <cell r="AK82">
            <v>17.760000000000002</v>
          </cell>
          <cell r="AL82">
            <v>17.86</v>
          </cell>
          <cell r="AM82">
            <v>-9.9999999999997868E-2</v>
          </cell>
          <cell r="AN82">
            <v>-5.5991041433369748E-3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1.6400000000000001E-2</v>
          </cell>
          <cell r="AY82">
            <v>0.97809999999999997</v>
          </cell>
          <cell r="AZ82">
            <v>1.26E-2</v>
          </cell>
          <cell r="BA82">
            <v>0</v>
          </cell>
        </row>
        <row r="83">
          <cell r="H83" t="str">
            <v>ETF</v>
          </cell>
          <cell r="I83" t="str">
            <v>006206</v>
          </cell>
          <cell r="J83" t="str">
            <v>元大上證50</v>
          </cell>
          <cell r="K83">
            <v>30.68</v>
          </cell>
          <cell r="L83">
            <v>30.94</v>
          </cell>
          <cell r="M83">
            <v>-0.26000000000000156</v>
          </cell>
          <cell r="N83">
            <v>-8.4033613445378963E-3</v>
          </cell>
          <cell r="O83">
            <v>9153.673256</v>
          </cell>
          <cell r="P83">
            <v>9076.7516319999995</v>
          </cell>
          <cell r="Q83">
            <v>1956.5239999999999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1042</v>
          </cell>
          <cell r="W83">
            <v>40</v>
          </cell>
          <cell r="X83">
            <v>30.669740882917466</v>
          </cell>
          <cell r="Y83">
            <v>30.6145</v>
          </cell>
          <cell r="Z83">
            <v>2958.5239999999999</v>
          </cell>
          <cell r="AA83">
            <v>1</v>
          </cell>
          <cell r="AB83">
            <v>1000</v>
          </cell>
          <cell r="AC83">
            <v>30.669740882917466</v>
          </cell>
          <cell r="AD83">
            <v>30.6145</v>
          </cell>
          <cell r="AE83">
            <v>3195.7869999999998</v>
          </cell>
          <cell r="AF83">
            <v>122.458</v>
          </cell>
          <cell r="AG83">
            <v>3073.3289999999997</v>
          </cell>
          <cell r="AH83" t="str">
            <v>NTD</v>
          </cell>
          <cell r="AI83">
            <v>1</v>
          </cell>
          <cell r="AJ83">
            <v>1956.5239999999999</v>
          </cell>
          <cell r="AK83">
            <v>30.83</v>
          </cell>
          <cell r="AL83">
            <v>30.96</v>
          </cell>
          <cell r="AM83">
            <v>-0.13000000000000256</v>
          </cell>
          <cell r="AN83">
            <v>-4.1989664082687783E-3</v>
          </cell>
          <cell r="AO83">
            <v>-28.663317999999734</v>
          </cell>
          <cell r="AP83">
            <v>0.122458</v>
          </cell>
          <cell r="AQ83">
            <v>-28.540859999999732</v>
          </cell>
          <cell r="AR83">
            <v>-25.434811999999805</v>
          </cell>
          <cell r="AS83">
            <v>1.0279635316698532</v>
          </cell>
          <cell r="AT83">
            <v>-24.406848468329951</v>
          </cell>
          <cell r="AU83">
            <v>-3.9130479999999159</v>
          </cell>
          <cell r="AV83">
            <v>-0.2209635316698666</v>
          </cell>
          <cell r="AW83">
            <v>-71.463640106820904</v>
          </cell>
          <cell r="AX83">
            <v>3.44E-2</v>
          </cell>
          <cell r="AY83">
            <v>0.96179999999999999</v>
          </cell>
          <cell r="AZ83">
            <v>0</v>
          </cell>
          <cell r="BA83">
            <v>0</v>
          </cell>
        </row>
        <row r="84">
          <cell r="H84" t="str">
            <v>ETF</v>
          </cell>
          <cell r="I84" t="str">
            <v>00633L</v>
          </cell>
          <cell r="J84" t="str">
            <v>富邦上証正2</v>
          </cell>
          <cell r="K84">
            <v>43.87</v>
          </cell>
          <cell r="L84">
            <v>43.928396056725958</v>
          </cell>
          <cell r="M84">
            <v>-5.8396056725960932E-2</v>
          </cell>
          <cell r="N84">
            <v>-1.3293464357440055E-3</v>
          </cell>
          <cell r="O84">
            <v>-90088.354633133597</v>
          </cell>
          <cell r="P84">
            <v>-89968.596000000005</v>
          </cell>
          <cell r="Q84">
            <v>-10208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46</v>
          </cell>
          <cell r="X84">
            <v>0</v>
          </cell>
          <cell r="Y84">
            <v>43.723695652173916</v>
          </cell>
          <cell r="Z84">
            <v>-10254</v>
          </cell>
          <cell r="AA84">
            <v>2</v>
          </cell>
          <cell r="AB84">
            <v>1000</v>
          </cell>
          <cell r="AC84">
            <v>0</v>
          </cell>
          <cell r="AD84">
            <v>43.723695652173916</v>
          </cell>
          <cell r="AE84">
            <v>0</v>
          </cell>
          <cell r="AF84">
            <v>402.25800000000004</v>
          </cell>
          <cell r="AG84">
            <v>-402.25800000000004</v>
          </cell>
          <cell r="AH84" t="str">
            <v>NTD</v>
          </cell>
          <cell r="AI84">
            <v>1</v>
          </cell>
          <cell r="AJ84">
            <v>-10208</v>
          </cell>
          <cell r="AK84">
            <v>44.37</v>
          </cell>
          <cell r="AL84">
            <v>44.35</v>
          </cell>
          <cell r="AM84">
            <v>1.9999999999996021E-2</v>
          </cell>
          <cell r="AN84">
            <v>4.5095828635832724E-4</v>
          </cell>
          <cell r="AO84">
            <v>509.525871</v>
          </cell>
          <cell r="AP84">
            <v>0.20112900000000003</v>
          </cell>
          <cell r="AQ84">
            <v>509.72699999999998</v>
          </cell>
          <cell r="AR84">
            <v>80.026694705856855</v>
          </cell>
          <cell r="AS84">
            <v>-0.67299999999997484</v>
          </cell>
          <cell r="AT84">
            <v>79.353694705856881</v>
          </cell>
          <cell r="AU84">
            <v>430.37330529414311</v>
          </cell>
          <cell r="AV84">
            <v>0</v>
          </cell>
          <cell r="AW84">
            <v>4743.8364661174646</v>
          </cell>
          <cell r="AX84">
            <v>0.84989999999999999</v>
          </cell>
          <cell r="AY84">
            <v>8.5800000000000001E-2</v>
          </cell>
          <cell r="AZ84">
            <v>0</v>
          </cell>
          <cell r="BA84">
            <v>0</v>
          </cell>
        </row>
        <row r="85">
          <cell r="H85" t="str">
            <v>ETF</v>
          </cell>
          <cell r="I85" t="str">
            <v>00637L</v>
          </cell>
          <cell r="J85" t="str">
            <v>元大滬深300正2</v>
          </cell>
          <cell r="K85">
            <v>16.91</v>
          </cell>
          <cell r="L85">
            <v>16.986589524496193</v>
          </cell>
          <cell r="M85">
            <v>-7.6589524496192496E-2</v>
          </cell>
          <cell r="N85">
            <v>-4.5088229385742418E-3</v>
          </cell>
          <cell r="O85">
            <v>-70178.395961503571</v>
          </cell>
          <cell r="P85">
            <v>-69861.974000000002</v>
          </cell>
          <cell r="Q85">
            <v>-17637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3020</v>
          </cell>
          <cell r="X85">
            <v>0</v>
          </cell>
          <cell r="Y85">
            <v>16.908019867549669</v>
          </cell>
          <cell r="Z85">
            <v>-20657</v>
          </cell>
          <cell r="AA85">
            <v>2</v>
          </cell>
          <cell r="AB85">
            <v>1000</v>
          </cell>
          <cell r="AC85">
            <v>0</v>
          </cell>
          <cell r="AD85">
            <v>16.908019867549669</v>
          </cell>
          <cell r="AE85">
            <v>0</v>
          </cell>
          <cell r="AF85">
            <v>10212.444</v>
          </cell>
          <cell r="AG85">
            <v>-10212.444</v>
          </cell>
          <cell r="AH85" t="str">
            <v>NTD</v>
          </cell>
          <cell r="AI85">
            <v>1</v>
          </cell>
          <cell r="AJ85">
            <v>-17637</v>
          </cell>
          <cell r="AK85">
            <v>17.149999999999999</v>
          </cell>
          <cell r="AL85">
            <v>17.13</v>
          </cell>
          <cell r="AM85">
            <v>1.9999999999999574E-2</v>
          </cell>
          <cell r="AN85">
            <v>1.1675423234092097E-3</v>
          </cell>
          <cell r="AO85">
            <v>417.58377799999721</v>
          </cell>
          <cell r="AP85">
            <v>5.1062219999999998</v>
          </cell>
          <cell r="AQ85">
            <v>422.68999999999721</v>
          </cell>
          <cell r="AR85">
            <v>170.35494435393394</v>
          </cell>
          <cell r="AS85">
            <v>-0.5980000000000345</v>
          </cell>
          <cell r="AT85">
            <v>169.7569443539339</v>
          </cell>
          <cell r="AU85">
            <v>252.93305564606328</v>
          </cell>
          <cell r="AV85">
            <v>0</v>
          </cell>
          <cell r="AW85">
            <v>3017.4779796012913</v>
          </cell>
          <cell r="AX85">
            <v>0.81469999999999998</v>
          </cell>
          <cell r="AY85">
            <v>1.0200000000000001E-2</v>
          </cell>
          <cell r="AZ85">
            <v>0</v>
          </cell>
          <cell r="BA85">
            <v>0</v>
          </cell>
        </row>
        <row r="86">
          <cell r="G86" t="str">
            <v>CN-M20</v>
          </cell>
          <cell r="H86" t="str">
            <v>期貨</v>
          </cell>
          <cell r="I86" t="str">
            <v>SCNF0</v>
          </cell>
          <cell r="J86" t="str">
            <v>A50期貨</v>
          </cell>
          <cell r="K86">
            <v>13631.25</v>
          </cell>
          <cell r="L86">
            <v>13631.25</v>
          </cell>
          <cell r="M86" t="str">
            <v/>
          </cell>
          <cell r="N86" t="str">
            <v/>
          </cell>
          <cell r="O86">
            <v>148730.56875000001</v>
          </cell>
          <cell r="P86">
            <v>148730.56875000001</v>
          </cell>
          <cell r="Q86">
            <v>3416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269</v>
          </cell>
          <cell r="W86">
            <v>48</v>
          </cell>
          <cell r="X86">
            <v>13596.765799256505</v>
          </cell>
          <cell r="Y86">
            <v>13609.375</v>
          </cell>
          <cell r="Z86">
            <v>3637</v>
          </cell>
          <cell r="AA86">
            <v>1</v>
          </cell>
          <cell r="AB86">
            <v>1</v>
          </cell>
          <cell r="AC86">
            <v>13596.765799256505</v>
          </cell>
          <cell r="AD86">
            <v>13609.375</v>
          </cell>
          <cell r="AE86">
            <v>10972.59</v>
          </cell>
          <cell r="AF86">
            <v>1959.75</v>
          </cell>
          <cell r="AG86">
            <v>9012.84</v>
          </cell>
          <cell r="AH86" t="str">
            <v>USD</v>
          </cell>
          <cell r="AI86">
            <v>30</v>
          </cell>
          <cell r="AJ86">
            <v>3416</v>
          </cell>
          <cell r="AK86">
            <v>13667.5</v>
          </cell>
          <cell r="AL86">
            <v>13667.5</v>
          </cell>
          <cell r="AM86" t="str">
            <v/>
          </cell>
          <cell r="AN86" t="str">
            <v/>
          </cell>
          <cell r="AO86">
            <v>-346.81124999999992</v>
          </cell>
          <cell r="AP86">
            <v>0</v>
          </cell>
          <cell r="AQ86">
            <v>-346.81124999999992</v>
          </cell>
          <cell r="AR86">
            <v>0</v>
          </cell>
          <cell r="AS86">
            <v>22.863025092936859</v>
          </cell>
          <cell r="AT86">
            <v>22.863025092936859</v>
          </cell>
          <cell r="AU86">
            <v>-371.49</v>
          </cell>
          <cell r="AV86">
            <v>1.8157249070632102</v>
          </cell>
          <cell r="AW86">
            <v>1.6209347000000165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</row>
        <row r="87">
          <cell r="G87" t="str">
            <v>陸股GAA小計</v>
          </cell>
          <cell r="H87"/>
          <cell r="I87"/>
          <cell r="J87"/>
          <cell r="K87"/>
          <cell r="L87"/>
          <cell r="M87"/>
          <cell r="N87"/>
          <cell r="O87">
            <v>-2382.5085886371671</v>
          </cell>
          <cell r="P87">
            <v>-2023.2496180000016</v>
          </cell>
          <cell r="Q87"/>
          <cell r="R87"/>
          <cell r="S87"/>
          <cell r="T87"/>
          <cell r="U87"/>
          <cell r="V87"/>
          <cell r="W87"/>
          <cell r="X87"/>
          <cell r="Y87"/>
          <cell r="Z87"/>
          <cell r="AA87"/>
          <cell r="AB87"/>
          <cell r="AC87"/>
          <cell r="AD87"/>
          <cell r="AE87">
            <v>21530.012275000001</v>
          </cell>
          <cell r="AF87">
            <v>21274.713105000003</v>
          </cell>
          <cell r="AG87">
            <v>255.29917000000023</v>
          </cell>
          <cell r="AH87"/>
          <cell r="AI87"/>
          <cell r="AJ87"/>
          <cell r="AK87"/>
          <cell r="AL87"/>
          <cell r="AM87"/>
          <cell r="AN87"/>
          <cell r="AO87">
            <v>551.63508099999763</v>
          </cell>
          <cell r="AP87">
            <v>5.4298089999999997</v>
          </cell>
          <cell r="AQ87">
            <v>557.0648899999976</v>
          </cell>
          <cell r="AR87">
            <v>224.94682705979099</v>
          </cell>
          <cell r="AS87">
            <v>22.619988624606702</v>
          </cell>
          <cell r="AT87">
            <v>247.56681568439768</v>
          </cell>
          <cell r="AU87">
            <v>307.90331294020643</v>
          </cell>
          <cell r="AV87">
            <v>1.5947613753933436</v>
          </cell>
          <cell r="AW87">
            <v>7691.4717403119357</v>
          </cell>
        </row>
        <row r="89">
          <cell r="H89" t="str">
            <v>ETF</v>
          </cell>
          <cell r="I89" t="str">
            <v>0061</v>
          </cell>
          <cell r="J89" t="str">
            <v>元大寶滬深</v>
          </cell>
          <cell r="K89">
            <v>17.57</v>
          </cell>
          <cell r="L89">
            <v>17.73</v>
          </cell>
          <cell r="M89">
            <v>-0.16000000000000014</v>
          </cell>
          <cell r="N89">
            <v>-9.0242526790750288E-3</v>
          </cell>
          <cell r="O89">
            <v>-1425.492</v>
          </cell>
          <cell r="P89">
            <v>-1412.6279999999999</v>
          </cell>
          <cell r="Q89">
            <v>-804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-804</v>
          </cell>
          <cell r="AA89">
            <v>1</v>
          </cell>
          <cell r="AB89">
            <v>1000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 t="str">
            <v>NTD</v>
          </cell>
          <cell r="AI89">
            <v>1</v>
          </cell>
          <cell r="AJ89">
            <v>-804</v>
          </cell>
          <cell r="AK89">
            <v>17.760000000000002</v>
          </cell>
          <cell r="AL89">
            <v>17.86</v>
          </cell>
          <cell r="AM89">
            <v>-9.9999999999997868E-2</v>
          </cell>
          <cell r="AN89">
            <v>-5.5991041433369748E-3</v>
          </cell>
          <cell r="AO89">
            <v>15.276000000000103</v>
          </cell>
          <cell r="AP89">
            <v>0</v>
          </cell>
          <cell r="AQ89">
            <v>15.276000000000103</v>
          </cell>
          <cell r="AR89">
            <v>4.8240000000001828</v>
          </cell>
          <cell r="AS89">
            <v>0</v>
          </cell>
          <cell r="AT89">
            <v>4.8240000000001828</v>
          </cell>
          <cell r="AU89">
            <v>10.45199999999992</v>
          </cell>
          <cell r="AV89">
            <v>0</v>
          </cell>
          <cell r="AW89">
            <v>13.959361680460409</v>
          </cell>
          <cell r="AX89">
            <v>1.6400000000000001E-2</v>
          </cell>
          <cell r="AY89">
            <v>0.97809999999999997</v>
          </cell>
          <cell r="AZ89">
            <v>1.26E-2</v>
          </cell>
          <cell r="BA89">
            <v>0</v>
          </cell>
        </row>
        <row r="90">
          <cell r="H90" t="str">
            <v>ETF</v>
          </cell>
          <cell r="I90" t="str">
            <v>006205</v>
          </cell>
          <cell r="J90" t="str">
            <v>富邦上証</v>
          </cell>
          <cell r="K90">
            <v>29.19</v>
          </cell>
          <cell r="L90">
            <v>29.43</v>
          </cell>
          <cell r="M90">
            <v>-0.23999999999999844</v>
          </cell>
          <cell r="N90">
            <v>-8.1549439347603503E-3</v>
          </cell>
          <cell r="O90">
            <v>-4923.6390000000001</v>
          </cell>
          <cell r="P90">
            <v>-4883.4870000000001</v>
          </cell>
          <cell r="Q90">
            <v>-1673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-1673</v>
          </cell>
          <cell r="AA90">
            <v>1</v>
          </cell>
          <cell r="AB90">
            <v>1000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 t="str">
            <v>NTD</v>
          </cell>
          <cell r="AI90">
            <v>1</v>
          </cell>
          <cell r="AJ90">
            <v>-1673</v>
          </cell>
          <cell r="AK90">
            <v>29.45</v>
          </cell>
          <cell r="AL90">
            <v>29.62</v>
          </cell>
          <cell r="AM90">
            <v>-0.17000000000000171</v>
          </cell>
          <cell r="AN90">
            <v>-5.7393652937205442E-3</v>
          </cell>
          <cell r="AO90">
            <v>43.497999999999671</v>
          </cell>
          <cell r="AP90">
            <v>0</v>
          </cell>
          <cell r="AQ90">
            <v>43.497999999999671</v>
          </cell>
          <cell r="AR90">
            <v>11.710999999999453</v>
          </cell>
          <cell r="AS90">
            <v>0</v>
          </cell>
          <cell r="AT90">
            <v>11.710999999999453</v>
          </cell>
          <cell r="AU90">
            <v>31.787000000000216</v>
          </cell>
          <cell r="AV90">
            <v>0</v>
          </cell>
          <cell r="AW90">
            <v>52.531064623830957</v>
          </cell>
          <cell r="AX90">
            <v>2.41E-2</v>
          </cell>
          <cell r="AY90">
            <v>0.97</v>
          </cell>
          <cell r="AZ90">
            <v>0</v>
          </cell>
          <cell r="BA90">
            <v>0</v>
          </cell>
        </row>
        <row r="91">
          <cell r="H91" t="str">
            <v>ETF</v>
          </cell>
          <cell r="I91" t="str">
            <v>006206</v>
          </cell>
          <cell r="J91" t="str">
            <v>元大上證50</v>
          </cell>
          <cell r="K91">
            <v>30.68</v>
          </cell>
          <cell r="L91">
            <v>30.94</v>
          </cell>
          <cell r="M91">
            <v>-0.26000000000000156</v>
          </cell>
          <cell r="N91">
            <v>-8.4033613445378963E-3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1</v>
          </cell>
          <cell r="AB91">
            <v>1000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 t="str">
            <v>NTD</v>
          </cell>
          <cell r="AI91">
            <v>1</v>
          </cell>
          <cell r="AJ91">
            <v>0</v>
          </cell>
          <cell r="AK91">
            <v>30.83</v>
          </cell>
          <cell r="AL91">
            <v>30.96</v>
          </cell>
          <cell r="AM91">
            <v>-0.13000000000000256</v>
          </cell>
          <cell r="AN91">
            <v>-4.1989664082687783E-3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3.44E-2</v>
          </cell>
          <cell r="AY91">
            <v>0.96179999999999999</v>
          </cell>
          <cell r="AZ91">
            <v>0</v>
          </cell>
          <cell r="BA91">
            <v>0</v>
          </cell>
        </row>
        <row r="92">
          <cell r="H92" t="str">
            <v>ETF</v>
          </cell>
          <cell r="I92" t="str">
            <v>006207</v>
          </cell>
          <cell r="J92" t="str">
            <v>FH滬深</v>
          </cell>
          <cell r="K92">
            <v>22.96</v>
          </cell>
          <cell r="L92">
            <v>23.19</v>
          </cell>
          <cell r="M92">
            <v>-0.23000000000000043</v>
          </cell>
          <cell r="N92">
            <v>-9.918068132815927E-3</v>
          </cell>
          <cell r="O92">
            <v>8283.0042000000012</v>
          </cell>
          <cell r="P92">
            <v>8200.8528000000006</v>
          </cell>
          <cell r="Q92">
            <v>3445.8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158</v>
          </cell>
          <cell r="W92">
            <v>32</v>
          </cell>
          <cell r="X92">
            <v>23.023227848101264</v>
          </cell>
          <cell r="Y92">
            <v>22.994375000000002</v>
          </cell>
          <cell r="Z92">
            <v>3571.8</v>
          </cell>
          <cell r="AA92">
            <v>1</v>
          </cell>
          <cell r="AB92">
            <v>1000</v>
          </cell>
          <cell r="AC92">
            <v>23.023227848101264</v>
          </cell>
          <cell r="AD92">
            <v>22.994375000000002</v>
          </cell>
          <cell r="AE92">
            <v>363.76699999999994</v>
          </cell>
          <cell r="AF92">
            <v>73.581999999999994</v>
          </cell>
          <cell r="AG92">
            <v>290.18499999999995</v>
          </cell>
          <cell r="AH92" t="str">
            <v>NTD</v>
          </cell>
          <cell r="AI92">
            <v>1</v>
          </cell>
          <cell r="AJ92">
            <v>3445.8</v>
          </cell>
          <cell r="AK92">
            <v>23.15</v>
          </cell>
          <cell r="AL92">
            <v>23.33</v>
          </cell>
          <cell r="AM92">
            <v>-0.17999999999999972</v>
          </cell>
          <cell r="AN92">
            <v>-7.7153879125588798E-3</v>
          </cell>
          <cell r="AO92">
            <v>-66.432781999999179</v>
          </cell>
          <cell r="AP92">
            <v>7.3582000000000009E-2</v>
          </cell>
          <cell r="AQ92">
            <v>-66.359199999999177</v>
          </cell>
          <cell r="AR92">
            <v>-17.229000000000248</v>
          </cell>
          <cell r="AS92">
            <v>-0.79667088607591829</v>
          </cell>
          <cell r="AT92">
            <v>-18.025670886076167</v>
          </cell>
          <cell r="AU92">
            <v>-48.241199999998976</v>
          </cell>
          <cell r="AV92">
            <v>-9.2329113924040487E-2</v>
          </cell>
          <cell r="AW92">
            <v>-128.45276976632121</v>
          </cell>
          <cell r="AX92">
            <v>7.0900000000000005E-2</v>
          </cell>
          <cell r="AY92">
            <v>0.92500000000000004</v>
          </cell>
          <cell r="AZ92">
            <v>0</v>
          </cell>
          <cell r="BA92">
            <v>0</v>
          </cell>
        </row>
        <row r="93">
          <cell r="H93" t="str">
            <v>ETF</v>
          </cell>
          <cell r="I93" t="str">
            <v>00633L</v>
          </cell>
          <cell r="J93" t="str">
            <v>富邦上証正2</v>
          </cell>
          <cell r="K93">
            <v>43.87</v>
          </cell>
          <cell r="L93">
            <v>43.928396056725958</v>
          </cell>
          <cell r="M93">
            <v>-5.8396056725960932E-2</v>
          </cell>
          <cell r="N93">
            <v>-1.3293464357440055E-3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2</v>
          </cell>
          <cell r="AB93">
            <v>1000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 t="str">
            <v>NTD</v>
          </cell>
          <cell r="AI93">
            <v>1</v>
          </cell>
          <cell r="AJ93">
            <v>0</v>
          </cell>
          <cell r="AK93">
            <v>44.37</v>
          </cell>
          <cell r="AL93">
            <v>44.35</v>
          </cell>
          <cell r="AM93">
            <v>1.9999999999996021E-2</v>
          </cell>
          <cell r="AN93">
            <v>4.5095828635832724E-4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0.84989999999999999</v>
          </cell>
          <cell r="AY93">
            <v>8.5800000000000001E-2</v>
          </cell>
          <cell r="AZ93">
            <v>0</v>
          </cell>
          <cell r="BA93">
            <v>0</v>
          </cell>
        </row>
        <row r="94">
          <cell r="H94" t="str">
            <v>ETF</v>
          </cell>
          <cell r="I94" t="str">
            <v>00634R</v>
          </cell>
          <cell r="J94" t="str">
            <v>富邦上証反1</v>
          </cell>
          <cell r="K94">
            <v>5.6</v>
          </cell>
          <cell r="L94">
            <v>5.5954264410778842</v>
          </cell>
          <cell r="M94">
            <v>4.5735589221154171E-3</v>
          </cell>
          <cell r="N94">
            <v>8.1737450581775839E-4</v>
          </cell>
          <cell r="O94">
            <v>168.9818785205521</v>
          </cell>
          <cell r="P94">
            <v>169.11999999999998</v>
          </cell>
          <cell r="Q94">
            <v>-302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-302</v>
          </cell>
          <cell r="AA94">
            <v>-1</v>
          </cell>
          <cell r="AB94">
            <v>1000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 t="str">
            <v>NTD</v>
          </cell>
          <cell r="AI94">
            <v>1</v>
          </cell>
          <cell r="AJ94">
            <v>-302</v>
          </cell>
          <cell r="AK94">
            <v>5.55</v>
          </cell>
          <cell r="AL94">
            <v>5.58</v>
          </cell>
          <cell r="AM94">
            <v>-3.0000000000000249E-2</v>
          </cell>
          <cell r="AN94">
            <v>-5.3763440860215006E-3</v>
          </cell>
          <cell r="AO94">
            <v>-1.5099999999999945</v>
          </cell>
          <cell r="AP94">
            <v>0</v>
          </cell>
          <cell r="AQ94">
            <v>-1.5099999999999945</v>
          </cell>
          <cell r="AR94">
            <v>-1.044121479447893</v>
          </cell>
          <cell r="AS94">
            <v>0</v>
          </cell>
          <cell r="AT94">
            <v>-1.044121479447893</v>
          </cell>
          <cell r="AU94">
            <v>-0.46587852055210149</v>
          </cell>
          <cell r="AV94">
            <v>0</v>
          </cell>
          <cell r="AW94">
            <v>6.0167482668899011</v>
          </cell>
          <cell r="AX94">
            <v>0.3034</v>
          </cell>
          <cell r="AY94">
            <v>-0.1852</v>
          </cell>
          <cell r="AZ94">
            <v>0</v>
          </cell>
          <cell r="BA94">
            <v>0</v>
          </cell>
        </row>
        <row r="95">
          <cell r="H95" t="str">
            <v>ETF</v>
          </cell>
          <cell r="I95" t="str">
            <v>00636</v>
          </cell>
          <cell r="J95" t="str">
            <v>國泰中國A50</v>
          </cell>
          <cell r="K95">
            <v>20.57</v>
          </cell>
          <cell r="L95">
            <v>20.75</v>
          </cell>
          <cell r="M95">
            <v>-0.17999999999999972</v>
          </cell>
          <cell r="N95">
            <v>-8.6746987951806798E-3</v>
          </cell>
          <cell r="O95">
            <v>309.17500000000001</v>
          </cell>
          <cell r="P95">
            <v>306.49299999999999</v>
          </cell>
          <cell r="Q95">
            <v>149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149</v>
          </cell>
          <cell r="AA95">
            <v>1</v>
          </cell>
          <cell r="AB95">
            <v>1000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 t="str">
            <v>NTD</v>
          </cell>
          <cell r="AI95">
            <v>1</v>
          </cell>
          <cell r="AJ95">
            <v>149</v>
          </cell>
          <cell r="AK95">
            <v>20.71</v>
          </cell>
          <cell r="AL95">
            <v>20.79</v>
          </cell>
          <cell r="AM95">
            <v>-7.9999999999998295E-2</v>
          </cell>
          <cell r="AN95">
            <v>-3.848003848003767E-3</v>
          </cell>
          <cell r="AO95">
            <v>-2.0860000000000083</v>
          </cell>
          <cell r="AP95">
            <v>0</v>
          </cell>
          <cell r="AQ95">
            <v>-2.0860000000000083</v>
          </cell>
          <cell r="AR95">
            <v>-1.4900000000000211</v>
          </cell>
          <cell r="AS95">
            <v>0</v>
          </cell>
          <cell r="AT95">
            <v>-1.4900000000000211</v>
          </cell>
          <cell r="AU95">
            <v>-0.59599999999998732</v>
          </cell>
          <cell r="AV95">
            <v>0</v>
          </cell>
          <cell r="AW95">
            <v>-3.0101303680322484</v>
          </cell>
          <cell r="AX95">
            <v>1.5800000000000002E-2</v>
          </cell>
          <cell r="AY95">
            <v>0.9869</v>
          </cell>
          <cell r="AZ95">
            <v>0</v>
          </cell>
          <cell r="BA95">
            <v>0</v>
          </cell>
        </row>
        <row r="96">
          <cell r="H96" t="str">
            <v>ETF</v>
          </cell>
          <cell r="I96" t="str">
            <v>00637L</v>
          </cell>
          <cell r="J96" t="str">
            <v>元大滬深300正2</v>
          </cell>
          <cell r="K96">
            <v>16.91</v>
          </cell>
          <cell r="L96">
            <v>16.986589524496193</v>
          </cell>
          <cell r="M96">
            <v>-7.6589524496192496E-2</v>
          </cell>
          <cell r="N96">
            <v>-4.5088229385742418E-3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2</v>
          </cell>
          <cell r="AB96">
            <v>1000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 t="str">
            <v>NTD</v>
          </cell>
          <cell r="AI96">
            <v>1</v>
          </cell>
          <cell r="AJ96">
            <v>0</v>
          </cell>
          <cell r="AK96">
            <v>17.149999999999999</v>
          </cell>
          <cell r="AL96">
            <v>17.13</v>
          </cell>
          <cell r="AM96">
            <v>1.9999999999999574E-2</v>
          </cell>
          <cell r="AN96">
            <v>1.1675423234092097E-3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0.81469999999999998</v>
          </cell>
          <cell r="AY96">
            <v>1.0200000000000001E-2</v>
          </cell>
          <cell r="AZ96">
            <v>0</v>
          </cell>
          <cell r="BA96">
            <v>0</v>
          </cell>
        </row>
        <row r="97">
          <cell r="H97" t="str">
            <v>ETF</v>
          </cell>
          <cell r="I97" t="str">
            <v>00638R</v>
          </cell>
          <cell r="J97" t="str">
            <v>元大滬深300反1</v>
          </cell>
          <cell r="K97">
            <v>11.23</v>
          </cell>
          <cell r="L97">
            <v>11.220870543062837</v>
          </cell>
          <cell r="M97">
            <v>9.1294569371633827E-3</v>
          </cell>
          <cell r="N97">
            <v>8.1361396178003531E-4</v>
          </cell>
          <cell r="O97">
            <v>68.447310312683314</v>
          </cell>
          <cell r="P97">
            <v>68.503</v>
          </cell>
          <cell r="Q97">
            <v>-61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-61</v>
          </cell>
          <cell r="AA97">
            <v>-1</v>
          </cell>
          <cell r="AB97">
            <v>1000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 t="str">
            <v>NTD</v>
          </cell>
          <cell r="AI97">
            <v>1</v>
          </cell>
          <cell r="AJ97">
            <v>-61</v>
          </cell>
          <cell r="AK97">
            <v>11.18</v>
          </cell>
          <cell r="AL97">
            <v>11.21</v>
          </cell>
          <cell r="AM97">
            <v>-3.0000000000001137E-2</v>
          </cell>
          <cell r="AN97">
            <v>-2.6761819803747811E-3</v>
          </cell>
          <cell r="AO97">
            <v>-0.30500000000000432</v>
          </cell>
          <cell r="AP97">
            <v>0</v>
          </cell>
          <cell r="AQ97">
            <v>-0.30500000000000432</v>
          </cell>
          <cell r="AR97">
            <v>-0.23868968731670356</v>
          </cell>
          <cell r="AS97">
            <v>0</v>
          </cell>
          <cell r="AT97">
            <v>-0.23868968731670356</v>
          </cell>
          <cell r="AU97">
            <v>-6.6310312683300759E-2</v>
          </cell>
          <cell r="AV97">
            <v>0</v>
          </cell>
          <cell r="AW97">
            <v>3.7040061831386275</v>
          </cell>
          <cell r="AX97">
            <v>0.44359999999999999</v>
          </cell>
          <cell r="AY97">
            <v>-2.1700000000000001E-2</v>
          </cell>
          <cell r="AZ97">
            <v>0</v>
          </cell>
          <cell r="BA97">
            <v>0</v>
          </cell>
        </row>
        <row r="98">
          <cell r="H98" t="str">
            <v>ETF</v>
          </cell>
          <cell r="I98" t="str">
            <v>00639</v>
          </cell>
          <cell r="J98" t="str">
            <v>富邦深100</v>
          </cell>
          <cell r="K98">
            <v>11.51</v>
          </cell>
          <cell r="L98">
            <v>11.64</v>
          </cell>
          <cell r="M98">
            <v>-0.13000000000000078</v>
          </cell>
          <cell r="N98">
            <v>-1.1168384879725157E-2</v>
          </cell>
          <cell r="O98">
            <v>-869.50800000000004</v>
          </cell>
          <cell r="P98">
            <v>-859.79700000000003</v>
          </cell>
          <cell r="Q98">
            <v>-747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-747</v>
          </cell>
          <cell r="AA98">
            <v>1</v>
          </cell>
          <cell r="AB98">
            <v>1000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 t="str">
            <v>NTD</v>
          </cell>
          <cell r="AI98">
            <v>1</v>
          </cell>
          <cell r="AJ98">
            <v>-747</v>
          </cell>
          <cell r="AK98">
            <v>11.57</v>
          </cell>
          <cell r="AL98">
            <v>11.65</v>
          </cell>
          <cell r="AM98">
            <v>-8.0000000000000071E-2</v>
          </cell>
          <cell r="AN98">
            <v>-6.8669527896996208E-3</v>
          </cell>
          <cell r="AO98">
            <v>4.4820000000000375</v>
          </cell>
          <cell r="AP98">
            <v>0</v>
          </cell>
          <cell r="AQ98">
            <v>4.4820000000000375</v>
          </cell>
          <cell r="AR98">
            <v>3.7350000000000532</v>
          </cell>
          <cell r="AS98">
            <v>0</v>
          </cell>
          <cell r="AT98">
            <v>3.7350000000000532</v>
          </cell>
          <cell r="AU98">
            <v>0.74699999999998412</v>
          </cell>
          <cell r="AV98">
            <v>0</v>
          </cell>
          <cell r="AW98">
            <v>7.8717661528185081</v>
          </cell>
          <cell r="AX98">
            <v>1.11E-2</v>
          </cell>
          <cell r="AY98">
            <v>0.97470000000000001</v>
          </cell>
          <cell r="AZ98">
            <v>0</v>
          </cell>
          <cell r="BA98">
            <v>0</v>
          </cell>
        </row>
        <row r="99">
          <cell r="H99" t="str">
            <v>ETF</v>
          </cell>
          <cell r="I99" t="str">
            <v>00643</v>
          </cell>
          <cell r="J99" t="str">
            <v>群益深証中小</v>
          </cell>
          <cell r="K99">
            <v>13.85</v>
          </cell>
          <cell r="L99">
            <v>13.96</v>
          </cell>
          <cell r="M99">
            <v>-0.11000000000000121</v>
          </cell>
          <cell r="N99">
            <v>-7.8796561604584925E-3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1</v>
          </cell>
          <cell r="AB99">
            <v>1000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 t="str">
            <v>NTD</v>
          </cell>
          <cell r="AI99">
            <v>1</v>
          </cell>
          <cell r="AJ99">
            <v>0</v>
          </cell>
          <cell r="AK99">
            <v>13.97</v>
          </cell>
          <cell r="AL99">
            <v>14.04</v>
          </cell>
          <cell r="AM99">
            <v>-6.9999999999998508E-2</v>
          </cell>
          <cell r="AN99">
            <v>-4.985754985754931E-3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4.1999999999999997E-3</v>
          </cell>
          <cell r="AY99">
            <v>0.99080000000000001</v>
          </cell>
          <cell r="AZ99">
            <v>0</v>
          </cell>
          <cell r="BA99">
            <v>0</v>
          </cell>
        </row>
        <row r="100">
          <cell r="H100" t="str">
            <v>ETF</v>
          </cell>
          <cell r="I100" t="str">
            <v>00655L</v>
          </cell>
          <cell r="J100" t="str">
            <v>國泰中國A50正2</v>
          </cell>
          <cell r="K100">
            <v>31.94</v>
          </cell>
          <cell r="L100">
            <v>32.054666027276873</v>
          </cell>
          <cell r="M100">
            <v>-0.11466602727687203</v>
          </cell>
          <cell r="N100">
            <v>-3.5772023698296129E-3</v>
          </cell>
          <cell r="O100">
            <v>-5513.4025566916216</v>
          </cell>
          <cell r="P100">
            <v>-5493.68</v>
          </cell>
          <cell r="Q100">
            <v>-860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-860</v>
          </cell>
          <cell r="AA100">
            <v>2</v>
          </cell>
          <cell r="AB100">
            <v>1000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 t="str">
            <v>NTD</v>
          </cell>
          <cell r="AI100">
            <v>1</v>
          </cell>
          <cell r="AJ100">
            <v>-860</v>
          </cell>
          <cell r="AK100">
            <v>32.29</v>
          </cell>
          <cell r="AL100">
            <v>32.299999999999997</v>
          </cell>
          <cell r="AM100">
            <v>-9.9999999999980105E-3</v>
          </cell>
          <cell r="AN100">
            <v>-3.0959752321979561E-4</v>
          </cell>
          <cell r="AO100">
            <v>30.099999999999817</v>
          </cell>
          <cell r="AP100">
            <v>0</v>
          </cell>
          <cell r="AQ100">
            <v>30.099999999999817</v>
          </cell>
          <cell r="AR100">
            <v>9.0012783458111656</v>
          </cell>
          <cell r="AS100">
            <v>0</v>
          </cell>
          <cell r="AT100">
            <v>9.0012783458111656</v>
          </cell>
          <cell r="AU100">
            <v>21.098721654188651</v>
          </cell>
          <cell r="AV100">
            <v>0</v>
          </cell>
          <cell r="AW100">
            <v>119.25432474388174</v>
          </cell>
          <cell r="AX100">
            <v>0.35</v>
          </cell>
          <cell r="AY100">
            <v>7.4000000000000003E-3</v>
          </cell>
          <cell r="AZ100">
            <v>0</v>
          </cell>
          <cell r="BA100">
            <v>0</v>
          </cell>
        </row>
        <row r="101">
          <cell r="H101" t="str">
            <v>ETF</v>
          </cell>
          <cell r="I101" t="str">
            <v>00656R</v>
          </cell>
          <cell r="J101" t="str">
            <v>國泰中國A50反1</v>
          </cell>
          <cell r="K101">
            <v>10.18</v>
          </cell>
          <cell r="L101">
            <v>10.182295505876777</v>
          </cell>
          <cell r="M101">
            <v>-2.2955058767770709E-3</v>
          </cell>
          <cell r="N101">
            <v>-2.2544090136178419E-4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-1</v>
          </cell>
          <cell r="AB101">
            <v>1000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 t="str">
            <v>NTD</v>
          </cell>
          <cell r="AI101">
            <v>1</v>
          </cell>
          <cell r="AJ101">
            <v>0</v>
          </cell>
          <cell r="AK101">
            <v>10.130000000000001</v>
          </cell>
          <cell r="AL101">
            <v>10.17</v>
          </cell>
          <cell r="AM101">
            <v>-3.9999999999999147E-2</v>
          </cell>
          <cell r="AN101">
            <v>-3.9331366764994158E-3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0.32769999999999999</v>
          </cell>
          <cell r="AY101">
            <v>0</v>
          </cell>
          <cell r="AZ101">
            <v>0</v>
          </cell>
          <cell r="BA101">
            <v>0</v>
          </cell>
        </row>
        <row r="102">
          <cell r="H102" t="str">
            <v>ETF</v>
          </cell>
          <cell r="I102" t="str">
            <v>00739</v>
          </cell>
          <cell r="J102" t="str">
            <v>元大MSCI A股</v>
          </cell>
          <cell r="K102">
            <v>20.98</v>
          </cell>
          <cell r="L102">
            <v>21.17</v>
          </cell>
          <cell r="M102">
            <v>-0.19000000000000128</v>
          </cell>
          <cell r="N102">
            <v>-8.9749645725083482E-3</v>
          </cell>
          <cell r="O102">
            <v>1804.7425000000003</v>
          </cell>
          <cell r="P102">
            <v>1788.5450000000001</v>
          </cell>
          <cell r="Q102">
            <v>606.5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248</v>
          </cell>
          <cell r="W102">
            <v>2</v>
          </cell>
          <cell r="X102">
            <v>20.96657258064516</v>
          </cell>
          <cell r="Y102">
            <v>21.07</v>
          </cell>
          <cell r="Z102">
            <v>852.5</v>
          </cell>
          <cell r="AA102">
            <v>1</v>
          </cell>
          <cell r="AB102">
            <v>1000</v>
          </cell>
          <cell r="AC102">
            <v>20.96657258064516</v>
          </cell>
          <cell r="AD102">
            <v>21.07</v>
          </cell>
          <cell r="AE102">
            <v>519.971</v>
          </cell>
          <cell r="AF102">
            <v>4.2140000000000004</v>
          </cell>
          <cell r="AG102">
            <v>515.75699999999995</v>
          </cell>
          <cell r="AH102" t="str">
            <v>NTD</v>
          </cell>
          <cell r="AI102">
            <v>1</v>
          </cell>
          <cell r="AJ102">
            <v>606.5</v>
          </cell>
          <cell r="AK102">
            <v>21.12</v>
          </cell>
          <cell r="AL102">
            <v>21.27</v>
          </cell>
          <cell r="AM102">
            <v>-0.14999999999999858</v>
          </cell>
          <cell r="AN102">
            <v>-7.0521861777149697E-3</v>
          </cell>
          <cell r="AO102">
            <v>-8.1442139999999839</v>
          </cell>
          <cell r="AP102">
            <v>4.2139999999999999E-3</v>
          </cell>
          <cell r="AQ102">
            <v>-8.1399999999999846</v>
          </cell>
          <cell r="AR102">
            <v>-2.426000000000164</v>
          </cell>
          <cell r="AS102">
            <v>0.33031451612908141</v>
          </cell>
          <cell r="AT102">
            <v>-2.0956854838710828</v>
          </cell>
          <cell r="AU102">
            <v>-6.0649999999998707</v>
          </cell>
          <cell r="AV102">
            <v>2.0685483870968111E-2</v>
          </cell>
          <cell r="AW102">
            <v>-19.323849418071042</v>
          </cell>
          <cell r="AX102">
            <v>6.0400000000000002E-2</v>
          </cell>
          <cell r="AY102">
            <v>0.96140000000000003</v>
          </cell>
          <cell r="AZ102">
            <v>0</v>
          </cell>
          <cell r="BA102">
            <v>0</v>
          </cell>
        </row>
        <row r="103">
          <cell r="H103" t="str">
            <v>ETF</v>
          </cell>
          <cell r="I103" t="str">
            <v>00743</v>
          </cell>
          <cell r="J103" t="str">
            <v>國泰中國A150</v>
          </cell>
          <cell r="K103">
            <v>20.7</v>
          </cell>
          <cell r="L103">
            <v>20.81</v>
          </cell>
          <cell r="M103">
            <v>-0.10999999999999943</v>
          </cell>
          <cell r="N103">
            <v>-5.2859202306583253E-3</v>
          </cell>
          <cell r="O103">
            <v>132.68664099999998</v>
          </cell>
          <cell r="P103">
            <v>131.98526999999999</v>
          </cell>
          <cell r="Q103">
            <v>15.760999999999999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48</v>
          </cell>
          <cell r="W103">
            <v>0</v>
          </cell>
          <cell r="X103">
            <v>20.632708333333333</v>
          </cell>
          <cell r="Y103">
            <v>0</v>
          </cell>
          <cell r="Z103">
            <v>63.760999999999996</v>
          </cell>
          <cell r="AA103">
            <v>1</v>
          </cell>
          <cell r="AB103">
            <v>1000</v>
          </cell>
          <cell r="AC103">
            <v>20.632708333333333</v>
          </cell>
          <cell r="AD103">
            <v>0</v>
          </cell>
          <cell r="AE103">
            <v>99.037000000000006</v>
          </cell>
          <cell r="AF103">
            <v>0</v>
          </cell>
          <cell r="AG103">
            <v>99.037000000000006</v>
          </cell>
          <cell r="AH103" t="str">
            <v>NTD</v>
          </cell>
          <cell r="AI103">
            <v>1</v>
          </cell>
          <cell r="AJ103">
            <v>15.760999999999999</v>
          </cell>
          <cell r="AK103">
            <v>20.92</v>
          </cell>
          <cell r="AL103">
            <v>20.97</v>
          </cell>
          <cell r="AM103">
            <v>-4.9999999999997158E-2</v>
          </cell>
          <cell r="AN103">
            <v>-2.384358607534387E-3</v>
          </cell>
          <cell r="AO103">
            <v>-2.3742000000007646E-2</v>
          </cell>
          <cell r="AP103">
            <v>0</v>
          </cell>
          <cell r="AQ103">
            <v>-2.3742000000007646E-2</v>
          </cell>
          <cell r="AR103">
            <v>-9.4566000000003578E-2</v>
          </cell>
          <cell r="AS103">
            <v>0.32299999999999612</v>
          </cell>
          <cell r="AT103">
            <v>0.22843399999999253</v>
          </cell>
          <cell r="AU103">
            <v>-0.25217600000000018</v>
          </cell>
          <cell r="AV103">
            <v>0</v>
          </cell>
          <cell r="AW103">
            <v>-0.37837351525478724</v>
          </cell>
          <cell r="AX103">
            <v>3.0800000000000001E-2</v>
          </cell>
          <cell r="AY103">
            <v>0.97340000000000004</v>
          </cell>
          <cell r="AZ103">
            <v>0</v>
          </cell>
          <cell r="BA103">
            <v>0</v>
          </cell>
        </row>
        <row r="104">
          <cell r="H104" t="str">
            <v>ETF</v>
          </cell>
          <cell r="I104" t="str">
            <v>00752</v>
          </cell>
          <cell r="J104" t="str">
            <v>中信中國50</v>
          </cell>
          <cell r="K104">
            <v>24.2</v>
          </cell>
          <cell r="L104">
            <v>24.32</v>
          </cell>
          <cell r="M104">
            <v>-0.12000000000000099</v>
          </cell>
          <cell r="N104">
            <v>-4.9342105263158187E-3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1</v>
          </cell>
          <cell r="AB104">
            <v>1000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 t="str">
            <v>NTD</v>
          </cell>
          <cell r="AI104">
            <v>1</v>
          </cell>
          <cell r="AJ104">
            <v>0</v>
          </cell>
          <cell r="AK104">
            <v>24.1</v>
          </cell>
          <cell r="AL104">
            <v>24.31</v>
          </cell>
          <cell r="AM104">
            <v>-0.2099999999999973</v>
          </cell>
          <cell r="AN104">
            <v>-8.6384204031261236E-3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-0.25800000000000001</v>
          </cell>
          <cell r="AY104">
            <v>0</v>
          </cell>
          <cell r="AZ104">
            <v>0.70989999999999998</v>
          </cell>
          <cell r="BA104">
            <v>0</v>
          </cell>
        </row>
        <row r="105">
          <cell r="H105" t="str">
            <v>ETF</v>
          </cell>
          <cell r="I105" t="str">
            <v>00753L</v>
          </cell>
          <cell r="J105" t="str">
            <v>中信中國50正2</v>
          </cell>
          <cell r="K105">
            <v>25.16</v>
          </cell>
          <cell r="L105">
            <v>25.285175150142759</v>
          </cell>
          <cell r="M105">
            <v>-0.12517515014275915</v>
          </cell>
          <cell r="N105">
            <v>-4.9505352207162012E-3</v>
          </cell>
          <cell r="O105">
            <v>20.228140120114208</v>
          </cell>
          <cell r="P105">
            <v>20.128</v>
          </cell>
          <cell r="Q105">
            <v>7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3</v>
          </cell>
          <cell r="X105">
            <v>0</v>
          </cell>
          <cell r="Y105">
            <v>25.11</v>
          </cell>
          <cell r="Z105">
            <v>4</v>
          </cell>
          <cell r="AA105">
            <v>2</v>
          </cell>
          <cell r="AB105">
            <v>1000</v>
          </cell>
          <cell r="AC105">
            <v>0</v>
          </cell>
          <cell r="AD105">
            <v>25.11</v>
          </cell>
          <cell r="AE105">
            <v>0</v>
          </cell>
          <cell r="AF105">
            <v>15.066000000000001</v>
          </cell>
          <cell r="AG105">
            <v>-15.066000000000001</v>
          </cell>
          <cell r="AH105" t="str">
            <v>NTD</v>
          </cell>
          <cell r="AI105">
            <v>1</v>
          </cell>
          <cell r="AJ105">
            <v>7</v>
          </cell>
          <cell r="AK105">
            <v>24.87</v>
          </cell>
          <cell r="AL105">
            <v>25.03</v>
          </cell>
          <cell r="AM105">
            <v>-0.16000000000000014</v>
          </cell>
          <cell r="AN105">
            <v>-6.3923292049540281E-3</v>
          </cell>
          <cell r="AO105">
            <v>0.18046699999999916</v>
          </cell>
          <cell r="AP105">
            <v>7.5329999999999998E-3</v>
          </cell>
          <cell r="AQ105">
            <v>0.18799999999999917</v>
          </cell>
          <cell r="AR105">
            <v>2.4377394900068693E-2</v>
          </cell>
          <cell r="AS105">
            <v>-1.5000000000000213E-2</v>
          </cell>
          <cell r="AT105">
            <v>9.3773949000684805E-3</v>
          </cell>
          <cell r="AU105">
            <v>0.17862260509993069</v>
          </cell>
          <cell r="AV105">
            <v>0</v>
          </cell>
          <cell r="AW105">
            <v>-1.6639609022688826</v>
          </cell>
          <cell r="AX105">
            <v>0.77529999999999999</v>
          </cell>
          <cell r="AY105">
            <v>0</v>
          </cell>
          <cell r="AZ105">
            <v>0</v>
          </cell>
          <cell r="BA105">
            <v>0</v>
          </cell>
        </row>
        <row r="106">
          <cell r="H106" t="str">
            <v>ETF</v>
          </cell>
          <cell r="I106" t="str">
            <v>00766L</v>
          </cell>
          <cell r="J106" t="str">
            <v>台新MSCI中國正2</v>
          </cell>
          <cell r="K106">
            <v>9.39</v>
          </cell>
          <cell r="L106">
            <v>9.4700000000000006</v>
          </cell>
          <cell r="M106">
            <v>-8.0000000000000071E-2</v>
          </cell>
          <cell r="N106">
            <v>-8.4477296726505058E-3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2</v>
          </cell>
          <cell r="AB106">
            <v>1000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 t="str">
            <v>NTD</v>
          </cell>
          <cell r="AI106">
            <v>1</v>
          </cell>
          <cell r="AJ106">
            <v>0</v>
          </cell>
          <cell r="AK106">
            <v>9.35</v>
          </cell>
          <cell r="AL106">
            <v>9.4499999999999993</v>
          </cell>
          <cell r="AM106">
            <v>-9.9999999999999645E-2</v>
          </cell>
          <cell r="AN106">
            <v>-1.0582010582010581E-2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8.9599999999999999E-2</v>
          </cell>
          <cell r="AY106">
            <v>0</v>
          </cell>
          <cell r="AZ106">
            <v>0.16389999999999999</v>
          </cell>
          <cell r="BA106">
            <v>0</v>
          </cell>
        </row>
        <row r="107">
          <cell r="H107" t="str">
            <v>ETF</v>
          </cell>
          <cell r="I107" t="str">
            <v>00783</v>
          </cell>
          <cell r="J107" t="str">
            <v>富邦中証500</v>
          </cell>
          <cell r="K107">
            <v>18.45</v>
          </cell>
          <cell r="L107">
            <v>18.61</v>
          </cell>
          <cell r="M107">
            <v>-0.16000000000000014</v>
          </cell>
          <cell r="N107">
            <v>-8.5975282106394157E-3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1</v>
          </cell>
          <cell r="AB107">
            <v>1000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 t="str">
            <v>NTD</v>
          </cell>
          <cell r="AI107">
            <v>1</v>
          </cell>
          <cell r="AJ107">
            <v>0</v>
          </cell>
          <cell r="AK107">
            <v>18.600000000000001</v>
          </cell>
          <cell r="AL107">
            <v>18.760000000000002</v>
          </cell>
          <cell r="AM107">
            <v>-0.16000000000000014</v>
          </cell>
          <cell r="AN107">
            <v>-8.5287846481876262E-3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3.6400000000000002E-2</v>
          </cell>
          <cell r="AY107">
            <v>0.97499999999999998</v>
          </cell>
          <cell r="AZ107">
            <v>0</v>
          </cell>
          <cell r="BA107">
            <v>0</v>
          </cell>
        </row>
        <row r="108">
          <cell r="H108" t="str">
            <v>ETF</v>
          </cell>
          <cell r="I108" t="str">
            <v>008201</v>
          </cell>
          <cell r="J108" t="str">
            <v>BP上證50</v>
          </cell>
          <cell r="K108">
            <v>98.55</v>
          </cell>
          <cell r="L108">
            <v>99.56</v>
          </cell>
          <cell r="M108">
            <v>-1.0100000000000051</v>
          </cell>
          <cell r="N108">
            <v>-1.0144636400160723E-2</v>
          </cell>
          <cell r="O108">
            <v>1152.9048</v>
          </cell>
          <cell r="P108">
            <v>1141.2090000000001</v>
          </cell>
          <cell r="Q108">
            <v>114.7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1.1000000000000001</v>
          </cell>
          <cell r="W108">
            <v>0</v>
          </cell>
          <cell r="X108">
            <v>98.631818181818176</v>
          </cell>
          <cell r="Y108">
            <v>0</v>
          </cell>
          <cell r="Z108">
            <v>115.8</v>
          </cell>
          <cell r="AA108">
            <v>1</v>
          </cell>
          <cell r="AB108">
            <v>1000</v>
          </cell>
          <cell r="AC108">
            <v>98.631818181818176</v>
          </cell>
          <cell r="AD108">
            <v>0</v>
          </cell>
          <cell r="AE108">
            <v>10.849500000000001</v>
          </cell>
          <cell r="AF108">
            <v>0</v>
          </cell>
          <cell r="AG108">
            <v>10.849500000000001</v>
          </cell>
          <cell r="AH108" t="str">
            <v>NTD</v>
          </cell>
          <cell r="AI108">
            <v>1</v>
          </cell>
          <cell r="AJ108">
            <v>114.7</v>
          </cell>
          <cell r="AK108">
            <v>98.5</v>
          </cell>
          <cell r="AL108">
            <v>100.45</v>
          </cell>
          <cell r="AM108">
            <v>-1.9500000000000028</v>
          </cell>
          <cell r="AN108">
            <v>-1.9412643106022975E-2</v>
          </cell>
          <cell r="AO108">
            <v>0.56449999999996692</v>
          </cell>
          <cell r="AP108">
            <v>0</v>
          </cell>
          <cell r="AQ108">
            <v>0.56449999999996692</v>
          </cell>
          <cell r="AR108">
            <v>10.781799999999974</v>
          </cell>
          <cell r="AS108">
            <v>-8.9999999999996316E-3</v>
          </cell>
          <cell r="AT108">
            <v>10.772799999999974</v>
          </cell>
          <cell r="AU108">
            <v>-10.208300000000007</v>
          </cell>
          <cell r="AV108">
            <v>0</v>
          </cell>
          <cell r="AW108">
            <v>-9.08498742127904</v>
          </cell>
          <cell r="AX108">
            <v>0</v>
          </cell>
          <cell r="AY108">
            <v>1</v>
          </cell>
          <cell r="AZ108">
            <v>0</v>
          </cell>
          <cell r="BA108">
            <v>0</v>
          </cell>
        </row>
        <row r="109">
          <cell r="G109" t="str">
            <v>CN-M20</v>
          </cell>
          <cell r="H109" t="str">
            <v>期貨</v>
          </cell>
          <cell r="I109" t="str">
            <v>SCNF0</v>
          </cell>
          <cell r="J109" t="str">
            <v>A50期貨</v>
          </cell>
          <cell r="K109">
            <v>13631.25</v>
          </cell>
          <cell r="L109">
            <v>13631.25</v>
          </cell>
          <cell r="M109" t="str">
            <v/>
          </cell>
          <cell r="N109" t="str">
            <v/>
          </cell>
          <cell r="O109">
            <v>2371.8375000000001</v>
          </cell>
          <cell r="P109">
            <v>2371.8375000000001</v>
          </cell>
          <cell r="Q109">
            <v>58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58</v>
          </cell>
          <cell r="AA109">
            <v>1</v>
          </cell>
          <cell r="AB109">
            <v>1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 t="str">
            <v>USD</v>
          </cell>
          <cell r="AI109">
            <v>30</v>
          </cell>
          <cell r="AJ109">
            <v>58</v>
          </cell>
          <cell r="AK109">
            <v>13667.5</v>
          </cell>
          <cell r="AL109">
            <v>13667.5</v>
          </cell>
          <cell r="AM109" t="str">
            <v/>
          </cell>
          <cell r="AN109" t="str">
            <v/>
          </cell>
          <cell r="AO109">
            <v>-6.3075000000000001</v>
          </cell>
          <cell r="AP109">
            <v>0</v>
          </cell>
          <cell r="AQ109">
            <v>-6.3075000000000001</v>
          </cell>
          <cell r="AR109">
            <v>0</v>
          </cell>
          <cell r="AS109">
            <v>0</v>
          </cell>
          <cell r="AT109">
            <v>0</v>
          </cell>
          <cell r="AU109">
            <v>-6.3075000000000001</v>
          </cell>
          <cell r="AV109">
            <v>0</v>
          </cell>
          <cell r="AW109">
            <v>2.7521725000000281E-2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</row>
        <row r="110">
          <cell r="G110" t="str">
            <v>NCH-M20</v>
          </cell>
          <cell r="H110" t="str">
            <v>期貨</v>
          </cell>
          <cell r="I110" t="str">
            <v>NCHF0</v>
          </cell>
          <cell r="J110" t="str">
            <v>自由中國指數期貨</v>
          </cell>
          <cell r="K110">
            <v>919.6</v>
          </cell>
          <cell r="L110">
            <v>919.6</v>
          </cell>
          <cell r="M110" t="str">
            <v/>
          </cell>
          <cell r="N110" t="str">
            <v/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>
            <v>50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 t="str">
            <v>USD</v>
          </cell>
          <cell r="AI110">
            <v>29.77</v>
          </cell>
          <cell r="AJ110">
            <v>0</v>
          </cell>
          <cell r="AK110">
            <v>911.1</v>
          </cell>
          <cell r="AL110">
            <v>911.1</v>
          </cell>
          <cell r="AM110" t="str">
            <v/>
          </cell>
          <cell r="AN110" t="str">
            <v/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</row>
        <row r="111">
          <cell r="G111" t="str">
            <v>陸股GAB小計</v>
          </cell>
          <cell r="H111"/>
          <cell r="I111"/>
          <cell r="J111"/>
          <cell r="K111"/>
          <cell r="L111"/>
          <cell r="M111"/>
          <cell r="N111"/>
          <cell r="O111">
            <v>1579.9664132617297</v>
          </cell>
          <cell r="P111">
            <v>1549.0815700000005</v>
          </cell>
          <cell r="Q111"/>
          <cell r="R111"/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>
            <v>36692.013774999992</v>
          </cell>
          <cell r="AF111">
            <v>34064.485105000007</v>
          </cell>
          <cell r="AG111">
            <v>2627.5286700000006</v>
          </cell>
          <cell r="AH111"/>
          <cell r="AI111"/>
          <cell r="AJ111"/>
          <cell r="AK111"/>
          <cell r="AL111"/>
          <cell r="AM111"/>
          <cell r="AN111"/>
          <cell r="AO111">
            <v>9.2917290000004122</v>
          </cell>
          <cell r="AP111">
            <v>8.5329000000000002E-2</v>
          </cell>
          <cell r="AQ111">
            <v>9.3770580000004138</v>
          </cell>
          <cell r="AR111">
            <v>17.555078573945863</v>
          </cell>
          <cell r="AS111">
            <v>-0.16735636994684058</v>
          </cell>
          <cell r="AT111">
            <v>17.387722203999019</v>
          </cell>
          <cell r="AU111">
            <v>-7.9390205739455455</v>
          </cell>
          <cell r="AV111">
            <v>-7.164363005307238E-2</v>
          </cell>
          <cell r="AW111">
            <v>41.450721984792921</v>
          </cell>
        </row>
        <row r="112">
          <cell r="G112"/>
          <cell r="H112"/>
          <cell r="I112"/>
          <cell r="J112"/>
          <cell r="K112"/>
          <cell r="L112"/>
          <cell r="M112"/>
          <cell r="N112"/>
          <cell r="O112">
            <v>-1259.1784333055577</v>
          </cell>
          <cell r="P112">
            <v>-744.42470425000806</v>
          </cell>
          <cell r="Q112"/>
          <cell r="R112"/>
          <cell r="S112"/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/>
          <cell r="AH112"/>
          <cell r="AI112"/>
          <cell r="AJ112"/>
          <cell r="AK112"/>
          <cell r="AL112"/>
          <cell r="AM112"/>
          <cell r="AN112"/>
          <cell r="AO112">
            <v>747.36861024999621</v>
          </cell>
          <cell r="AP112">
            <v>5.5760189999999996</v>
          </cell>
          <cell r="AQ112">
            <v>752.94462924999618</v>
          </cell>
          <cell r="AR112">
            <v>360.45698418560806</v>
          </cell>
          <cell r="AS112">
            <v>22.457632254659863</v>
          </cell>
          <cell r="AT112">
            <v>382.91461644026793</v>
          </cell>
          <cell r="AU112">
            <v>368.50689506438789</v>
          </cell>
          <cell r="AV112">
            <v>1.5231177453402713</v>
          </cell>
          <cell r="AW112">
            <v>9901.3459498163302</v>
          </cell>
          <cell r="AX112"/>
          <cell r="AY112"/>
          <cell r="AZ112"/>
          <cell r="BA112"/>
        </row>
        <row r="114">
          <cell r="H114" t="str">
            <v>ETF</v>
          </cell>
          <cell r="I114" t="str">
            <v>00650L</v>
          </cell>
          <cell r="J114" t="str">
            <v>FH香港正2</v>
          </cell>
          <cell r="K114">
            <v>22.25</v>
          </cell>
          <cell r="L114">
            <v>22.473301389713743</v>
          </cell>
          <cell r="M114">
            <v>-0.22330138971374325</v>
          </cell>
          <cell r="N114">
            <v>-9.9362966678295805E-3</v>
          </cell>
          <cell r="O114">
            <v>1739.4335275638439</v>
          </cell>
          <cell r="P114">
            <v>1722.15</v>
          </cell>
          <cell r="Q114">
            <v>500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422</v>
          </cell>
          <cell r="W114">
            <v>535</v>
          </cell>
          <cell r="X114">
            <v>22.179383886255923</v>
          </cell>
          <cell r="Y114">
            <v>22.207906542056076</v>
          </cell>
          <cell r="Z114">
            <v>387</v>
          </cell>
          <cell r="AA114">
            <v>2</v>
          </cell>
          <cell r="AB114">
            <v>1000</v>
          </cell>
          <cell r="AC114">
            <v>22.17938388625592</v>
          </cell>
          <cell r="AD114">
            <v>22.207906542056076</v>
          </cell>
          <cell r="AE114">
            <v>1871.9399999999996</v>
          </cell>
          <cell r="AF114">
            <v>2376.2460000000005</v>
          </cell>
          <cell r="AG114">
            <v>-504.30600000000095</v>
          </cell>
          <cell r="AH114" t="str">
            <v>NTD</v>
          </cell>
          <cell r="AI114">
            <v>1</v>
          </cell>
          <cell r="AJ114">
            <v>500</v>
          </cell>
          <cell r="AK114">
            <v>22.01</v>
          </cell>
          <cell r="AL114">
            <v>21.95</v>
          </cell>
          <cell r="AM114">
            <v>6.0000000000002274E-2</v>
          </cell>
          <cell r="AN114">
            <v>2.7334851936220428E-3</v>
          </cell>
          <cell r="AO114">
            <v>11.539877000000164</v>
          </cell>
          <cell r="AP114">
            <v>1.188123</v>
          </cell>
          <cell r="AQ114">
            <v>12.728000000000165</v>
          </cell>
          <cell r="AR114">
            <v>-14.165069485687276</v>
          </cell>
          <cell r="AS114">
            <v>-0.47565607476634175</v>
          </cell>
          <cell r="AT114">
            <v>-14.640725560453618</v>
          </cell>
          <cell r="AU114">
            <v>26.165069485687194</v>
          </cell>
          <cell r="AV114">
            <v>1.2036560747665881</v>
          </cell>
          <cell r="AW114">
            <v>26.994959568461226</v>
          </cell>
          <cell r="AX114">
            <v>-0.20080000000000001</v>
          </cell>
          <cell r="AY114">
            <v>0</v>
          </cell>
          <cell r="AZ114">
            <v>0.29149999999999998</v>
          </cell>
          <cell r="BA114">
            <v>0</v>
          </cell>
        </row>
        <row r="115">
          <cell r="H115" t="str">
            <v>ETF</v>
          </cell>
          <cell r="I115" t="str">
            <v>00651R</v>
          </cell>
          <cell r="J115" t="str">
            <v>FH香港反1</v>
          </cell>
          <cell r="K115">
            <v>8.73</v>
          </cell>
          <cell r="L115">
            <v>8.7236706830424477</v>
          </cell>
          <cell r="M115">
            <v>6.3293169575526775E-3</v>
          </cell>
          <cell r="N115">
            <v>7.2553368731087531E-4</v>
          </cell>
          <cell r="O115">
            <v>-2916.3231093410905</v>
          </cell>
          <cell r="P115">
            <v>-2918.4390000000003</v>
          </cell>
          <cell r="Q115">
            <v>2827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529</v>
          </cell>
          <cell r="W115">
            <v>13</v>
          </cell>
          <cell r="X115">
            <v>8.7484310018903599</v>
          </cell>
          <cell r="Y115">
            <v>8.7861538461538462</v>
          </cell>
          <cell r="Z115">
            <v>3343</v>
          </cell>
          <cell r="AA115">
            <v>-1</v>
          </cell>
          <cell r="AB115">
            <v>1000</v>
          </cell>
          <cell r="AC115">
            <v>8.7484310018903599</v>
          </cell>
          <cell r="AD115">
            <v>8.7861538461538462</v>
          </cell>
          <cell r="AE115">
            <v>-462.79199999999997</v>
          </cell>
          <cell r="AF115">
            <v>-11.422000000000001</v>
          </cell>
          <cell r="AG115">
            <v>-451.36999999999995</v>
          </cell>
          <cell r="AH115" t="str">
            <v>NTD</v>
          </cell>
          <cell r="AI115">
            <v>1</v>
          </cell>
          <cell r="AJ115">
            <v>2827</v>
          </cell>
          <cell r="AK115">
            <v>8.8000000000000007</v>
          </cell>
          <cell r="AL115">
            <v>8.83</v>
          </cell>
          <cell r="AM115">
            <v>-2.9999999999999361E-2</v>
          </cell>
          <cell r="AN115">
            <v>-3.3975084937711841E-3</v>
          </cell>
          <cell r="AO115">
            <v>-20.702422000000098</v>
          </cell>
          <cell r="AP115">
            <v>1.1422E-2</v>
          </cell>
          <cell r="AQ115">
            <v>-20.691000000000098</v>
          </cell>
          <cell r="AR115">
            <v>10.270297903899962</v>
          </cell>
          <cell r="AS115">
            <v>-0.95103969754255069</v>
          </cell>
          <cell r="AT115">
            <v>9.3192582063574108</v>
          </cell>
          <cell r="AU115">
            <v>-30.059297903900042</v>
          </cell>
          <cell r="AV115">
            <v>4.9039697542532144E-2</v>
          </cell>
          <cell r="AW115">
            <v>46.019029543122961</v>
          </cell>
          <cell r="AX115">
            <v>-0.15049999999999999</v>
          </cell>
          <cell r="AY115">
            <v>0</v>
          </cell>
          <cell r="AZ115">
            <v>8.1199999999999994E-2</v>
          </cell>
          <cell r="BA115">
            <v>0</v>
          </cell>
        </row>
        <row r="116">
          <cell r="H116" t="str">
            <v>ETF</v>
          </cell>
          <cell r="I116" t="str">
            <v>00665L</v>
          </cell>
          <cell r="J116" t="str">
            <v>富邦恒生國企正2</v>
          </cell>
          <cell r="K116">
            <v>21.45</v>
          </cell>
          <cell r="L116">
            <v>21.569447660756257</v>
          </cell>
          <cell r="M116">
            <v>-0.11944766075625779</v>
          </cell>
          <cell r="N116">
            <v>-5.5378173161838573E-3</v>
          </cell>
          <cell r="O116">
            <v>4559.7812354838725</v>
          </cell>
          <cell r="P116">
            <v>4534.5299999999988</v>
          </cell>
          <cell r="Q116">
            <v>1347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154</v>
          </cell>
          <cell r="W116">
            <v>444</v>
          </cell>
          <cell r="X116">
            <v>21.487402597402596</v>
          </cell>
          <cell r="Y116">
            <v>21.406779279279281</v>
          </cell>
          <cell r="Z116">
            <v>1057</v>
          </cell>
          <cell r="AA116">
            <v>2</v>
          </cell>
          <cell r="AB116">
            <v>1000</v>
          </cell>
          <cell r="AC116">
            <v>21.487402597402596</v>
          </cell>
          <cell r="AD116">
            <v>21.406779279279281</v>
          </cell>
          <cell r="AE116">
            <v>661.81200000000001</v>
          </cell>
          <cell r="AF116">
            <v>1900.922</v>
          </cell>
          <cell r="AG116">
            <v>-1239.1100000000001</v>
          </cell>
          <cell r="AH116" t="str">
            <v>NTD</v>
          </cell>
          <cell r="AI116">
            <v>1</v>
          </cell>
          <cell r="AJ116">
            <v>1347</v>
          </cell>
          <cell r="AK116">
            <v>21.55</v>
          </cell>
          <cell r="AL116">
            <v>21.54</v>
          </cell>
          <cell r="AM116">
            <v>1.0000000000001563E-2</v>
          </cell>
          <cell r="AN116">
            <v>4.6425255338911064E-4</v>
          </cell>
          <cell r="AO116">
            <v>-16.915461000000082</v>
          </cell>
          <cell r="AP116">
            <v>0.95046100000000011</v>
          </cell>
          <cell r="AQ116">
            <v>-15.965000000000082</v>
          </cell>
          <cell r="AR116">
            <v>-17.436599903868132</v>
          </cell>
          <cell r="AS116">
            <v>-1.2534009009008358</v>
          </cell>
          <cell r="AT116">
            <v>-18.690000804768967</v>
          </cell>
          <cell r="AU116">
            <v>3.9665999038679431</v>
          </cell>
          <cell r="AV116">
            <v>-1.2415990990990564</v>
          </cell>
          <cell r="AW116">
            <v>332.66230115697397</v>
          </cell>
          <cell r="AX116">
            <v>-0.93600000000000005</v>
          </cell>
          <cell r="AY116">
            <v>0</v>
          </cell>
          <cell r="AZ116">
            <v>0.99580000000000002</v>
          </cell>
          <cell r="BA116">
            <v>0</v>
          </cell>
        </row>
        <row r="117">
          <cell r="H117" t="str">
            <v>ETF</v>
          </cell>
          <cell r="I117" t="str">
            <v>00666R</v>
          </cell>
          <cell r="J117" t="str">
            <v>富邦恒生國企反1</v>
          </cell>
          <cell r="K117">
            <v>13.42</v>
          </cell>
          <cell r="L117">
            <v>13.370881019133076</v>
          </cell>
          <cell r="M117">
            <v>4.9118980866923678E-2</v>
          </cell>
          <cell r="N117">
            <v>3.6735784872092836E-3</v>
          </cell>
          <cell r="O117">
            <v>-3051.2350485661677</v>
          </cell>
          <cell r="P117">
            <v>-3062.444</v>
          </cell>
          <cell r="Q117">
            <v>2254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71</v>
          </cell>
          <cell r="W117">
            <v>43</v>
          </cell>
          <cell r="X117">
            <v>13.433943661971831</v>
          </cell>
          <cell r="Y117">
            <v>13.423953488372094</v>
          </cell>
          <cell r="Z117">
            <v>2282</v>
          </cell>
          <cell r="AA117">
            <v>-1</v>
          </cell>
          <cell r="AB117">
            <v>1000</v>
          </cell>
          <cell r="AC117">
            <v>13.433943661971831</v>
          </cell>
          <cell r="AD117">
            <v>13.423953488372094</v>
          </cell>
          <cell r="AE117">
            <v>-95.381000000000014</v>
          </cell>
          <cell r="AF117">
            <v>-57.722999999999999</v>
          </cell>
          <cell r="AG117">
            <v>-37.658000000000015</v>
          </cell>
          <cell r="AH117" t="str">
            <v>NTD</v>
          </cell>
          <cell r="AI117">
            <v>1</v>
          </cell>
          <cell r="AJ117">
            <v>2254</v>
          </cell>
          <cell r="AK117">
            <v>13.42</v>
          </cell>
          <cell r="AL117">
            <v>13.46</v>
          </cell>
          <cell r="AM117">
            <v>-4.0000000000000924E-2</v>
          </cell>
          <cell r="AN117">
            <v>-2.9717682020803382E-3</v>
          </cell>
          <cell r="AO117">
            <v>-0.13972299999999879</v>
          </cell>
          <cell r="AP117">
            <v>5.7723000000000003E-2</v>
          </cell>
          <cell r="AQ117">
            <v>-8.1999999999998782E-2</v>
          </cell>
          <cell r="AR117">
            <v>20.087418287404805</v>
          </cell>
          <cell r="AS117">
            <v>-3.904225352112789E-2</v>
          </cell>
          <cell r="AT117">
            <v>20.048376033883677</v>
          </cell>
          <cell r="AU117">
            <v>-20.087418287404805</v>
          </cell>
          <cell r="AV117">
            <v>-4.2957746478870892E-2</v>
          </cell>
          <cell r="AW117">
            <v>166.67707211272239</v>
          </cell>
          <cell r="AX117">
            <v>-0.44850000000000001</v>
          </cell>
          <cell r="AY117">
            <v>0</v>
          </cell>
          <cell r="AZ117">
            <v>0.51529999999999998</v>
          </cell>
          <cell r="BA117">
            <v>0</v>
          </cell>
        </row>
        <row r="118">
          <cell r="H118" t="str">
            <v>ETF</v>
          </cell>
          <cell r="I118" t="str">
            <v>00700</v>
          </cell>
          <cell r="J118" t="str">
            <v>富邦恆生國企</v>
          </cell>
          <cell r="K118">
            <v>18.739999999999998</v>
          </cell>
          <cell r="L118">
            <v>18.84</v>
          </cell>
          <cell r="M118">
            <v>-0.10000000000000142</v>
          </cell>
          <cell r="N118">
            <v>-5.3078556263270738E-3</v>
          </cell>
          <cell r="O118">
            <v>497.37599999999998</v>
          </cell>
          <cell r="P118">
            <v>494.73599999999999</v>
          </cell>
          <cell r="Q118">
            <v>264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50</v>
          </cell>
          <cell r="W118">
            <v>50</v>
          </cell>
          <cell r="X118">
            <v>18.739999999999998</v>
          </cell>
          <cell r="Y118">
            <v>18.739999999999998</v>
          </cell>
          <cell r="Z118">
            <v>264</v>
          </cell>
          <cell r="AA118">
            <v>1</v>
          </cell>
          <cell r="AB118">
            <v>1000</v>
          </cell>
          <cell r="AC118">
            <v>18.739999999999998</v>
          </cell>
          <cell r="AD118">
            <v>18.739999999999998</v>
          </cell>
          <cell r="AE118">
            <v>93.699999999999989</v>
          </cell>
          <cell r="AF118">
            <v>93.699999999999989</v>
          </cell>
          <cell r="AG118">
            <v>0</v>
          </cell>
          <cell r="AH118" t="str">
            <v>NTD</v>
          </cell>
          <cell r="AI118">
            <v>1</v>
          </cell>
          <cell r="AJ118">
            <v>264</v>
          </cell>
          <cell r="AK118">
            <v>18.87</v>
          </cell>
          <cell r="AL118">
            <v>18.920000000000002</v>
          </cell>
          <cell r="AM118">
            <v>-5.0000000000000711E-2</v>
          </cell>
          <cell r="AN118">
            <v>-2.6427061310783095E-3</v>
          </cell>
          <cell r="AO118">
            <v>-3.525700000000068</v>
          </cell>
          <cell r="AP118">
            <v>9.3699999999999992E-2</v>
          </cell>
          <cell r="AQ118">
            <v>-3.4320000000000679</v>
          </cell>
          <cell r="AR118">
            <v>-1.3200000000000187</v>
          </cell>
          <cell r="AS118">
            <v>0</v>
          </cell>
          <cell r="AT118">
            <v>-1.3200000000000187</v>
          </cell>
          <cell r="AU118">
            <v>-2.1120000000000489</v>
          </cell>
          <cell r="AV118">
            <v>0</v>
          </cell>
          <cell r="AW118">
            <v>60.939493649419795</v>
          </cell>
          <cell r="AX118">
            <v>-0.996</v>
          </cell>
          <cell r="AY118">
            <v>0</v>
          </cell>
          <cell r="AZ118">
            <v>0.98970000000000002</v>
          </cell>
          <cell r="BA118">
            <v>0</v>
          </cell>
        </row>
        <row r="119">
          <cell r="G119" t="str">
            <v>HHI-M20</v>
          </cell>
          <cell r="H119" t="str">
            <v>期貨</v>
          </cell>
          <cell r="I119" t="str">
            <v>HHIF0</v>
          </cell>
          <cell r="J119" t="str">
            <v>國企指數期貨</v>
          </cell>
          <cell r="K119">
            <v>9934</v>
          </cell>
          <cell r="L119">
            <v>9934</v>
          </cell>
          <cell r="M119" t="str">
            <v/>
          </cell>
          <cell r="N119" t="str">
            <v/>
          </cell>
          <cell r="O119">
            <v>-298.02</v>
          </cell>
          <cell r="P119">
            <v>-298.02</v>
          </cell>
          <cell r="Q119">
            <v>-17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10</v>
          </cell>
          <cell r="W119">
            <v>3</v>
          </cell>
          <cell r="X119">
            <v>9895</v>
          </cell>
          <cell r="Y119">
            <v>9877.6666666666661</v>
          </cell>
          <cell r="Z119">
            <v>-10</v>
          </cell>
          <cell r="AA119">
            <v>1</v>
          </cell>
          <cell r="AB119">
            <v>1</v>
          </cell>
          <cell r="AC119">
            <v>9895</v>
          </cell>
          <cell r="AD119">
            <v>9877.6666666666661</v>
          </cell>
          <cell r="AE119">
            <v>296.85000000000002</v>
          </cell>
          <cell r="AF119">
            <v>88.899000000000001</v>
          </cell>
          <cell r="AG119">
            <v>207.95100000000002</v>
          </cell>
          <cell r="AH119" t="str">
            <v>HKD</v>
          </cell>
          <cell r="AI119">
            <v>30</v>
          </cell>
          <cell r="AJ119">
            <v>-17</v>
          </cell>
          <cell r="AK119">
            <v>9906</v>
          </cell>
          <cell r="AL119">
            <v>9906</v>
          </cell>
          <cell r="AM119" t="str">
            <v/>
          </cell>
          <cell r="AN119" t="str">
            <v/>
          </cell>
          <cell r="AO119">
            <v>-0.76500000000000545</v>
          </cell>
          <cell r="AP119">
            <v>0</v>
          </cell>
          <cell r="AQ119">
            <v>-0.76500000000000545</v>
          </cell>
          <cell r="AR119">
            <v>0</v>
          </cell>
          <cell r="AS119">
            <v>0.81899999999999995</v>
          </cell>
          <cell r="AT119">
            <v>0.81899999999999995</v>
          </cell>
          <cell r="AU119">
            <v>-1.4279999999999999</v>
          </cell>
          <cell r="AV119">
            <v>-0.15600000000000547</v>
          </cell>
          <cell r="AW119">
            <v>6.2308400000000647E-3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</row>
        <row r="120">
          <cell r="G120" t="str">
            <v>MHI-M20</v>
          </cell>
          <cell r="H120" t="str">
            <v>期貨</v>
          </cell>
          <cell r="I120" t="str">
            <v>MHIF0</v>
          </cell>
          <cell r="J120" t="str">
            <v>迷你恆生指數期貨</v>
          </cell>
          <cell r="K120">
            <v>24422</v>
          </cell>
          <cell r="L120">
            <v>24422</v>
          </cell>
          <cell r="M120" t="str">
            <v/>
          </cell>
          <cell r="N120" t="str">
            <v/>
          </cell>
          <cell r="O120">
            <v>1219.1462399999998</v>
          </cell>
          <cell r="P120">
            <v>1219.1462399999998</v>
          </cell>
          <cell r="Q120">
            <v>1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12</v>
          </cell>
          <cell r="W120">
            <v>0</v>
          </cell>
          <cell r="X120">
            <v>24280.5</v>
          </cell>
          <cell r="Y120">
            <v>0</v>
          </cell>
          <cell r="Z120">
            <v>13</v>
          </cell>
          <cell r="AA120">
            <v>1</v>
          </cell>
          <cell r="AB120">
            <v>10</v>
          </cell>
          <cell r="AC120">
            <v>24280.5</v>
          </cell>
          <cell r="AD120">
            <v>0</v>
          </cell>
          <cell r="AE120">
            <v>1118.8454400000001</v>
          </cell>
          <cell r="AF120">
            <v>0</v>
          </cell>
          <cell r="AG120">
            <v>1118.8454400000001</v>
          </cell>
          <cell r="AH120" t="str">
            <v>HKD</v>
          </cell>
          <cell r="AI120">
            <v>3.84</v>
          </cell>
          <cell r="AJ120">
            <v>1</v>
          </cell>
          <cell r="AK120">
            <v>24136</v>
          </cell>
          <cell r="AL120">
            <v>24136</v>
          </cell>
          <cell r="AM120" t="str">
            <v/>
          </cell>
          <cell r="AN120" t="str">
            <v/>
          </cell>
          <cell r="AO120">
            <v>7.6185599999999996</v>
          </cell>
          <cell r="AP120">
            <v>0</v>
          </cell>
          <cell r="AQ120">
            <v>7.6185599999999996</v>
          </cell>
          <cell r="AR120">
            <v>0</v>
          </cell>
          <cell r="AS120">
            <v>6.5203199999999999</v>
          </cell>
          <cell r="AT120">
            <v>6.5203199999999999</v>
          </cell>
          <cell r="AU120">
            <v>1.0982399999999999</v>
          </cell>
          <cell r="AV120">
            <v>0</v>
          </cell>
          <cell r="AW120">
            <v>-3.7437400000000384E-2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</row>
        <row r="121">
          <cell r="G121" t="str">
            <v>港股小計</v>
          </cell>
          <cell r="H121"/>
          <cell r="I121"/>
          <cell r="J121"/>
          <cell r="K121"/>
          <cell r="L121"/>
          <cell r="M121"/>
          <cell r="N121"/>
          <cell r="O121">
            <v>1750.1588451404582</v>
          </cell>
          <cell r="P121">
            <v>1691.6592399999986</v>
          </cell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>
            <v>3484.9744399999995</v>
          </cell>
          <cell r="AF121">
            <v>4390.6220000000012</v>
          </cell>
          <cell r="AG121">
            <v>-905.64756000000079</v>
          </cell>
          <cell r="AH121"/>
          <cell r="AI121"/>
          <cell r="AJ121"/>
          <cell r="AK121"/>
          <cell r="AL121"/>
          <cell r="AM121"/>
          <cell r="AN121"/>
          <cell r="AO121">
            <v>-22.88986900000009</v>
          </cell>
          <cell r="AP121">
            <v>2.3014290000000006</v>
          </cell>
          <cell r="AQ121">
            <v>-20.588440000000084</v>
          </cell>
          <cell r="AR121">
            <v>-2.5639531982506591</v>
          </cell>
          <cell r="AS121">
            <v>4.6201810732691442</v>
          </cell>
          <cell r="AT121">
            <v>2.0562278750184841</v>
          </cell>
          <cell r="AU121">
            <v>-22.456806801749757</v>
          </cell>
          <cell r="AV121">
            <v>-0.18786107326881246</v>
          </cell>
          <cell r="AW121">
            <v>633.26164947070015</v>
          </cell>
        </row>
        <row r="122">
          <cell r="G122"/>
          <cell r="H122"/>
          <cell r="I122"/>
          <cell r="J122"/>
          <cell r="K122"/>
          <cell r="L122"/>
          <cell r="M122"/>
          <cell r="N122"/>
          <cell r="O122">
            <v>1750.1588451404582</v>
          </cell>
          <cell r="P122">
            <v>1691.6592399999986</v>
          </cell>
          <cell r="Q122"/>
          <cell r="R122"/>
          <cell r="S122"/>
          <cell r="T122"/>
          <cell r="U122"/>
          <cell r="V122"/>
          <cell r="W122"/>
          <cell r="X122"/>
          <cell r="Y122"/>
          <cell r="Z122"/>
          <cell r="AA122"/>
          <cell r="AB122"/>
          <cell r="AC122"/>
          <cell r="AD122"/>
          <cell r="AE122"/>
          <cell r="AF122"/>
          <cell r="AG122"/>
          <cell r="AH122"/>
          <cell r="AI122"/>
          <cell r="AJ122"/>
          <cell r="AK122"/>
          <cell r="AL122"/>
          <cell r="AM122"/>
          <cell r="AN122"/>
          <cell r="AO122">
            <v>-22.88986900000009</v>
          </cell>
          <cell r="AP122">
            <v>2.3014290000000006</v>
          </cell>
          <cell r="AQ122">
            <v>-20.588440000000084</v>
          </cell>
          <cell r="AR122">
            <v>-2.5639531982506591</v>
          </cell>
          <cell r="AS122">
            <v>4.6201810732691442</v>
          </cell>
          <cell r="AT122">
            <v>2.0562278750184841</v>
          </cell>
          <cell r="AU122">
            <v>-22.456806801749757</v>
          </cell>
          <cell r="AV122">
            <v>-0.18786107326881246</v>
          </cell>
          <cell r="AW122">
            <v>633.26164947070015</v>
          </cell>
          <cell r="AX122"/>
          <cell r="AY122"/>
          <cell r="AZ122"/>
          <cell r="BA122"/>
        </row>
        <row r="124">
          <cell r="H124" t="str">
            <v>ETF</v>
          </cell>
          <cell r="I124" t="str">
            <v>00652</v>
          </cell>
          <cell r="J124" t="str">
            <v>富邦印度</v>
          </cell>
          <cell r="K124">
            <v>18.53</v>
          </cell>
          <cell r="L124">
            <v>18.5</v>
          </cell>
          <cell r="M124">
            <v>3.0000000000001137E-2</v>
          </cell>
          <cell r="N124">
            <v>1.6216216216216051E-3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1</v>
          </cell>
          <cell r="AB124">
            <v>1000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 t="str">
            <v>NTD</v>
          </cell>
          <cell r="AI124">
            <v>1</v>
          </cell>
          <cell r="AJ124">
            <v>0</v>
          </cell>
          <cell r="AK124">
            <v>18.7</v>
          </cell>
          <cell r="AL124">
            <v>18.63</v>
          </cell>
          <cell r="AM124">
            <v>7.0000000000000284E-2</v>
          </cell>
          <cell r="AN124">
            <v>3.7573805689747886E-3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1.2500000000000001E-2</v>
          </cell>
          <cell r="AY124">
            <v>0</v>
          </cell>
          <cell r="AZ124">
            <v>0</v>
          </cell>
          <cell r="BA124">
            <v>0</v>
          </cell>
        </row>
        <row r="125">
          <cell r="H125" t="str">
            <v>ETF</v>
          </cell>
          <cell r="I125" t="str">
            <v>00653L</v>
          </cell>
          <cell r="J125" t="str">
            <v>富邦印度正2</v>
          </cell>
          <cell r="K125">
            <v>18.100000000000001</v>
          </cell>
          <cell r="L125">
            <v>18.199854351356983</v>
          </cell>
          <cell r="M125">
            <v>-9.9854351356981397E-2</v>
          </cell>
          <cell r="N125">
            <v>-5.4865467288498504E-3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2</v>
          </cell>
          <cell r="AB125">
            <v>1000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 t="str">
            <v>NTD</v>
          </cell>
          <cell r="AI125">
            <v>1</v>
          </cell>
          <cell r="AJ125">
            <v>0</v>
          </cell>
          <cell r="AK125">
            <v>18.21</v>
          </cell>
          <cell r="AL125">
            <v>18.23</v>
          </cell>
          <cell r="AM125">
            <v>-1.9999999999999574E-2</v>
          </cell>
          <cell r="AN125">
            <v>-1.0970927043334466E-3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0.45810000000000001</v>
          </cell>
          <cell r="AY125">
            <v>0</v>
          </cell>
          <cell r="AZ125">
            <v>0</v>
          </cell>
          <cell r="BA125">
            <v>0</v>
          </cell>
        </row>
        <row r="126">
          <cell r="H126" t="str">
            <v>ETF</v>
          </cell>
          <cell r="I126" t="str">
            <v>00654R</v>
          </cell>
          <cell r="J126" t="str">
            <v>富邦印度反1</v>
          </cell>
          <cell r="K126">
            <v>14.68</v>
          </cell>
          <cell r="L126">
            <v>14.679122587043761</v>
          </cell>
          <cell r="M126">
            <v>8.7741295623899873E-4</v>
          </cell>
          <cell r="N126">
            <v>5.9772847528005713E-5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-1</v>
          </cell>
          <cell r="AB126">
            <v>1000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 t="str">
            <v>NTD</v>
          </cell>
          <cell r="AI126">
            <v>1</v>
          </cell>
          <cell r="AJ126">
            <v>0</v>
          </cell>
          <cell r="AK126">
            <v>14.64</v>
          </cell>
          <cell r="AL126">
            <v>14.69</v>
          </cell>
          <cell r="AM126">
            <v>-4.9999999999998934E-2</v>
          </cell>
          <cell r="AN126">
            <v>-3.4036759700475372E-3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0.17510000000000001</v>
          </cell>
          <cell r="AY126">
            <v>0</v>
          </cell>
          <cell r="AZ126">
            <v>0</v>
          </cell>
          <cell r="BA126">
            <v>0</v>
          </cell>
        </row>
        <row r="127">
          <cell r="G127" t="str">
            <v>IN-M20</v>
          </cell>
          <cell r="H127" t="str">
            <v>期貨</v>
          </cell>
          <cell r="I127" t="str">
            <v>INF0</v>
          </cell>
          <cell r="J127" t="str">
            <v>迷你恆生指數期貨</v>
          </cell>
          <cell r="K127">
            <v>10086</v>
          </cell>
          <cell r="L127">
            <v>10086</v>
          </cell>
          <cell r="M127" t="str">
            <v/>
          </cell>
          <cell r="N127" t="str">
            <v/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1</v>
          </cell>
          <cell r="AB127">
            <v>2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 t="str">
            <v>USD</v>
          </cell>
          <cell r="AI127">
            <v>29.77</v>
          </cell>
          <cell r="AJ127">
            <v>0</v>
          </cell>
          <cell r="AK127">
            <v>10084.5</v>
          </cell>
          <cell r="AL127">
            <v>10084.5</v>
          </cell>
          <cell r="AM127" t="str">
            <v/>
          </cell>
          <cell r="AN127" t="str">
            <v/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</row>
        <row r="128">
          <cell r="G128" t="str">
            <v>印度小計</v>
          </cell>
          <cell r="H128"/>
          <cell r="I128"/>
          <cell r="J128"/>
          <cell r="K128"/>
          <cell r="L128"/>
          <cell r="M128"/>
          <cell r="N128"/>
          <cell r="O128">
            <v>0</v>
          </cell>
          <cell r="P128">
            <v>0</v>
          </cell>
          <cell r="Q128"/>
          <cell r="R128"/>
          <cell r="S128"/>
          <cell r="T128"/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>
            <v>0</v>
          </cell>
          <cell r="AF128">
            <v>0</v>
          </cell>
          <cell r="AG128">
            <v>0</v>
          </cell>
          <cell r="AH128"/>
          <cell r="AI128"/>
          <cell r="AJ128"/>
          <cell r="AK128"/>
          <cell r="AL128"/>
          <cell r="AM128"/>
          <cell r="AN128"/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</row>
        <row r="129">
          <cell r="G129"/>
          <cell r="H129"/>
          <cell r="I129"/>
          <cell r="J129"/>
          <cell r="K129"/>
          <cell r="L129"/>
          <cell r="M129"/>
          <cell r="N129"/>
          <cell r="O129">
            <v>0</v>
          </cell>
          <cell r="P129">
            <v>0</v>
          </cell>
          <cell r="Q129"/>
          <cell r="R129"/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  <cell r="AH129"/>
          <cell r="AI129"/>
          <cell r="AJ129"/>
          <cell r="AK129"/>
          <cell r="AL129"/>
          <cell r="AM129"/>
          <cell r="AN129"/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/>
          <cell r="AY129"/>
          <cell r="AZ129"/>
          <cell r="BA129"/>
        </row>
        <row r="132">
          <cell r="H132" t="str">
            <v>ETF</v>
          </cell>
          <cell r="I132" t="str">
            <v>00631L</v>
          </cell>
          <cell r="J132" t="str">
            <v>元大台灣50正2</v>
          </cell>
          <cell r="K132">
            <v>49.05</v>
          </cell>
          <cell r="L132">
            <v>48.983719807639957</v>
          </cell>
          <cell r="M132">
            <v>6.6280192360039791E-2</v>
          </cell>
          <cell r="N132">
            <v>1.3531065550007604E-3</v>
          </cell>
          <cell r="O132">
            <v>9.7967439615279908</v>
          </cell>
          <cell r="P132">
            <v>9.81</v>
          </cell>
          <cell r="Q132">
            <v>1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1</v>
          </cell>
          <cell r="AA132">
            <v>2</v>
          </cell>
          <cell r="AB132">
            <v>1000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 t="str">
            <v>NTD</v>
          </cell>
          <cell r="AI132">
            <v>1</v>
          </cell>
          <cell r="AJ132">
            <v>1</v>
          </cell>
          <cell r="AK132">
            <v>47.51</v>
          </cell>
          <cell r="AL132">
            <v>47.52</v>
          </cell>
          <cell r="AM132">
            <v>-1.0000000000005116E-2</v>
          </cell>
          <cell r="AN132">
            <v>-2.1043771043782744E-4</v>
          </cell>
          <cell r="AO132">
            <v>0.15399999999999991</v>
          </cell>
          <cell r="AP132">
            <v>0</v>
          </cell>
          <cell r="AQ132">
            <v>0.15399999999999991</v>
          </cell>
          <cell r="AR132">
            <v>7.6280192360044909E-3</v>
          </cell>
          <cell r="AS132">
            <v>0</v>
          </cell>
          <cell r="AT132">
            <v>7.6280192360044909E-3</v>
          </cell>
          <cell r="AU132">
            <v>0.14637198076399544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</row>
        <row r="133">
          <cell r="H133" t="str">
            <v>ETF</v>
          </cell>
          <cell r="I133" t="str">
            <v>00632R</v>
          </cell>
          <cell r="J133" t="str">
            <v>元大台灣50反1</v>
          </cell>
          <cell r="K133">
            <v>9.6999999999999993</v>
          </cell>
          <cell r="L133">
            <v>9.7179341507911694</v>
          </cell>
          <cell r="M133">
            <v>-1.7934150791170111E-2</v>
          </cell>
          <cell r="N133">
            <v>-1.8454694704542751E-3</v>
          </cell>
          <cell r="O133">
            <v>15684.745719376948</v>
          </cell>
          <cell r="P133">
            <v>15655.8</v>
          </cell>
          <cell r="Q133">
            <v>-16140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-16140</v>
          </cell>
          <cell r="AA133">
            <v>-1</v>
          </cell>
          <cell r="AB133">
            <v>1000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 t="str">
            <v>NTD</v>
          </cell>
          <cell r="AI133">
            <v>1</v>
          </cell>
          <cell r="AJ133">
            <v>-16140</v>
          </cell>
          <cell r="AK133">
            <v>9.86</v>
          </cell>
          <cell r="AL133">
            <v>9.8699999999999992</v>
          </cell>
          <cell r="AM133">
            <v>-9.9999999999997868E-3</v>
          </cell>
          <cell r="AN133">
            <v>-1.0131712259371373E-3</v>
          </cell>
          <cell r="AO133">
            <v>258.24000000000024</v>
          </cell>
          <cell r="AP133">
            <v>0</v>
          </cell>
          <cell r="AQ133">
            <v>258.24000000000024</v>
          </cell>
          <cell r="AR133">
            <v>12.805719376948904</v>
          </cell>
          <cell r="AS133">
            <v>0</v>
          </cell>
          <cell r="AT133">
            <v>12.805719376948904</v>
          </cell>
          <cell r="AU133">
            <v>245.43428062305134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</row>
        <row r="134">
          <cell r="H134" t="str">
            <v>ETF</v>
          </cell>
          <cell r="I134" t="str">
            <v>00663L</v>
          </cell>
          <cell r="J134" t="str">
            <v>國泰臺灣加權正2</v>
          </cell>
          <cell r="K134">
            <v>44</v>
          </cell>
          <cell r="L134">
            <v>44.001963796704572</v>
          </cell>
          <cell r="M134">
            <v>-1.9637967045724736E-3</v>
          </cell>
          <cell r="N134">
            <v>-4.4629751382085914E-5</v>
          </cell>
          <cell r="O134">
            <v>941.6420252494778</v>
          </cell>
          <cell r="P134">
            <v>941.6</v>
          </cell>
          <cell r="Q134">
            <v>107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107</v>
          </cell>
          <cell r="AA134">
            <v>2</v>
          </cell>
          <cell r="AB134">
            <v>1000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 t="str">
            <v>NTD</v>
          </cell>
          <cell r="AI134">
            <v>1</v>
          </cell>
          <cell r="AJ134">
            <v>107</v>
          </cell>
          <cell r="AK134">
            <v>42.73</v>
          </cell>
          <cell r="AL134">
            <v>42.73</v>
          </cell>
          <cell r="AM134">
            <v>0</v>
          </cell>
          <cell r="AN134">
            <v>0</v>
          </cell>
          <cell r="AO134">
            <v>13.589000000000032</v>
          </cell>
          <cell r="AP134">
            <v>0</v>
          </cell>
          <cell r="AQ134">
            <v>13.589000000000032</v>
          </cell>
          <cell r="AR134">
            <v>-2.1012624738925467E-2</v>
          </cell>
          <cell r="AS134">
            <v>0</v>
          </cell>
          <cell r="AT134">
            <v>-2.1012624738925467E-2</v>
          </cell>
          <cell r="AU134">
            <v>13.610012624738959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</row>
        <row r="135">
          <cell r="H135" t="str">
            <v>ETF</v>
          </cell>
          <cell r="I135" t="str">
            <v>00664R</v>
          </cell>
          <cell r="J135" t="str">
            <v>國泰臺灣加權反1</v>
          </cell>
          <cell r="K135">
            <v>11.04</v>
          </cell>
          <cell r="L135">
            <v>11.033438787114671</v>
          </cell>
          <cell r="M135">
            <v>6.5612128853285157E-3</v>
          </cell>
          <cell r="N135">
            <v>5.9466617905123975E-4</v>
          </cell>
          <cell r="O135">
            <v>-6051.8411747323971</v>
          </cell>
          <cell r="P135">
            <v>-6055.44</v>
          </cell>
          <cell r="Q135">
            <v>5485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5485</v>
          </cell>
          <cell r="AA135">
            <v>-1</v>
          </cell>
          <cell r="AB135">
            <v>1000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 t="str">
            <v>NTD</v>
          </cell>
          <cell r="AI135">
            <v>1</v>
          </cell>
          <cell r="AJ135">
            <v>5485</v>
          </cell>
          <cell r="AK135">
            <v>11.21</v>
          </cell>
          <cell r="AL135">
            <v>11.2</v>
          </cell>
          <cell r="AM135">
            <v>1.0000000000001563E-2</v>
          </cell>
          <cell r="AN135">
            <v>8.9285714285725071E-4</v>
          </cell>
          <cell r="AO135">
            <v>-93.245000000000914</v>
          </cell>
          <cell r="AP135">
            <v>0</v>
          </cell>
          <cell r="AQ135">
            <v>-93.245000000000914</v>
          </cell>
          <cell r="AR135">
            <v>-1.8861747323981668</v>
          </cell>
          <cell r="AS135">
            <v>0</v>
          </cell>
          <cell r="AT135">
            <v>-1.8861747323981668</v>
          </cell>
          <cell r="AU135">
            <v>-91.358825267602754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</row>
        <row r="136">
          <cell r="G136" t="str">
            <v>FITX06</v>
          </cell>
          <cell r="H136" t="str">
            <v>期貨</v>
          </cell>
          <cell r="I136" t="str">
            <v>TXFF0</v>
          </cell>
          <cell r="J136" t="str">
            <v>台指期06</v>
          </cell>
          <cell r="K136">
            <v>11457</v>
          </cell>
          <cell r="L136">
            <v>11457</v>
          </cell>
          <cell r="M136" t="str">
            <v/>
          </cell>
          <cell r="N136" t="str">
            <v/>
          </cell>
          <cell r="O136">
            <v>-9165.6</v>
          </cell>
          <cell r="P136">
            <v>-9165.6</v>
          </cell>
          <cell r="Q136">
            <v>-47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11</v>
          </cell>
          <cell r="W136">
            <v>4</v>
          </cell>
          <cell r="X136">
            <v>11409.454545454546</v>
          </cell>
          <cell r="Y136">
            <v>11406</v>
          </cell>
          <cell r="Z136">
            <v>-40</v>
          </cell>
          <cell r="AA136">
            <v>1</v>
          </cell>
          <cell r="AB136">
            <v>200</v>
          </cell>
          <cell r="AC136">
            <v>11409.454545454546</v>
          </cell>
          <cell r="AD136">
            <v>11406</v>
          </cell>
          <cell r="AE136">
            <v>2510.08</v>
          </cell>
          <cell r="AF136">
            <v>912.48</v>
          </cell>
          <cell r="AG136">
            <v>1597.6</v>
          </cell>
          <cell r="AH136" t="str">
            <v>NTD</v>
          </cell>
          <cell r="AI136">
            <v>1</v>
          </cell>
          <cell r="AJ136">
            <v>-47</v>
          </cell>
          <cell r="AK136">
            <v>11283</v>
          </cell>
          <cell r="AL136">
            <v>11283</v>
          </cell>
          <cell r="AM136" t="str">
            <v/>
          </cell>
          <cell r="AN136" t="str">
            <v/>
          </cell>
          <cell r="AO136">
            <v>-157.18000000000009</v>
          </cell>
          <cell r="AP136">
            <v>0</v>
          </cell>
          <cell r="AQ136">
            <v>-157.18000000000009</v>
          </cell>
          <cell r="AR136">
            <v>0</v>
          </cell>
          <cell r="AS136">
            <v>6.656363636363567</v>
          </cell>
          <cell r="AT136">
            <v>6.656363636363567</v>
          </cell>
          <cell r="AU136">
            <v>-163.56</v>
          </cell>
          <cell r="AV136">
            <v>-0.27636363636367633</v>
          </cell>
          <cell r="AW136">
            <v>21.410004000000221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</row>
        <row r="137">
          <cell r="G137" t="str">
            <v>台股GAQ小計</v>
          </cell>
          <cell r="H137"/>
          <cell r="I137"/>
          <cell r="J137"/>
          <cell r="K137"/>
          <cell r="L137"/>
          <cell r="M137"/>
          <cell r="N137"/>
          <cell r="O137">
            <v>1418.7433138555571</v>
          </cell>
          <cell r="P137">
            <v>1386.17</v>
          </cell>
          <cell r="Q137"/>
          <cell r="R137"/>
          <cell r="S137"/>
          <cell r="T137"/>
          <cell r="U137"/>
          <cell r="V137"/>
          <cell r="W137"/>
          <cell r="X137"/>
          <cell r="Y137"/>
          <cell r="Z137"/>
          <cell r="AA137"/>
          <cell r="AB137"/>
          <cell r="AC137"/>
          <cell r="AD137"/>
          <cell r="AE137"/>
          <cell r="AF137"/>
          <cell r="AG137"/>
          <cell r="AH137"/>
          <cell r="AI137"/>
          <cell r="AJ137"/>
          <cell r="AK137"/>
          <cell r="AL137"/>
          <cell r="AM137"/>
          <cell r="AN137"/>
          <cell r="AO137">
            <v>21.557999999999282</v>
          </cell>
          <cell r="AP137">
            <v>0</v>
          </cell>
          <cell r="AQ137">
            <v>21.557999999999282</v>
          </cell>
          <cell r="AR137">
            <v>10.906160039047816</v>
          </cell>
          <cell r="AS137">
            <v>6.656363636363567</v>
          </cell>
          <cell r="AT137">
            <v>17.562523675411384</v>
          </cell>
          <cell r="AU137">
            <v>4.2718399609515245</v>
          </cell>
          <cell r="AV137">
            <v>-0.27636363636367633</v>
          </cell>
          <cell r="AW137">
            <v>21.410004000000221</v>
          </cell>
        </row>
        <row r="138">
          <cell r="G138"/>
          <cell r="H138"/>
          <cell r="I138"/>
          <cell r="J138"/>
          <cell r="K138"/>
          <cell r="L138"/>
          <cell r="M138"/>
          <cell r="N138"/>
          <cell r="O138">
            <v>1418.7433138555571</v>
          </cell>
          <cell r="P138">
            <v>1386.17</v>
          </cell>
          <cell r="Q138"/>
          <cell r="R138"/>
          <cell r="S138"/>
          <cell r="T138"/>
          <cell r="U138"/>
          <cell r="V138"/>
          <cell r="W138"/>
          <cell r="X138"/>
          <cell r="Y138"/>
          <cell r="Z138"/>
          <cell r="AA138"/>
          <cell r="AB138"/>
          <cell r="AC138"/>
          <cell r="AD138"/>
          <cell r="AE138"/>
          <cell r="AF138"/>
          <cell r="AG138"/>
          <cell r="AH138"/>
          <cell r="AI138"/>
          <cell r="AJ138"/>
          <cell r="AK138"/>
          <cell r="AL138"/>
          <cell r="AM138"/>
          <cell r="AN138"/>
          <cell r="AO138">
            <v>21.557999999999282</v>
          </cell>
          <cell r="AP138">
            <v>0</v>
          </cell>
          <cell r="AQ138">
            <v>21.557999999999282</v>
          </cell>
          <cell r="AR138">
            <v>10.906160039047816</v>
          </cell>
          <cell r="AS138">
            <v>6.656363636363567</v>
          </cell>
          <cell r="AT138">
            <v>17.562523675411384</v>
          </cell>
          <cell r="AU138">
            <v>4.2718399609515245</v>
          </cell>
          <cell r="AV138">
            <v>-0.27636363636367633</v>
          </cell>
          <cell r="AW138">
            <v>21.410004000000221</v>
          </cell>
          <cell r="AX138"/>
          <cell r="AY138"/>
          <cell r="AZ138"/>
          <cell r="BA138"/>
        </row>
        <row r="140">
          <cell r="H140" t="str">
            <v>ETF</v>
          </cell>
          <cell r="I140" t="str">
            <v>00685L</v>
          </cell>
          <cell r="J140" t="str">
            <v>群益臺灣加權正2</v>
          </cell>
          <cell r="K140">
            <v>16.48</v>
          </cell>
          <cell r="L140">
            <v>16.464088088899178</v>
          </cell>
          <cell r="M140">
            <v>1.5911911100822351E-2</v>
          </cell>
          <cell r="N140">
            <v>9.6646173264525181E-4</v>
          </cell>
          <cell r="O140">
            <v>20112.530009399234</v>
          </cell>
          <cell r="P140">
            <v>20131.968000000001</v>
          </cell>
          <cell r="Q140">
            <v>6005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106</v>
          </cell>
          <cell r="W140">
            <v>3</v>
          </cell>
          <cell r="X140">
            <v>16.293396226415094</v>
          </cell>
          <cell r="Y140">
            <v>16.466666666666665</v>
          </cell>
          <cell r="Z140">
            <v>6108</v>
          </cell>
          <cell r="AA140">
            <v>2</v>
          </cell>
          <cell r="AB140">
            <v>1000</v>
          </cell>
          <cell r="AC140">
            <v>16.293396226415094</v>
          </cell>
          <cell r="AD140">
            <v>16.466666666666665</v>
          </cell>
          <cell r="AE140">
            <v>345.42</v>
          </cell>
          <cell r="AF140">
            <v>9.879999999999999</v>
          </cell>
          <cell r="AG140">
            <v>335.54</v>
          </cell>
          <cell r="AH140" t="str">
            <v>NTD</v>
          </cell>
          <cell r="AI140">
            <v>1</v>
          </cell>
          <cell r="AJ140">
            <v>6005</v>
          </cell>
          <cell r="AK140">
            <v>15.87</v>
          </cell>
          <cell r="AL140">
            <v>15.83</v>
          </cell>
          <cell r="AM140">
            <v>3.9999999999999147E-2</v>
          </cell>
          <cell r="AN140">
            <v>2.5268477574225123E-3</v>
          </cell>
          <cell r="AO140">
            <v>368.27406000000082</v>
          </cell>
          <cell r="AP140">
            <v>4.9399999999999991E-3</v>
          </cell>
          <cell r="AQ140">
            <v>368.27900000000079</v>
          </cell>
          <cell r="AR140">
            <v>-14.464897383955668</v>
          </cell>
          <cell r="AS140">
            <v>1.922018867924534</v>
          </cell>
          <cell r="AT140">
            <v>-12.542878516031134</v>
          </cell>
          <cell r="AU140">
            <v>380.76989738395645</v>
          </cell>
          <cell r="AV140">
            <v>5.1981132075471233E-2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</row>
        <row r="141">
          <cell r="H141" t="str">
            <v>ETF</v>
          </cell>
          <cell r="I141" t="str">
            <v>00691R</v>
          </cell>
          <cell r="J141" t="str">
            <v>兆豐藍籌30反一</v>
          </cell>
          <cell r="K141">
            <v>13.36</v>
          </cell>
          <cell r="L141">
            <v>13.288505347593583</v>
          </cell>
          <cell r="M141">
            <v>7.1494652406416392E-2</v>
          </cell>
          <cell r="N141">
            <v>5.3801876536372362E-3</v>
          </cell>
          <cell r="O141">
            <v>-2082.3087879679142</v>
          </cell>
          <cell r="P141">
            <v>-2093.5120000000002</v>
          </cell>
          <cell r="Q141">
            <v>1567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1567</v>
          </cell>
          <cell r="AA141">
            <v>-1</v>
          </cell>
          <cell r="AB141">
            <v>1000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 t="str">
            <v>NTD</v>
          </cell>
          <cell r="AI141">
            <v>1</v>
          </cell>
          <cell r="AJ141">
            <v>1567</v>
          </cell>
          <cell r="AK141">
            <v>13.7</v>
          </cell>
          <cell r="AL141">
            <v>13.47</v>
          </cell>
          <cell r="AM141">
            <v>0.22999999999999865</v>
          </cell>
          <cell r="AN141">
            <v>1.7074981440237558E-2</v>
          </cell>
          <cell r="AO141">
            <v>-53.277999999999977</v>
          </cell>
          <cell r="AP141">
            <v>0</v>
          </cell>
          <cell r="AQ141">
            <v>-53.277999999999977</v>
          </cell>
          <cell r="AR141">
            <v>-24.837787967914341</v>
          </cell>
          <cell r="AS141">
            <v>0</v>
          </cell>
          <cell r="AT141">
            <v>-24.837787967914341</v>
          </cell>
          <cell r="AU141">
            <v>-28.44021203208564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</row>
        <row r="142">
          <cell r="G142" t="str">
            <v>FITX06</v>
          </cell>
          <cell r="H142" t="str">
            <v>期貨</v>
          </cell>
          <cell r="I142" t="str">
            <v>TXFF0</v>
          </cell>
          <cell r="J142" t="str">
            <v>台指期06</v>
          </cell>
          <cell r="K142">
            <v>11457</v>
          </cell>
          <cell r="L142">
            <v>11457</v>
          </cell>
          <cell r="M142" t="str">
            <v/>
          </cell>
          <cell r="N142" t="str">
            <v/>
          </cell>
          <cell r="O142">
            <v>-13748.4</v>
          </cell>
          <cell r="P142">
            <v>-13748.4</v>
          </cell>
          <cell r="Q142">
            <v>-60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2</v>
          </cell>
          <cell r="W142">
            <v>2</v>
          </cell>
          <cell r="X142">
            <v>11456.5</v>
          </cell>
          <cell r="Y142">
            <v>11446</v>
          </cell>
          <cell r="Z142">
            <v>-60</v>
          </cell>
          <cell r="AA142">
            <v>1</v>
          </cell>
          <cell r="AB142">
            <v>200</v>
          </cell>
          <cell r="AC142">
            <v>11456.5</v>
          </cell>
          <cell r="AD142">
            <v>11446</v>
          </cell>
          <cell r="AE142">
            <v>458.26</v>
          </cell>
          <cell r="AF142">
            <v>457.84</v>
          </cell>
          <cell r="AG142">
            <v>0.42000000000001592</v>
          </cell>
          <cell r="AH142" t="str">
            <v>NTD</v>
          </cell>
          <cell r="AI142">
            <v>1</v>
          </cell>
          <cell r="AJ142">
            <v>-60</v>
          </cell>
          <cell r="AK142">
            <v>11283</v>
          </cell>
          <cell r="AL142">
            <v>11283</v>
          </cell>
          <cell r="AM142" t="str">
            <v/>
          </cell>
          <cell r="AN142" t="str">
            <v/>
          </cell>
          <cell r="AO142">
            <v>-209.22</v>
          </cell>
          <cell r="AP142">
            <v>0</v>
          </cell>
          <cell r="AQ142">
            <v>-209.22</v>
          </cell>
          <cell r="AR142">
            <v>0</v>
          </cell>
          <cell r="AS142">
            <v>0</v>
          </cell>
          <cell r="AT142">
            <v>0</v>
          </cell>
          <cell r="AU142">
            <v>-208.8</v>
          </cell>
          <cell r="AV142">
            <v>-0.42</v>
          </cell>
          <cell r="AW142">
            <v>27.331920000000281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</row>
        <row r="143">
          <cell r="G143" t="str">
            <v>FITE06</v>
          </cell>
          <cell r="H143" t="str">
            <v>期貨</v>
          </cell>
          <cell r="I143" t="str">
            <v>EXFF0</v>
          </cell>
          <cell r="J143" t="str">
            <v>電子期06</v>
          </cell>
          <cell r="K143">
            <v>507.4</v>
          </cell>
          <cell r="L143">
            <v>507.4</v>
          </cell>
          <cell r="M143" t="str">
            <v/>
          </cell>
          <cell r="N143" t="str">
            <v/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1</v>
          </cell>
          <cell r="AB143">
            <v>4000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 t="str">
            <v>NTD</v>
          </cell>
          <cell r="AI143">
            <v>1</v>
          </cell>
          <cell r="AJ143">
            <v>0</v>
          </cell>
          <cell r="AK143">
            <v>497.1</v>
          </cell>
          <cell r="AL143">
            <v>497.1</v>
          </cell>
          <cell r="AM143" t="str">
            <v/>
          </cell>
          <cell r="AN143" t="str">
            <v/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</row>
        <row r="144">
          <cell r="G144" t="str">
            <v>FICDF*1</v>
          </cell>
          <cell r="H144" t="str">
            <v>期貨</v>
          </cell>
          <cell r="I144" t="str">
            <v>CDFF0</v>
          </cell>
          <cell r="J144" t="str">
            <v>台積電期06</v>
          </cell>
          <cell r="K144">
            <v>312</v>
          </cell>
          <cell r="L144">
            <v>312</v>
          </cell>
          <cell r="M144" t="str">
            <v/>
          </cell>
          <cell r="N144" t="str">
            <v/>
          </cell>
          <cell r="O144">
            <v>-3931.2</v>
          </cell>
          <cell r="P144">
            <v>-3931.2</v>
          </cell>
          <cell r="Q144">
            <v>-63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-63</v>
          </cell>
          <cell r="AA144">
            <v>1</v>
          </cell>
          <cell r="AB144">
            <v>2000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 t="str">
            <v>NTD</v>
          </cell>
          <cell r="AI144">
            <v>1</v>
          </cell>
          <cell r="AJ144">
            <v>-63</v>
          </cell>
          <cell r="AK144">
            <v>300.5</v>
          </cell>
          <cell r="AL144">
            <v>300.5</v>
          </cell>
          <cell r="AM144" t="str">
            <v/>
          </cell>
          <cell r="AN144" t="str">
            <v/>
          </cell>
          <cell r="AO144">
            <v>-144.9</v>
          </cell>
          <cell r="AP144">
            <v>0</v>
          </cell>
          <cell r="AQ144">
            <v>-144.9</v>
          </cell>
          <cell r="AR144">
            <v>0</v>
          </cell>
          <cell r="AS144">
            <v>0</v>
          </cell>
          <cell r="AT144">
            <v>0</v>
          </cell>
          <cell r="AU144">
            <v>-144.9</v>
          </cell>
          <cell r="AV144">
            <v>0</v>
          </cell>
          <cell r="AW144">
            <v>18.967410000000196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</row>
        <row r="145">
          <cell r="G145" t="str">
            <v>台股GAR小計</v>
          </cell>
          <cell r="H145"/>
          <cell r="I145"/>
          <cell r="J145"/>
          <cell r="K145"/>
          <cell r="L145"/>
          <cell r="M145"/>
          <cell r="N145"/>
          <cell r="O145">
            <v>350.6212214313191</v>
          </cell>
          <cell r="P145">
            <v>358.8560000000025</v>
          </cell>
          <cell r="Q145"/>
          <cell r="R145"/>
          <cell r="S145"/>
          <cell r="T145"/>
          <cell r="U145"/>
          <cell r="V145"/>
          <cell r="W145"/>
          <cell r="X145"/>
          <cell r="Y145"/>
          <cell r="Z145"/>
          <cell r="AA145"/>
          <cell r="AB145"/>
          <cell r="AC145"/>
          <cell r="AD145"/>
          <cell r="AE145"/>
          <cell r="AF145"/>
          <cell r="AG145"/>
          <cell r="AH145"/>
          <cell r="AI145"/>
          <cell r="AJ145"/>
          <cell r="AK145"/>
          <cell r="AL145"/>
          <cell r="AM145"/>
          <cell r="AN145"/>
          <cell r="AO145">
            <v>-39.123939999999152</v>
          </cell>
          <cell r="AP145">
            <v>4.9399999999999991E-3</v>
          </cell>
          <cell r="AQ145">
            <v>-39.118999999999176</v>
          </cell>
          <cell r="AR145">
            <v>-39.302685351870011</v>
          </cell>
          <cell r="AS145">
            <v>1.922018867924534</v>
          </cell>
          <cell r="AT145">
            <v>-37.380666483945475</v>
          </cell>
          <cell r="AU145">
            <v>-1.3703146481292094</v>
          </cell>
          <cell r="AV145">
            <v>-0.36801886792452876</v>
          </cell>
          <cell r="AW145">
            <v>46.299330000000481</v>
          </cell>
        </row>
        <row r="146">
          <cell r="G146"/>
          <cell r="H146"/>
          <cell r="I146"/>
          <cell r="J146"/>
          <cell r="K146"/>
          <cell r="L146"/>
          <cell r="M146"/>
          <cell r="N146"/>
          <cell r="O146">
            <v>350.6212214313191</v>
          </cell>
          <cell r="P146">
            <v>358.8560000000025</v>
          </cell>
          <cell r="Q146"/>
          <cell r="R146"/>
          <cell r="S146"/>
          <cell r="T146"/>
          <cell r="U146"/>
          <cell r="V146"/>
          <cell r="W146"/>
          <cell r="X146"/>
          <cell r="Y146"/>
          <cell r="Z146"/>
          <cell r="AA146"/>
          <cell r="AB146"/>
          <cell r="AC146"/>
          <cell r="AD146"/>
          <cell r="AE146"/>
          <cell r="AF146"/>
          <cell r="AG146"/>
          <cell r="AH146"/>
          <cell r="AI146"/>
          <cell r="AJ146"/>
          <cell r="AK146"/>
          <cell r="AL146"/>
          <cell r="AM146"/>
          <cell r="AN146"/>
          <cell r="AO146">
            <v>-39.123939999999152</v>
          </cell>
          <cell r="AP146">
            <v>4.9399999999999991E-3</v>
          </cell>
          <cell r="AQ146">
            <v>-39.118999999999176</v>
          </cell>
          <cell r="AR146">
            <v>-39.302685351870011</v>
          </cell>
          <cell r="AS146">
            <v>1.922018867924534</v>
          </cell>
          <cell r="AT146">
            <v>-37.380666483945475</v>
          </cell>
          <cell r="AU146">
            <v>-1.3703146481292094</v>
          </cell>
          <cell r="AV146">
            <v>-0.36801886792452876</v>
          </cell>
          <cell r="AW146">
            <v>46.299330000000481</v>
          </cell>
          <cell r="AX146"/>
          <cell r="AY146"/>
          <cell r="AZ146"/>
          <cell r="BA146"/>
        </row>
        <row r="148">
          <cell r="H148" t="str">
            <v>ETF</v>
          </cell>
          <cell r="I148" t="str">
            <v>00631L</v>
          </cell>
          <cell r="J148" t="str">
            <v>元大台灣50正2</v>
          </cell>
          <cell r="K148">
            <v>49.05</v>
          </cell>
          <cell r="L148">
            <v>48.983719807639957</v>
          </cell>
          <cell r="M148">
            <v>6.6280192360039791E-2</v>
          </cell>
          <cell r="N148">
            <v>1.3531065550007604E-3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2</v>
          </cell>
          <cell r="AB148">
            <v>1000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 t="str">
            <v>NTD</v>
          </cell>
          <cell r="AI148">
            <v>1</v>
          </cell>
          <cell r="AJ148">
            <v>0</v>
          </cell>
          <cell r="AK148">
            <v>47.51</v>
          </cell>
          <cell r="AL148">
            <v>47.52</v>
          </cell>
          <cell r="AM148">
            <v>-1.0000000000005116E-2</v>
          </cell>
          <cell r="AN148">
            <v>-2.1043771043782744E-4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</row>
        <row r="149">
          <cell r="H149" t="str">
            <v>ETF</v>
          </cell>
          <cell r="I149" t="str">
            <v>00632R</v>
          </cell>
          <cell r="J149" t="str">
            <v>元大台灣50反1</v>
          </cell>
          <cell r="K149">
            <v>9.6999999999999993</v>
          </cell>
          <cell r="L149">
            <v>9.7179341507911694</v>
          </cell>
          <cell r="M149">
            <v>-1.7934150791170111E-2</v>
          </cell>
          <cell r="N149">
            <v>-1.8454694704542751E-3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-1</v>
          </cell>
          <cell r="AB149">
            <v>1000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 t="str">
            <v>NTD</v>
          </cell>
          <cell r="AI149">
            <v>1</v>
          </cell>
          <cell r="AJ149">
            <v>0</v>
          </cell>
          <cell r="AK149">
            <v>9.86</v>
          </cell>
          <cell r="AL149">
            <v>9.8699999999999992</v>
          </cell>
          <cell r="AM149">
            <v>-9.9999999999997868E-3</v>
          </cell>
          <cell r="AN149">
            <v>-1.0131712259371373E-3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</row>
        <row r="150">
          <cell r="G150" t="str">
            <v>FITX06</v>
          </cell>
          <cell r="H150" t="str">
            <v>期貨</v>
          </cell>
          <cell r="I150" t="str">
            <v>TXFF0</v>
          </cell>
          <cell r="J150" t="str">
            <v>台指期06</v>
          </cell>
          <cell r="K150">
            <v>11457</v>
          </cell>
          <cell r="L150">
            <v>11457</v>
          </cell>
          <cell r="M150" t="str">
            <v/>
          </cell>
          <cell r="N150" t="str">
            <v/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1</v>
          </cell>
          <cell r="AB150">
            <v>200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 t="str">
            <v>NTD</v>
          </cell>
          <cell r="AI150">
            <v>1</v>
          </cell>
          <cell r="AJ150">
            <v>0</v>
          </cell>
          <cell r="AK150">
            <v>11283</v>
          </cell>
          <cell r="AL150">
            <v>11283</v>
          </cell>
          <cell r="AM150" t="str">
            <v/>
          </cell>
          <cell r="AN150" t="str">
            <v/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</row>
        <row r="151">
          <cell r="G151" t="str">
            <v>台股LHC小計</v>
          </cell>
          <cell r="H151"/>
          <cell r="I151"/>
          <cell r="J151"/>
          <cell r="K151"/>
          <cell r="L151"/>
          <cell r="M151"/>
          <cell r="N151"/>
          <cell r="O151">
            <v>0</v>
          </cell>
          <cell r="P151">
            <v>0</v>
          </cell>
          <cell r="Q151"/>
          <cell r="R151"/>
          <cell r="S151"/>
          <cell r="T151"/>
          <cell r="U151"/>
          <cell r="V151"/>
          <cell r="W151"/>
          <cell r="X151"/>
          <cell r="Y151"/>
          <cell r="Z151"/>
          <cell r="AA151"/>
          <cell r="AB151"/>
          <cell r="AC151"/>
          <cell r="AD151"/>
          <cell r="AE151"/>
          <cell r="AF151"/>
          <cell r="AG151"/>
          <cell r="AH151"/>
          <cell r="AI151"/>
          <cell r="AJ151"/>
          <cell r="AK151"/>
          <cell r="AL151"/>
          <cell r="AM151"/>
          <cell r="AN151"/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</row>
        <row r="153">
          <cell r="H153" t="str">
            <v>ETF</v>
          </cell>
          <cell r="I153" t="str">
            <v>0051</v>
          </cell>
          <cell r="J153" t="str">
            <v>元大中型100</v>
          </cell>
          <cell r="K153">
            <v>35.89</v>
          </cell>
          <cell r="L153">
            <v>35.898315279999998</v>
          </cell>
          <cell r="M153">
            <v>-8.3152799999979266E-3</v>
          </cell>
          <cell r="N153">
            <v>-2.3163426849259761E-4</v>
          </cell>
          <cell r="O153">
            <v>1486.1902525919998</v>
          </cell>
          <cell r="P153">
            <v>1485.8460000000002</v>
          </cell>
          <cell r="Q153">
            <v>411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3</v>
          </cell>
          <cell r="W153">
            <v>0</v>
          </cell>
          <cell r="X153">
            <v>35.866666666666667</v>
          </cell>
          <cell r="Y153">
            <v>0</v>
          </cell>
          <cell r="Z153">
            <v>414</v>
          </cell>
          <cell r="AA153">
            <v>1</v>
          </cell>
          <cell r="AB153">
            <v>1000</v>
          </cell>
          <cell r="AC153">
            <v>35.866666666666667</v>
          </cell>
          <cell r="AD153">
            <v>0</v>
          </cell>
          <cell r="AE153">
            <v>10.76</v>
          </cell>
          <cell r="AF153">
            <v>0</v>
          </cell>
          <cell r="AG153">
            <v>10.76</v>
          </cell>
          <cell r="AH153" t="str">
            <v>NTD</v>
          </cell>
          <cell r="AI153">
            <v>1</v>
          </cell>
          <cell r="AJ153">
            <v>411</v>
          </cell>
          <cell r="AK153">
            <v>35.56</v>
          </cell>
          <cell r="AL153">
            <v>35.5</v>
          </cell>
          <cell r="AM153">
            <v>6.0000000000002274E-2</v>
          </cell>
          <cell r="AN153">
            <v>1.6901408450704647E-3</v>
          </cell>
          <cell r="AO153">
            <v>13.569999999999931</v>
          </cell>
          <cell r="AP153">
            <v>0</v>
          </cell>
          <cell r="AQ153">
            <v>13.569999999999931</v>
          </cell>
          <cell r="AR153">
            <v>-2.8077580080000084</v>
          </cell>
          <cell r="AS153">
            <v>7.0000000000000288E-3</v>
          </cell>
          <cell r="AT153">
            <v>-2.8007580080000083</v>
          </cell>
          <cell r="AU153">
            <v>16.370758007999939</v>
          </cell>
          <cell r="AV153">
            <v>0</v>
          </cell>
          <cell r="AW153">
            <v>0</v>
          </cell>
          <cell r="AX153">
            <v>0</v>
          </cell>
          <cell r="AY153">
            <v>0</v>
          </cell>
          <cell r="AZ153">
            <v>0</v>
          </cell>
          <cell r="BA153">
            <v>0</v>
          </cell>
        </row>
        <row r="154">
          <cell r="H154" t="str">
            <v>ETF</v>
          </cell>
          <cell r="I154" t="str">
            <v>0052</v>
          </cell>
          <cell r="J154" t="str">
            <v>富邦科技</v>
          </cell>
          <cell r="K154">
            <v>67.400000000000006</v>
          </cell>
          <cell r="L154">
            <v>67.415901004590168</v>
          </cell>
          <cell r="M154">
            <v>-1.5901004590162415E-2</v>
          </cell>
          <cell r="N154">
            <v>-2.3586430431421501E-4</v>
          </cell>
          <cell r="O154">
            <v>1462.9250517996068</v>
          </cell>
          <cell r="P154">
            <v>1462.5800000000002</v>
          </cell>
          <cell r="Q154">
            <v>216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51</v>
          </cell>
          <cell r="W154">
            <v>50</v>
          </cell>
          <cell r="X154">
            <v>67.341176470588223</v>
          </cell>
          <cell r="Y154">
            <v>67.349999999999994</v>
          </cell>
          <cell r="Z154">
            <v>217</v>
          </cell>
          <cell r="AA154">
            <v>1</v>
          </cell>
          <cell r="AB154">
            <v>1000</v>
          </cell>
          <cell r="AC154">
            <v>67.341176470588223</v>
          </cell>
          <cell r="AD154">
            <v>67.349999999999994</v>
          </cell>
          <cell r="AE154">
            <v>343.43999999999988</v>
          </cell>
          <cell r="AF154">
            <v>336.74999999999994</v>
          </cell>
          <cell r="AG154">
            <v>6.6899999999999409</v>
          </cell>
          <cell r="AH154" t="str">
            <v>NTD</v>
          </cell>
          <cell r="AI154">
            <v>1</v>
          </cell>
          <cell r="AJ154">
            <v>216</v>
          </cell>
          <cell r="AK154">
            <v>65.45</v>
          </cell>
          <cell r="AL154">
            <v>65.58</v>
          </cell>
          <cell r="AM154">
            <v>-0.12999999999999545</v>
          </cell>
          <cell r="AN154">
            <v>-1.982311680390314E-3</v>
          </cell>
          <cell r="AO154">
            <v>41.833250000000092</v>
          </cell>
          <cell r="AP154">
            <v>0.33674999999999994</v>
          </cell>
          <cell r="AQ154">
            <v>42.170000000000094</v>
          </cell>
          <cell r="AR154">
            <v>2.4645383008523933</v>
          </cell>
          <cell r="AS154">
            <v>5.882352941178226E-3</v>
          </cell>
          <cell r="AT154">
            <v>2.4704206537935716</v>
          </cell>
          <cell r="AU154">
            <v>39.655461699147665</v>
          </cell>
          <cell r="AV154">
            <v>4.4117647058854459E-2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</row>
        <row r="155">
          <cell r="H155" t="str">
            <v>ETF</v>
          </cell>
          <cell r="I155" t="str">
            <v>0053</v>
          </cell>
          <cell r="J155" t="str">
            <v>元大電子</v>
          </cell>
          <cell r="K155">
            <v>40.75</v>
          </cell>
          <cell r="L155">
            <v>40.903593659999999</v>
          </cell>
          <cell r="M155">
            <v>-0.15359365999999852</v>
          </cell>
          <cell r="N155">
            <v>-3.7550162774622198E-3</v>
          </cell>
          <cell r="O155">
            <v>2515.5710100899996</v>
          </cell>
          <cell r="P155">
            <v>2506.125</v>
          </cell>
          <cell r="Q155">
            <v>578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40</v>
          </cell>
          <cell r="W155">
            <v>3</v>
          </cell>
          <cell r="X155">
            <v>40.435499999999998</v>
          </cell>
          <cell r="Y155">
            <v>40.44</v>
          </cell>
          <cell r="Z155">
            <v>615</v>
          </cell>
          <cell r="AA155">
            <v>1</v>
          </cell>
          <cell r="AB155">
            <v>1000</v>
          </cell>
          <cell r="AC155">
            <v>40.435499999999998</v>
          </cell>
          <cell r="AD155">
            <v>40.44</v>
          </cell>
          <cell r="AE155">
            <v>161.74199999999999</v>
          </cell>
          <cell r="AF155">
            <v>12.132</v>
          </cell>
          <cell r="AG155">
            <v>149.60999999999999</v>
          </cell>
          <cell r="AH155" t="str">
            <v>NTD</v>
          </cell>
          <cell r="AI155">
            <v>1</v>
          </cell>
          <cell r="AJ155">
            <v>578</v>
          </cell>
          <cell r="AK155">
            <v>39.96</v>
          </cell>
          <cell r="AL155">
            <v>40.15</v>
          </cell>
          <cell r="AM155">
            <v>-0.18999999999999773</v>
          </cell>
          <cell r="AN155">
            <v>-4.7322540473224706E-3</v>
          </cell>
          <cell r="AO155">
            <v>46.814867999999969</v>
          </cell>
          <cell r="AP155">
            <v>1.2132E-2</v>
          </cell>
          <cell r="AQ155">
            <v>46.82699999999997</v>
          </cell>
          <cell r="AR155">
            <v>2.104286451999954</v>
          </cell>
          <cell r="AS155">
            <v>1.1636500000000092</v>
          </cell>
          <cell r="AT155">
            <v>3.2679364519999634</v>
          </cell>
          <cell r="AU155">
            <v>43.557713548000002</v>
          </cell>
          <cell r="AV155">
            <v>1.3500000000000456E-3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</row>
        <row r="156">
          <cell r="H156" t="str">
            <v>ETF</v>
          </cell>
          <cell r="I156" t="str">
            <v>0054</v>
          </cell>
          <cell r="J156" t="str">
            <v>元大台商50</v>
          </cell>
          <cell r="K156">
            <v>24</v>
          </cell>
          <cell r="L156">
            <v>24.092466900000002</v>
          </cell>
          <cell r="M156">
            <v>-9.2466900000001573E-2</v>
          </cell>
          <cell r="N156">
            <v>-3.8380004996499961E-3</v>
          </cell>
          <cell r="O156">
            <v>549.30824532000008</v>
          </cell>
          <cell r="P156">
            <v>547.20000000000005</v>
          </cell>
          <cell r="Q156">
            <v>228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7</v>
          </cell>
          <cell r="W156">
            <v>7</v>
          </cell>
          <cell r="X156">
            <v>24.035714285714285</v>
          </cell>
          <cell r="Y156">
            <v>23.96857142857143</v>
          </cell>
          <cell r="Z156">
            <v>228</v>
          </cell>
          <cell r="AA156">
            <v>1</v>
          </cell>
          <cell r="AB156">
            <v>1000</v>
          </cell>
          <cell r="AC156">
            <v>24.035714285714285</v>
          </cell>
          <cell r="AD156">
            <v>23.96857142857143</v>
          </cell>
          <cell r="AE156">
            <v>16.824999999999999</v>
          </cell>
          <cell r="AF156">
            <v>16.777999999999999</v>
          </cell>
          <cell r="AG156">
            <v>4.7000000000000597E-2</v>
          </cell>
          <cell r="AH156" t="str">
            <v>NTD</v>
          </cell>
          <cell r="AI156">
            <v>1</v>
          </cell>
          <cell r="AJ156">
            <v>228</v>
          </cell>
          <cell r="AK156">
            <v>23.9</v>
          </cell>
          <cell r="AL156">
            <v>24</v>
          </cell>
          <cell r="AM156">
            <v>-0.10000000000000142</v>
          </cell>
          <cell r="AN156">
            <v>-4.1666666666667629E-3</v>
          </cell>
          <cell r="AO156">
            <v>2.2162220000000343</v>
          </cell>
          <cell r="AP156">
            <v>1.6778000000000001E-2</v>
          </cell>
          <cell r="AQ156">
            <v>2.2330000000000343</v>
          </cell>
          <cell r="AR156">
            <v>0.17175467999999655</v>
          </cell>
          <cell r="AS156">
            <v>0</v>
          </cell>
          <cell r="AT156">
            <v>0.17175467999999655</v>
          </cell>
          <cell r="AU156">
            <v>2.1082453200000359</v>
          </cell>
          <cell r="AV156">
            <v>-4.6999999999998467E-2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</row>
        <row r="157">
          <cell r="H157" t="str">
            <v>ETF</v>
          </cell>
          <cell r="I157" t="str">
            <v>0055</v>
          </cell>
          <cell r="J157" t="str">
            <v>元大MSCI金融</v>
          </cell>
          <cell r="K157">
            <v>17.88</v>
          </cell>
          <cell r="L157">
            <v>17.8795906</v>
          </cell>
          <cell r="M157">
            <v>4.0939999999878296E-4</v>
          </cell>
          <cell r="N157">
            <v>2.2897616011263722E-5</v>
          </cell>
          <cell r="O157">
            <v>403.22946700650004</v>
          </cell>
          <cell r="P157">
            <v>403.23869999999994</v>
          </cell>
          <cell r="Q157">
            <v>228.52500000000001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3</v>
          </cell>
          <cell r="W157">
            <v>6</v>
          </cell>
          <cell r="X157">
            <v>17.88</v>
          </cell>
          <cell r="Y157">
            <v>17.850000000000001</v>
          </cell>
          <cell r="Z157">
            <v>225.52500000000001</v>
          </cell>
          <cell r="AA157">
            <v>1</v>
          </cell>
          <cell r="AB157">
            <v>1000</v>
          </cell>
          <cell r="AC157">
            <v>17.88</v>
          </cell>
          <cell r="AD157">
            <v>17.850000000000001</v>
          </cell>
          <cell r="AE157">
            <v>5.3639999999999999</v>
          </cell>
          <cell r="AF157">
            <v>10.71</v>
          </cell>
          <cell r="AG157">
            <v>-5.346000000000001</v>
          </cell>
          <cell r="AH157" t="str">
            <v>NTD</v>
          </cell>
          <cell r="AI157">
            <v>1</v>
          </cell>
          <cell r="AJ157">
            <v>228.52500000000001</v>
          </cell>
          <cell r="AK157">
            <v>17.809999999999999</v>
          </cell>
          <cell r="AL157">
            <v>17.829999999999998</v>
          </cell>
          <cell r="AM157">
            <v>-1.9999999999999574E-2</v>
          </cell>
          <cell r="AN157">
            <v>-1.1217049915871469E-3</v>
          </cell>
          <cell r="AO157">
            <v>1.5709650000000082</v>
          </cell>
          <cell r="AP157">
            <v>1.0710000000000003E-2</v>
          </cell>
          <cell r="AQ157">
            <v>1.5816750000000082</v>
          </cell>
          <cell r="AR157">
            <v>0.46640581349996246</v>
          </cell>
          <cell r="AS157">
            <v>-8.9999999999992759E-3</v>
          </cell>
          <cell r="AT157">
            <v>0.45740581349996318</v>
          </cell>
          <cell r="AU157">
            <v>1.1332691865000442</v>
          </cell>
          <cell r="AV157">
            <v>-8.9999999999992759E-3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</row>
        <row r="158">
          <cell r="H158" t="str">
            <v>ETF</v>
          </cell>
          <cell r="I158" t="str">
            <v>0056</v>
          </cell>
          <cell r="J158" t="str">
            <v>元大高股息</v>
          </cell>
          <cell r="K158">
            <v>28.8</v>
          </cell>
          <cell r="L158">
            <v>28.919037899999999</v>
          </cell>
          <cell r="M158">
            <v>-0.11903789999999859</v>
          </cell>
          <cell r="N158">
            <v>-4.1162468963048537E-3</v>
          </cell>
          <cell r="O158">
            <v>18.508184256000003</v>
          </cell>
          <cell r="P158">
            <v>18.432000000000002</v>
          </cell>
          <cell r="Q158">
            <v>6.4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6.4</v>
          </cell>
          <cell r="AA158">
            <v>1</v>
          </cell>
          <cell r="AB158">
            <v>1000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 t="str">
            <v>NTD</v>
          </cell>
          <cell r="AI158">
            <v>1</v>
          </cell>
          <cell r="AJ158">
            <v>6.4</v>
          </cell>
          <cell r="AK158">
            <v>28.48</v>
          </cell>
          <cell r="AL158">
            <v>28.61</v>
          </cell>
          <cell r="AM158">
            <v>-0.12999999999999901</v>
          </cell>
          <cell r="AN158">
            <v>-4.5438657811953664E-3</v>
          </cell>
          <cell r="AO158">
            <v>0.20480000000000018</v>
          </cell>
          <cell r="AP158">
            <v>0</v>
          </cell>
          <cell r="AQ158">
            <v>0.20480000000000018</v>
          </cell>
          <cell r="AR158">
            <v>7.015744000000268E-3</v>
          </cell>
          <cell r="AS158">
            <v>0</v>
          </cell>
          <cell r="AT158">
            <v>7.015744000000268E-3</v>
          </cell>
          <cell r="AU158">
            <v>0.19778425599999991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</row>
        <row r="159">
          <cell r="H159" t="str">
            <v>ETF</v>
          </cell>
          <cell r="I159" t="str">
            <v>0057</v>
          </cell>
          <cell r="J159" t="str">
            <v>富邦摩台</v>
          </cell>
          <cell r="K159">
            <v>58.2</v>
          </cell>
          <cell r="L159">
            <v>58.34967116968371</v>
          </cell>
          <cell r="M159">
            <v>-0.14967116968370675</v>
          </cell>
          <cell r="N159">
            <v>-2.5650730618250739E-3</v>
          </cell>
          <cell r="O159">
            <v>5665.7530705762874</v>
          </cell>
          <cell r="P159">
            <v>5651.2200000000012</v>
          </cell>
          <cell r="Q159">
            <v>969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2</v>
          </cell>
          <cell r="W159">
            <v>0</v>
          </cell>
          <cell r="X159">
            <v>58</v>
          </cell>
          <cell r="Y159">
            <v>0</v>
          </cell>
          <cell r="Z159">
            <v>971</v>
          </cell>
          <cell r="AA159">
            <v>1</v>
          </cell>
          <cell r="AB159">
            <v>1000</v>
          </cell>
          <cell r="AC159">
            <v>58</v>
          </cell>
          <cell r="AD159">
            <v>0</v>
          </cell>
          <cell r="AE159">
            <v>11.6</v>
          </cell>
          <cell r="AF159">
            <v>0</v>
          </cell>
          <cell r="AG159">
            <v>11.6</v>
          </cell>
          <cell r="AH159" t="str">
            <v>NTD</v>
          </cell>
          <cell r="AI159">
            <v>1</v>
          </cell>
          <cell r="AJ159">
            <v>969</v>
          </cell>
          <cell r="AK159">
            <v>57.2</v>
          </cell>
          <cell r="AL159">
            <v>57.41</v>
          </cell>
          <cell r="AM159">
            <v>-0.20999999999999375</v>
          </cell>
          <cell r="AN159">
            <v>-3.6578993206757282E-3</v>
          </cell>
          <cell r="AO159">
            <v>96.940000000000012</v>
          </cell>
          <cell r="AP159">
            <v>0</v>
          </cell>
          <cell r="AQ159">
            <v>96.940000000000012</v>
          </cell>
          <cell r="AR159">
            <v>5.8458636576482101</v>
          </cell>
          <cell r="AS159">
            <v>4.000000000000057E-2</v>
          </cell>
          <cell r="AT159">
            <v>5.8858636576482111</v>
          </cell>
          <cell r="AU159">
            <v>91.054136342351796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</row>
        <row r="160">
          <cell r="H160" t="str">
            <v>ETF</v>
          </cell>
          <cell r="I160" t="str">
            <v>006201</v>
          </cell>
          <cell r="J160" t="str">
            <v>元大富櫃50</v>
          </cell>
          <cell r="K160">
            <v>14.09</v>
          </cell>
          <cell r="L160">
            <v>14.214835711141543</v>
          </cell>
          <cell r="M160">
            <v>-0.12483571114154302</v>
          </cell>
          <cell r="N160">
            <v>-8.7820720322288048E-3</v>
          </cell>
          <cell r="O160">
            <v>672.35035726842614</v>
          </cell>
          <cell r="P160">
            <v>666.44572800000003</v>
          </cell>
          <cell r="Q160">
            <v>411.99200000000002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61</v>
          </cell>
          <cell r="W160">
            <v>0</v>
          </cell>
          <cell r="X160">
            <v>14.094918032786886</v>
          </cell>
          <cell r="Y160">
            <v>0</v>
          </cell>
          <cell r="Z160">
            <v>472.99200000000002</v>
          </cell>
          <cell r="AA160">
            <v>1</v>
          </cell>
          <cell r="AB160">
            <v>1000</v>
          </cell>
          <cell r="AC160">
            <v>14.094918032786886</v>
          </cell>
          <cell r="AD160">
            <v>0</v>
          </cell>
          <cell r="AE160">
            <v>85.979000000000013</v>
          </cell>
          <cell r="AF160">
            <v>0</v>
          </cell>
          <cell r="AG160">
            <v>85.979000000000013</v>
          </cell>
          <cell r="AH160" t="str">
            <v>NTD</v>
          </cell>
          <cell r="AI160">
            <v>1</v>
          </cell>
          <cell r="AJ160">
            <v>411.99200000000002</v>
          </cell>
          <cell r="AK160">
            <v>13.94</v>
          </cell>
          <cell r="AL160">
            <v>14.03</v>
          </cell>
          <cell r="AM160">
            <v>-8.9999999999999858E-2</v>
          </cell>
          <cell r="AN160">
            <v>-6.4148253741981298E-3</v>
          </cell>
          <cell r="AO160">
            <v>6.1498800000000102</v>
          </cell>
          <cell r="AP160">
            <v>0</v>
          </cell>
          <cell r="AQ160">
            <v>6.1498800000000102</v>
          </cell>
          <cell r="AR160">
            <v>-1.4352034304626651</v>
          </cell>
          <cell r="AS160">
            <v>-3.0000000000005047E-2</v>
          </cell>
          <cell r="AT160">
            <v>-1.4652034304626702</v>
          </cell>
          <cell r="AU160">
            <v>7.61508343046268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</row>
        <row r="161">
          <cell r="H161" t="str">
            <v>ETF</v>
          </cell>
          <cell r="I161" t="str">
            <v>006203</v>
          </cell>
          <cell r="J161" t="str">
            <v>元大MSCI台灣</v>
          </cell>
          <cell r="K161">
            <v>41.36</v>
          </cell>
          <cell r="L161">
            <v>41.394804399999998</v>
          </cell>
          <cell r="M161">
            <v>-3.4804399999998736E-2</v>
          </cell>
          <cell r="N161">
            <v>-8.407915076414918E-4</v>
          </cell>
          <cell r="O161">
            <v>2876.9389057999997</v>
          </cell>
          <cell r="P161">
            <v>2874.52</v>
          </cell>
          <cell r="Q161">
            <v>694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1</v>
          </cell>
          <cell r="W161">
            <v>0</v>
          </cell>
          <cell r="X161">
            <v>41.36</v>
          </cell>
          <cell r="Y161">
            <v>0</v>
          </cell>
          <cell r="Z161">
            <v>695</v>
          </cell>
          <cell r="AA161">
            <v>1</v>
          </cell>
          <cell r="AB161">
            <v>1000</v>
          </cell>
          <cell r="AC161">
            <v>41.36</v>
          </cell>
          <cell r="AD161">
            <v>0</v>
          </cell>
          <cell r="AE161">
            <v>4.1360000000000001</v>
          </cell>
          <cell r="AF161">
            <v>0</v>
          </cell>
          <cell r="AG161">
            <v>4.1360000000000001</v>
          </cell>
          <cell r="AH161" t="str">
            <v>NTD</v>
          </cell>
          <cell r="AI161">
            <v>1</v>
          </cell>
          <cell r="AJ161">
            <v>694</v>
          </cell>
          <cell r="AK161">
            <v>40.76</v>
          </cell>
          <cell r="AL161">
            <v>40.729999999999997</v>
          </cell>
          <cell r="AM161">
            <v>3.0000000000001137E-2</v>
          </cell>
          <cell r="AN161">
            <v>7.3655781978887447E-4</v>
          </cell>
          <cell r="AO161">
            <v>41.6400000000001</v>
          </cell>
          <cell r="AP161">
            <v>0</v>
          </cell>
          <cell r="AQ161">
            <v>41.6400000000001</v>
          </cell>
          <cell r="AR161">
            <v>-4.4974253599999905</v>
          </cell>
          <cell r="AS161">
            <v>0</v>
          </cell>
          <cell r="AT161">
            <v>-4.4974253599999905</v>
          </cell>
          <cell r="AU161">
            <v>46.137425360000087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</row>
        <row r="162">
          <cell r="H162" t="str">
            <v>ETF</v>
          </cell>
          <cell r="I162" t="str">
            <v>006204</v>
          </cell>
          <cell r="J162" t="str">
            <v>永豐臺灣加權</v>
          </cell>
          <cell r="K162">
            <v>57.2</v>
          </cell>
          <cell r="L162">
            <v>57.260004913333333</v>
          </cell>
          <cell r="M162">
            <v>-6.0004913333330023E-2</v>
          </cell>
          <cell r="N162">
            <v>-1.0479376211048885E-3</v>
          </cell>
          <cell r="O162">
            <v>658.49005650333322</v>
          </cell>
          <cell r="P162">
            <v>657.8</v>
          </cell>
          <cell r="Q162">
            <v>110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5</v>
          </cell>
          <cell r="W162">
            <v>0</v>
          </cell>
          <cell r="X162">
            <v>57.02</v>
          </cell>
          <cell r="Y162">
            <v>0</v>
          </cell>
          <cell r="Z162">
            <v>115</v>
          </cell>
          <cell r="AA162">
            <v>1</v>
          </cell>
          <cell r="AB162">
            <v>1000</v>
          </cell>
          <cell r="AC162">
            <v>57.02</v>
          </cell>
          <cell r="AD162">
            <v>0</v>
          </cell>
          <cell r="AE162">
            <v>28.51</v>
          </cell>
          <cell r="AF162">
            <v>0</v>
          </cell>
          <cell r="AG162">
            <v>28.51</v>
          </cell>
          <cell r="AH162" t="str">
            <v>NTD</v>
          </cell>
          <cell r="AI162">
            <v>1</v>
          </cell>
          <cell r="AJ162">
            <v>110</v>
          </cell>
          <cell r="AK162">
            <v>56.4</v>
          </cell>
          <cell r="AL162">
            <v>56.51</v>
          </cell>
          <cell r="AM162">
            <v>-0.10999999999999943</v>
          </cell>
          <cell r="AN162">
            <v>-1.9465581313041769E-3</v>
          </cell>
          <cell r="AO162">
            <v>8.8900000000000468</v>
          </cell>
          <cell r="AP162">
            <v>0</v>
          </cell>
          <cell r="AQ162">
            <v>8.8900000000000468</v>
          </cell>
          <cell r="AR162">
            <v>0.54994595333336349</v>
          </cell>
          <cell r="AS162">
            <v>8.9999999999999858E-2</v>
          </cell>
          <cell r="AT162">
            <v>0.63994595333336335</v>
          </cell>
          <cell r="AU162">
            <v>8.2500540466666834</v>
          </cell>
          <cell r="AV162">
            <v>0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</row>
        <row r="163">
          <cell r="H163" t="str">
            <v>ETF</v>
          </cell>
          <cell r="I163" t="str">
            <v>006208</v>
          </cell>
          <cell r="J163" t="str">
            <v>富邦台50</v>
          </cell>
          <cell r="K163">
            <v>50.35</v>
          </cell>
          <cell r="L163">
            <v>50.519648262602431</v>
          </cell>
          <cell r="M163">
            <v>-0.16964826260242916</v>
          </cell>
          <cell r="N163">
            <v>-3.358064999197774E-3</v>
          </cell>
          <cell r="O163">
            <v>1045.7567190358702</v>
          </cell>
          <cell r="P163">
            <v>1042.2449999999999</v>
          </cell>
          <cell r="Q163">
            <v>207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120</v>
          </cell>
          <cell r="W163">
            <v>120</v>
          </cell>
          <cell r="X163">
            <v>50.3</v>
          </cell>
          <cell r="Y163">
            <v>50.3</v>
          </cell>
          <cell r="Z163">
            <v>207</v>
          </cell>
          <cell r="AA163">
            <v>1</v>
          </cell>
          <cell r="AB163">
            <v>1000</v>
          </cell>
          <cell r="AC163">
            <v>50.3</v>
          </cell>
          <cell r="AD163">
            <v>50.3</v>
          </cell>
          <cell r="AE163">
            <v>603.6</v>
          </cell>
          <cell r="AF163">
            <v>603.6</v>
          </cell>
          <cell r="AG163">
            <v>0</v>
          </cell>
          <cell r="AH163" t="str">
            <v>NTD</v>
          </cell>
          <cell r="AI163">
            <v>1</v>
          </cell>
          <cell r="AJ163">
            <v>207</v>
          </cell>
          <cell r="AK163">
            <v>49.71</v>
          </cell>
          <cell r="AL163">
            <v>49.67</v>
          </cell>
          <cell r="AM163">
            <v>3.9999999999999147E-2</v>
          </cell>
          <cell r="AN163">
            <v>8.0531507952485981E-4</v>
          </cell>
          <cell r="AO163">
            <v>12.644400000000008</v>
          </cell>
          <cell r="AP163">
            <v>0.60360000000000003</v>
          </cell>
          <cell r="AQ163">
            <v>13.248000000000008</v>
          </cell>
          <cell r="AR163">
            <v>-4.3397190358702664</v>
          </cell>
          <cell r="AS163">
            <v>0</v>
          </cell>
          <cell r="AT163">
            <v>-4.3397190358702664</v>
          </cell>
          <cell r="AU163">
            <v>17.587719035870276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</row>
        <row r="164">
          <cell r="H164" t="str">
            <v>ETF</v>
          </cell>
          <cell r="I164" t="str">
            <v>00692</v>
          </cell>
          <cell r="J164" t="str">
            <v>富邦公司治理</v>
          </cell>
          <cell r="K164">
            <v>22.88</v>
          </cell>
          <cell r="L164">
            <v>22.978302039583188</v>
          </cell>
          <cell r="M164">
            <v>-9.8302039583188616E-2</v>
          </cell>
          <cell r="N164">
            <v>-4.2780375770955503E-3</v>
          </cell>
          <cell r="O164">
            <v>2003.7079378516539</v>
          </cell>
          <cell r="P164">
            <v>1995.136</v>
          </cell>
          <cell r="Q164">
            <v>902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280</v>
          </cell>
          <cell r="W164">
            <v>310</v>
          </cell>
          <cell r="X164">
            <v>22.86</v>
          </cell>
          <cell r="Y164">
            <v>22.863225806451613</v>
          </cell>
          <cell r="Z164">
            <v>872</v>
          </cell>
          <cell r="AA164">
            <v>1</v>
          </cell>
          <cell r="AB164">
            <v>1000</v>
          </cell>
          <cell r="AC164">
            <v>22.86</v>
          </cell>
          <cell r="AD164">
            <v>22.863225806451613</v>
          </cell>
          <cell r="AE164">
            <v>640.08000000000004</v>
          </cell>
          <cell r="AF164">
            <v>708.76</v>
          </cell>
          <cell r="AG164">
            <v>-68.67999999999995</v>
          </cell>
          <cell r="AH164" t="str">
            <v>NTD</v>
          </cell>
          <cell r="AI164">
            <v>1</v>
          </cell>
          <cell r="AJ164">
            <v>902</v>
          </cell>
          <cell r="AK164">
            <v>22.55</v>
          </cell>
          <cell r="AL164">
            <v>22.61</v>
          </cell>
          <cell r="AM164">
            <v>-5.9999999999998721E-2</v>
          </cell>
          <cell r="AN164">
            <v>-2.6536930561698036E-3</v>
          </cell>
          <cell r="AO164">
            <v>29.097239999999868</v>
          </cell>
          <cell r="AP164">
            <v>0.70876000000000006</v>
          </cell>
          <cell r="AQ164">
            <v>29.805999999999869</v>
          </cell>
          <cell r="AR164">
            <v>-3.4548439704037288</v>
          </cell>
          <cell r="AS164">
            <v>-5.0322580645158155E-2</v>
          </cell>
          <cell r="AT164">
            <v>-3.505166551048887</v>
          </cell>
          <cell r="AU164">
            <v>33.220843970403578</v>
          </cell>
          <cell r="AV164">
            <v>9.0322580645178618E-2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</row>
        <row r="165">
          <cell r="H165" t="str">
            <v>ETF</v>
          </cell>
          <cell r="I165" t="str">
            <v>00728</v>
          </cell>
          <cell r="J165" t="str">
            <v>第一金工業30</v>
          </cell>
          <cell r="K165">
            <v>19.86</v>
          </cell>
          <cell r="L165">
            <v>19.961384692647648</v>
          </cell>
          <cell r="M165">
            <v>-0.10138469264764893</v>
          </cell>
          <cell r="N165">
            <v>-5.0790410689791621E-3</v>
          </cell>
          <cell r="O165">
            <v>483.06550956207309</v>
          </cell>
          <cell r="P165">
            <v>480.61200000000002</v>
          </cell>
          <cell r="Q165">
            <v>241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101</v>
          </cell>
          <cell r="W165">
            <v>100</v>
          </cell>
          <cell r="X165">
            <v>19.820297029702971</v>
          </cell>
          <cell r="Y165">
            <v>19.82</v>
          </cell>
          <cell r="Z165">
            <v>242</v>
          </cell>
          <cell r="AA165">
            <v>1</v>
          </cell>
          <cell r="AB165">
            <v>1000</v>
          </cell>
          <cell r="AC165">
            <v>19.820297029702971</v>
          </cell>
          <cell r="AD165">
            <v>19.82</v>
          </cell>
          <cell r="AE165">
            <v>200.18500000000003</v>
          </cell>
          <cell r="AF165">
            <v>198.2</v>
          </cell>
          <cell r="AG165">
            <v>1.9850000000000421</v>
          </cell>
          <cell r="AH165" t="str">
            <v>NTD</v>
          </cell>
          <cell r="AI165">
            <v>1</v>
          </cell>
          <cell r="AJ165">
            <v>241</v>
          </cell>
          <cell r="AK165">
            <v>19.690000000000001</v>
          </cell>
          <cell r="AL165">
            <v>19.72</v>
          </cell>
          <cell r="AM165">
            <v>-2.9999999999997584E-2</v>
          </cell>
          <cell r="AN165">
            <v>-1.5212981744420206E-3</v>
          </cell>
          <cell r="AO165">
            <v>3.8997999999999529</v>
          </cell>
          <cell r="AP165">
            <v>0.19819999999999999</v>
          </cell>
          <cell r="AQ165">
            <v>4.0979999999999528</v>
          </cell>
          <cell r="AR165">
            <v>-1.7203710928083975</v>
          </cell>
          <cell r="AS165">
            <v>3.9702970297028628E-3</v>
          </cell>
          <cell r="AT165">
            <v>-1.7164007957786946</v>
          </cell>
          <cell r="AU165">
            <v>5.8173710928083526</v>
          </cell>
          <cell r="AV165">
            <v>-2.9702970297051934E-3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</row>
        <row r="166">
          <cell r="H166" t="str">
            <v>ETF</v>
          </cell>
          <cell r="I166" t="str">
            <v>00733</v>
          </cell>
          <cell r="J166" t="str">
            <v>富邦臺灣中小</v>
          </cell>
          <cell r="K166">
            <v>21.53</v>
          </cell>
          <cell r="L166">
            <v>21.623166456275158</v>
          </cell>
          <cell r="M166">
            <v>-9.3166456275156406E-2</v>
          </cell>
          <cell r="N166">
            <v>-4.3086407563642792E-3</v>
          </cell>
          <cell r="O166">
            <v>6.4869499368825476</v>
          </cell>
          <cell r="P166">
            <v>6.4589999999999996</v>
          </cell>
          <cell r="Q166">
            <v>3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3</v>
          </cell>
          <cell r="AA166">
            <v>1</v>
          </cell>
          <cell r="AB166">
            <v>1000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 t="str">
            <v>NTD</v>
          </cell>
          <cell r="AI166">
            <v>1</v>
          </cell>
          <cell r="AJ166">
            <v>3</v>
          </cell>
          <cell r="AK166">
            <v>21.38</v>
          </cell>
          <cell r="AL166">
            <v>21.57</v>
          </cell>
          <cell r="AM166">
            <v>-0.19000000000000128</v>
          </cell>
          <cell r="AN166">
            <v>-8.8085303662495118E-3</v>
          </cell>
          <cell r="AO166">
            <v>4.5000000000000644E-2</v>
          </cell>
          <cell r="AP166">
            <v>0</v>
          </cell>
          <cell r="AQ166">
            <v>4.5000000000000644E-2</v>
          </cell>
          <cell r="AR166">
            <v>2.9050063117453465E-2</v>
          </cell>
          <cell r="AS166">
            <v>0</v>
          </cell>
          <cell r="AT166">
            <v>2.9050063117453465E-2</v>
          </cell>
          <cell r="AU166">
            <v>1.5949936882547179E-2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</row>
        <row r="167">
          <cell r="H167" t="str">
            <v>ETF</v>
          </cell>
          <cell r="I167" t="str">
            <v>00850</v>
          </cell>
          <cell r="J167" t="str">
            <v>元大臺灣ESG永續</v>
          </cell>
          <cell r="K167">
            <v>22.15</v>
          </cell>
          <cell r="L167">
            <v>22.282524782612448</v>
          </cell>
          <cell r="M167">
            <v>-0.1325247826124496</v>
          </cell>
          <cell r="N167">
            <v>-5.9474760560285223E-3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1</v>
          </cell>
          <cell r="AB167">
            <v>1000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 t="str">
            <v>NTD</v>
          </cell>
          <cell r="AI167">
            <v>1</v>
          </cell>
          <cell r="AJ167">
            <v>0</v>
          </cell>
          <cell r="AK167">
            <v>21.85</v>
          </cell>
          <cell r="AL167">
            <v>21.97</v>
          </cell>
          <cell r="AM167">
            <v>-0.11999999999999744</v>
          </cell>
          <cell r="AN167">
            <v>-5.4619936276739667E-3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</row>
        <row r="168">
          <cell r="G168" t="str">
            <v>TW-M20</v>
          </cell>
          <cell r="H168" t="str">
            <v>期貨</v>
          </cell>
          <cell r="I168" t="str">
            <v>STWF0</v>
          </cell>
          <cell r="J168" t="str">
            <v>摩台期06</v>
          </cell>
          <cell r="K168">
            <v>433.75</v>
          </cell>
          <cell r="L168">
            <v>433.75</v>
          </cell>
          <cell r="M168" t="str">
            <v/>
          </cell>
          <cell r="N168" t="str">
            <v/>
          </cell>
          <cell r="O168">
            <v>-7231.1329999999998</v>
          </cell>
          <cell r="P168">
            <v>-7231.1329999999998</v>
          </cell>
          <cell r="Q168">
            <v>-56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-56</v>
          </cell>
          <cell r="AA168">
            <v>1</v>
          </cell>
          <cell r="AB168">
            <v>100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 t="str">
            <v>USD</v>
          </cell>
          <cell r="AI168">
            <v>29.77</v>
          </cell>
          <cell r="AJ168">
            <v>-56</v>
          </cell>
          <cell r="AK168">
            <v>425.9</v>
          </cell>
          <cell r="AL168">
            <v>425.9</v>
          </cell>
          <cell r="AM168" t="str">
            <v/>
          </cell>
          <cell r="AN168" t="str">
            <v/>
          </cell>
          <cell r="AO168">
            <v>-130.8689200000004</v>
          </cell>
          <cell r="AP168">
            <v>0</v>
          </cell>
          <cell r="AQ168">
            <v>-130.8689200000004</v>
          </cell>
          <cell r="AR168">
            <v>0</v>
          </cell>
          <cell r="AS168">
            <v>0</v>
          </cell>
          <cell r="AT168">
            <v>0</v>
          </cell>
          <cell r="AU168">
            <v>-130.8689200000004</v>
          </cell>
          <cell r="AV168">
            <v>0</v>
          </cell>
          <cell r="AW168">
            <v>0.57543640000000762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</row>
        <row r="169">
          <cell r="G169" t="str">
            <v>TW-M20</v>
          </cell>
          <cell r="H169" t="str">
            <v>期貨</v>
          </cell>
          <cell r="I169" t="str">
            <v>STWF0</v>
          </cell>
          <cell r="J169" t="str">
            <v>摩台期06</v>
          </cell>
          <cell r="K169">
            <v>433.75</v>
          </cell>
          <cell r="L169">
            <v>433.75</v>
          </cell>
          <cell r="M169" t="str">
            <v/>
          </cell>
          <cell r="N169" t="str">
            <v/>
          </cell>
          <cell r="O169">
            <v>-645.63687500000003</v>
          </cell>
          <cell r="P169">
            <v>-645.63687500000003</v>
          </cell>
          <cell r="Q169">
            <v>-5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-5</v>
          </cell>
          <cell r="AA169">
            <v>1</v>
          </cell>
          <cell r="AB169">
            <v>100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 t="str">
            <v>USD</v>
          </cell>
          <cell r="AI169">
            <v>29.77</v>
          </cell>
          <cell r="AJ169">
            <v>-5</v>
          </cell>
          <cell r="AK169">
            <v>425.9</v>
          </cell>
          <cell r="AL169">
            <v>425.9</v>
          </cell>
          <cell r="AM169" t="str">
            <v/>
          </cell>
          <cell r="AN169" t="str">
            <v/>
          </cell>
          <cell r="AO169">
            <v>-11.684725000000032</v>
          </cell>
          <cell r="AP169">
            <v>0</v>
          </cell>
          <cell r="AQ169">
            <v>-11.684725000000032</v>
          </cell>
          <cell r="AR169">
            <v>0</v>
          </cell>
          <cell r="AS169">
            <v>0</v>
          </cell>
          <cell r="AT169">
            <v>0</v>
          </cell>
          <cell r="AU169">
            <v>-11.684725000000032</v>
          </cell>
          <cell r="AV169">
            <v>0</v>
          </cell>
          <cell r="AW169">
            <v>5.137825000000068E-2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</row>
        <row r="170">
          <cell r="G170" t="str">
            <v>TW-M20</v>
          </cell>
          <cell r="H170" t="str">
            <v>期貨</v>
          </cell>
          <cell r="I170" t="str">
            <v>STWF0</v>
          </cell>
          <cell r="J170" t="str">
            <v>摩台期06</v>
          </cell>
          <cell r="K170">
            <v>433.75</v>
          </cell>
          <cell r="L170">
            <v>433.75</v>
          </cell>
          <cell r="M170" t="str">
            <v/>
          </cell>
          <cell r="N170" t="str">
            <v/>
          </cell>
          <cell r="O170">
            <v>-645.63687500000003</v>
          </cell>
          <cell r="P170">
            <v>-645.63687500000003</v>
          </cell>
          <cell r="Q170">
            <v>-5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-5</v>
          </cell>
          <cell r="AA170">
            <v>1</v>
          </cell>
          <cell r="AB170">
            <v>100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 t="str">
            <v>USD</v>
          </cell>
          <cell r="AI170">
            <v>29.77</v>
          </cell>
          <cell r="AJ170">
            <v>-5</v>
          </cell>
          <cell r="AK170">
            <v>425.9</v>
          </cell>
          <cell r="AL170">
            <v>425.9</v>
          </cell>
          <cell r="AM170" t="str">
            <v/>
          </cell>
          <cell r="AN170" t="str">
            <v/>
          </cell>
          <cell r="AO170">
            <v>-11.684725000000032</v>
          </cell>
          <cell r="AP170">
            <v>0</v>
          </cell>
          <cell r="AQ170">
            <v>-11.684725000000032</v>
          </cell>
          <cell r="AR170">
            <v>0</v>
          </cell>
          <cell r="AS170">
            <v>0</v>
          </cell>
          <cell r="AT170">
            <v>0</v>
          </cell>
          <cell r="AU170">
            <v>-11.684725000000032</v>
          </cell>
          <cell r="AV170">
            <v>0</v>
          </cell>
          <cell r="AW170">
            <v>5.137825000000068E-2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</row>
        <row r="171">
          <cell r="G171" t="str">
            <v>FITX06</v>
          </cell>
          <cell r="H171" t="str">
            <v>期貨</v>
          </cell>
          <cell r="I171" t="str">
            <v>TXFF0</v>
          </cell>
          <cell r="J171" t="str">
            <v>台指期06</v>
          </cell>
          <cell r="K171">
            <v>11457</v>
          </cell>
          <cell r="L171">
            <v>11457</v>
          </cell>
          <cell r="M171" t="str">
            <v/>
          </cell>
          <cell r="N171" t="str">
            <v/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1</v>
          </cell>
          <cell r="AB171">
            <v>200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 t="str">
            <v>NTD</v>
          </cell>
          <cell r="AI171">
            <v>1</v>
          </cell>
          <cell r="AJ171">
            <v>0</v>
          </cell>
          <cell r="AK171">
            <v>11283</v>
          </cell>
          <cell r="AL171">
            <v>11283</v>
          </cell>
          <cell r="AM171" t="str">
            <v/>
          </cell>
          <cell r="AN171" t="str">
            <v/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</row>
        <row r="172">
          <cell r="G172" t="str">
            <v>FITE06</v>
          </cell>
          <cell r="H172" t="str">
            <v>期貨</v>
          </cell>
          <cell r="I172" t="str">
            <v>EXFF0</v>
          </cell>
          <cell r="J172" t="str">
            <v>電子期06</v>
          </cell>
          <cell r="K172">
            <v>507.4</v>
          </cell>
          <cell r="L172">
            <v>507.4</v>
          </cell>
          <cell r="M172" t="str">
            <v/>
          </cell>
          <cell r="N172" t="str">
            <v/>
          </cell>
          <cell r="O172">
            <v>-1014.8</v>
          </cell>
          <cell r="P172">
            <v>-1014.8</v>
          </cell>
          <cell r="Q172">
            <v>-5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-5</v>
          </cell>
          <cell r="AA172">
            <v>1</v>
          </cell>
          <cell r="AB172">
            <v>4000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 t="str">
            <v>NTD</v>
          </cell>
          <cell r="AI172">
            <v>1</v>
          </cell>
          <cell r="AJ172">
            <v>-5</v>
          </cell>
          <cell r="AK172">
            <v>497.1</v>
          </cell>
          <cell r="AL172">
            <v>497.1</v>
          </cell>
          <cell r="AM172" t="str">
            <v/>
          </cell>
          <cell r="AN172" t="str">
            <v/>
          </cell>
          <cell r="AO172">
            <v>-20.599999999999909</v>
          </cell>
          <cell r="AP172">
            <v>0</v>
          </cell>
          <cell r="AQ172">
            <v>-20.599999999999909</v>
          </cell>
          <cell r="AR172">
            <v>0</v>
          </cell>
          <cell r="AS172">
            <v>0</v>
          </cell>
          <cell r="AT172">
            <v>0</v>
          </cell>
          <cell r="AU172">
            <v>-20.599999999999909</v>
          </cell>
          <cell r="AV172">
            <v>0</v>
          </cell>
          <cell r="AW172">
            <v>2.6965400000000161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</row>
        <row r="173">
          <cell r="G173" t="str">
            <v>台股ETF小計</v>
          </cell>
          <cell r="H173"/>
          <cell r="I173"/>
          <cell r="J173"/>
          <cell r="K173"/>
          <cell r="L173"/>
          <cell r="M173"/>
          <cell r="N173"/>
          <cell r="O173">
            <v>10311.074967598632</v>
          </cell>
          <cell r="P173">
            <v>10260.652678</v>
          </cell>
          <cell r="Q173"/>
          <cell r="R173"/>
          <cell r="S173"/>
          <cell r="T173"/>
          <cell r="U173"/>
          <cell r="V173"/>
          <cell r="W173"/>
          <cell r="X173"/>
          <cell r="Y173"/>
          <cell r="Z173"/>
          <cell r="AA173"/>
          <cell r="AB173"/>
          <cell r="AC173"/>
          <cell r="AD173"/>
          <cell r="AE173"/>
          <cell r="AF173"/>
          <cell r="AG173"/>
          <cell r="AH173"/>
          <cell r="AI173"/>
          <cell r="AJ173"/>
          <cell r="AK173"/>
          <cell r="AL173"/>
          <cell r="AM173"/>
          <cell r="AN173"/>
          <cell r="AO173">
            <v>130.67805499999969</v>
          </cell>
          <cell r="AP173">
            <v>1.88693</v>
          </cell>
          <cell r="AQ173">
            <v>132.56498499999964</v>
          </cell>
          <cell r="AR173">
            <v>-6.616460233093723</v>
          </cell>
          <cell r="AS173">
            <v>1.2211800693257282</v>
          </cell>
          <cell r="AT173">
            <v>-5.3952801637679935</v>
          </cell>
          <cell r="AU173">
            <v>137.88344523309325</v>
          </cell>
          <cell r="AV173">
            <v>7.6819930674330184E-2</v>
          </cell>
          <cell r="AW173">
            <v>3.374732900000025</v>
          </cell>
        </row>
        <row r="174">
          <cell r="G174"/>
          <cell r="H174"/>
          <cell r="I174"/>
          <cell r="J174"/>
          <cell r="K174"/>
          <cell r="L174"/>
          <cell r="M174"/>
          <cell r="N174"/>
          <cell r="O174">
            <v>10311.074967598632</v>
          </cell>
          <cell r="P174">
            <v>10260.652678</v>
          </cell>
          <cell r="Q174"/>
          <cell r="R174"/>
          <cell r="S174"/>
          <cell r="T174"/>
          <cell r="U174"/>
          <cell r="V174"/>
          <cell r="W174"/>
          <cell r="X174"/>
          <cell r="Y174"/>
          <cell r="Z174"/>
          <cell r="AA174"/>
          <cell r="AB174"/>
          <cell r="AC174"/>
          <cell r="AD174"/>
          <cell r="AE174"/>
          <cell r="AF174"/>
          <cell r="AG174"/>
          <cell r="AH174"/>
          <cell r="AI174"/>
          <cell r="AJ174"/>
          <cell r="AK174"/>
          <cell r="AL174"/>
          <cell r="AM174"/>
          <cell r="AN174"/>
          <cell r="AO174">
            <v>130.67805499999969</v>
          </cell>
          <cell r="AP174">
            <v>1.88693</v>
          </cell>
          <cell r="AQ174">
            <v>132.56498499999964</v>
          </cell>
          <cell r="AR174">
            <v>-6.616460233093723</v>
          </cell>
          <cell r="AS174">
            <v>1.2211800693257282</v>
          </cell>
          <cell r="AT174">
            <v>-5.3952801637679935</v>
          </cell>
          <cell r="AU174">
            <v>137.88344523309325</v>
          </cell>
          <cell r="AV174">
            <v>7.6819930674330184E-2</v>
          </cell>
          <cell r="AW174">
            <v>3.374732900000025</v>
          </cell>
          <cell r="AX174"/>
          <cell r="AY174"/>
          <cell r="AZ174"/>
          <cell r="BA174"/>
        </row>
        <row r="176">
          <cell r="H176" t="str">
            <v>ETF</v>
          </cell>
          <cell r="I176" t="str">
            <v>00731</v>
          </cell>
          <cell r="J176" t="str">
            <v>FH富時高息低波</v>
          </cell>
          <cell r="K176">
            <v>45.84</v>
          </cell>
          <cell r="L176">
            <v>45.885590854632589</v>
          </cell>
          <cell r="M176">
            <v>-4.5590854632585831E-2</v>
          </cell>
          <cell r="N176">
            <v>-9.9357671511779433E-4</v>
          </cell>
          <cell r="O176">
            <v>12132.150221964857</v>
          </cell>
          <cell r="P176">
            <v>12120.096</v>
          </cell>
          <cell r="Q176">
            <v>2661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431</v>
          </cell>
          <cell r="W176">
            <v>448</v>
          </cell>
          <cell r="X176">
            <v>45.744408352668216</v>
          </cell>
          <cell r="Y176">
            <v>45.721830357142856</v>
          </cell>
          <cell r="Z176">
            <v>2644</v>
          </cell>
          <cell r="AA176">
            <v>1</v>
          </cell>
          <cell r="AB176">
            <v>1000</v>
          </cell>
          <cell r="AC176">
            <v>45.744408352668216</v>
          </cell>
          <cell r="AD176">
            <v>45.721830357142856</v>
          </cell>
          <cell r="AE176">
            <v>1971.5840000000001</v>
          </cell>
          <cell r="AF176">
            <v>2048.3380000000002</v>
          </cell>
          <cell r="AG176">
            <v>-76.754000000000133</v>
          </cell>
          <cell r="AH176" t="str">
            <v>NTD</v>
          </cell>
          <cell r="AI176">
            <v>1</v>
          </cell>
          <cell r="AJ176">
            <v>2661</v>
          </cell>
          <cell r="AK176">
            <v>45.53</v>
          </cell>
          <cell r="AL176">
            <v>45.57</v>
          </cell>
          <cell r="AM176">
            <v>-3.9999999999999147E-2</v>
          </cell>
          <cell r="AN176">
            <v>-8.7777046302395245E-4</v>
          </cell>
          <cell r="AO176">
            <v>79.268662000000447</v>
          </cell>
          <cell r="AP176">
            <v>2.0483380000000002</v>
          </cell>
          <cell r="AQ176">
            <v>81.317000000000448</v>
          </cell>
          <cell r="AR176">
            <v>-1.4877264177313165</v>
          </cell>
          <cell r="AS176">
            <v>-0.20088839285714996</v>
          </cell>
          <cell r="AT176">
            <v>-1.6886148105884664</v>
          </cell>
          <cell r="AU176">
            <v>83.97872641773192</v>
          </cell>
          <cell r="AV176">
            <v>-0.97311160714301614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</row>
        <row r="177">
          <cell r="H177" t="str">
            <v>ETF</v>
          </cell>
          <cell r="I177" t="str">
            <v>00735</v>
          </cell>
          <cell r="J177" t="str">
            <v>國泰臺韓科技</v>
          </cell>
          <cell r="K177">
            <v>20.9</v>
          </cell>
          <cell r="L177">
            <v>21.01</v>
          </cell>
          <cell r="M177">
            <v>-0.11000000000000298</v>
          </cell>
          <cell r="N177">
            <v>-5.2356020942410098E-3</v>
          </cell>
          <cell r="O177">
            <v>3504.4679999999998</v>
          </cell>
          <cell r="P177">
            <v>3486.12</v>
          </cell>
          <cell r="Q177">
            <v>1678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94</v>
          </cell>
          <cell r="W177">
            <v>104</v>
          </cell>
          <cell r="X177">
            <v>20.741914893617022</v>
          </cell>
          <cell r="Y177">
            <v>20.730384615384615</v>
          </cell>
          <cell r="Z177">
            <v>1668</v>
          </cell>
          <cell r="AA177">
            <v>1</v>
          </cell>
          <cell r="AB177">
            <v>1000</v>
          </cell>
          <cell r="AC177">
            <v>20.741914893617022</v>
          </cell>
          <cell r="AD177">
            <v>20.730384615384615</v>
          </cell>
          <cell r="AE177">
            <v>194.97399999999999</v>
          </cell>
          <cell r="AF177">
            <v>215.596</v>
          </cell>
          <cell r="AG177">
            <v>-20.622000000000014</v>
          </cell>
          <cell r="AH177" t="str">
            <v>NTD</v>
          </cell>
          <cell r="AI177">
            <v>1</v>
          </cell>
          <cell r="AJ177">
            <v>1678</v>
          </cell>
          <cell r="AK177">
            <v>20.51</v>
          </cell>
          <cell r="AL177">
            <v>20.65</v>
          </cell>
          <cell r="AM177">
            <v>-0.13999999999999702</v>
          </cell>
          <cell r="AN177">
            <v>-6.7796610169490457E-3</v>
          </cell>
          <cell r="AO177">
            <v>64.948403999999485</v>
          </cell>
          <cell r="AP177">
            <v>0.21559600000000001</v>
          </cell>
          <cell r="AQ177">
            <v>65.16399999999949</v>
          </cell>
          <cell r="AR177">
            <v>5.0339999999989988</v>
          </cell>
          <cell r="AS177">
            <v>-0.16961538461538339</v>
          </cell>
          <cell r="AT177">
            <v>4.8643846153836154</v>
          </cell>
          <cell r="AU177">
            <v>60.408000000000499</v>
          </cell>
          <cell r="AV177">
            <v>-0.10838461538462107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</row>
        <row r="178">
          <cell r="H178" t="str">
            <v>ETF</v>
          </cell>
          <cell r="I178" t="str">
            <v>00736</v>
          </cell>
          <cell r="J178" t="str">
            <v>國泰新興市場</v>
          </cell>
          <cell r="K178">
            <v>18.43</v>
          </cell>
          <cell r="L178">
            <v>18.39</v>
          </cell>
          <cell r="M178">
            <v>3.9999999999999147E-2</v>
          </cell>
          <cell r="N178">
            <v>2.175095160413143E-3</v>
          </cell>
          <cell r="O178">
            <v>1395.4258440000001</v>
          </cell>
          <cell r="P178">
            <v>1398.4610280000002</v>
          </cell>
          <cell r="Q178">
            <v>731.79600000000005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85</v>
          </cell>
          <cell r="W178">
            <v>58</v>
          </cell>
          <cell r="X178">
            <v>18.375058823529411</v>
          </cell>
          <cell r="Y178">
            <v>18.367931034482758</v>
          </cell>
          <cell r="Z178">
            <v>758.79600000000005</v>
          </cell>
          <cell r="AA178">
            <v>1</v>
          </cell>
          <cell r="AB178">
            <v>1000</v>
          </cell>
          <cell r="AC178">
            <v>18.375058823529411</v>
          </cell>
          <cell r="AD178">
            <v>18.367931034482758</v>
          </cell>
          <cell r="AE178">
            <v>156.18799999999999</v>
          </cell>
          <cell r="AF178">
            <v>106.53400000000001</v>
          </cell>
          <cell r="AG178">
            <v>49.653999999999982</v>
          </cell>
          <cell r="AH178" t="str">
            <v>NTD</v>
          </cell>
          <cell r="AI178">
            <v>1</v>
          </cell>
          <cell r="AJ178">
            <v>731.79600000000005</v>
          </cell>
          <cell r="AK178">
            <v>18.2</v>
          </cell>
          <cell r="AL178">
            <v>18.170000000000002</v>
          </cell>
          <cell r="AM178">
            <v>2.9999999999997584E-2</v>
          </cell>
          <cell r="AN178">
            <v>1.65107319757829E-3</v>
          </cell>
          <cell r="AO178">
            <v>16.831774000000038</v>
          </cell>
          <cell r="AP178">
            <v>0.10653399999999999</v>
          </cell>
          <cell r="AQ178">
            <v>16.938308000000038</v>
          </cell>
          <cell r="AR178">
            <v>0.73179600000011447</v>
          </cell>
          <cell r="AS178">
            <v>0.14834117647058953</v>
          </cell>
          <cell r="AT178">
            <v>0.880137176470704</v>
          </cell>
          <cell r="AU178">
            <v>16.099511999999919</v>
          </cell>
          <cell r="AV178">
            <v>-4.1341176470584884E-2</v>
          </cell>
          <cell r="AW178">
            <v>-7.9809664031502923</v>
          </cell>
          <cell r="AX178">
            <v>4.9000000000000002E-2</v>
          </cell>
          <cell r="AY178">
            <v>0</v>
          </cell>
          <cell r="AZ178">
            <v>0.1903</v>
          </cell>
          <cell r="BA178">
            <v>0</v>
          </cell>
        </row>
        <row r="179">
          <cell r="H179" t="str">
            <v>ETF</v>
          </cell>
          <cell r="I179" t="str">
            <v>00737</v>
          </cell>
          <cell r="J179" t="str">
            <v>國泰AI+ROBO</v>
          </cell>
          <cell r="K179">
            <v>23.49</v>
          </cell>
          <cell r="L179">
            <v>23.49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1</v>
          </cell>
          <cell r="AB179">
            <v>1000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 t="str">
            <v>NTD</v>
          </cell>
          <cell r="AI179">
            <v>1</v>
          </cell>
          <cell r="AJ179">
            <v>0</v>
          </cell>
          <cell r="AK179">
            <v>23.44</v>
          </cell>
          <cell r="AL179">
            <v>23.42</v>
          </cell>
          <cell r="AM179">
            <v>1.9999999999999574E-2</v>
          </cell>
          <cell r="AN179">
            <v>8.5397096498707192E-4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0.6038</v>
          </cell>
          <cell r="AY179">
            <v>0</v>
          </cell>
          <cell r="AZ179">
            <v>0</v>
          </cell>
          <cell r="BA179">
            <v>0</v>
          </cell>
        </row>
        <row r="180">
          <cell r="H180" t="str">
            <v>ETF</v>
          </cell>
          <cell r="I180" t="str">
            <v>00757</v>
          </cell>
          <cell r="J180" t="str">
            <v>統一FANG+</v>
          </cell>
          <cell r="K180">
            <v>28.55</v>
          </cell>
          <cell r="L180">
            <v>28.43</v>
          </cell>
          <cell r="M180">
            <v>0.12000000000000099</v>
          </cell>
          <cell r="N180">
            <v>4.2208934224410299E-3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1</v>
          </cell>
          <cell r="AB180">
            <v>1000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 t="str">
            <v>NTD</v>
          </cell>
          <cell r="AI180">
            <v>1</v>
          </cell>
          <cell r="AJ180">
            <v>0</v>
          </cell>
          <cell r="AK180">
            <v>28.67</v>
          </cell>
          <cell r="AL180">
            <v>28.6</v>
          </cell>
          <cell r="AM180">
            <v>7.0000000000000284E-2</v>
          </cell>
          <cell r="AN180">
            <v>2.447552447552459E-3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0.93130000000000002</v>
          </cell>
          <cell r="AY180">
            <v>0</v>
          </cell>
          <cell r="AZ180">
            <v>0</v>
          </cell>
          <cell r="BA180">
            <v>0</v>
          </cell>
        </row>
        <row r="181">
          <cell r="H181" t="str">
            <v>ETF</v>
          </cell>
          <cell r="I181" t="str">
            <v>00776</v>
          </cell>
          <cell r="J181" t="str">
            <v>新光ICE美國權值</v>
          </cell>
          <cell r="K181">
            <v>20.79</v>
          </cell>
          <cell r="L181">
            <v>20.67</v>
          </cell>
          <cell r="M181">
            <v>0.11999999999999744</v>
          </cell>
          <cell r="N181">
            <v>5.8055152394773657E-3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1</v>
          </cell>
          <cell r="AB181">
            <v>1000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 t="str">
            <v>NTD</v>
          </cell>
          <cell r="AI181">
            <v>1</v>
          </cell>
          <cell r="AJ181">
            <v>0</v>
          </cell>
          <cell r="AK181">
            <v>20.85</v>
          </cell>
          <cell r="AL181">
            <v>20.89</v>
          </cell>
          <cell r="AM181">
            <v>-3.9999999999999147E-2</v>
          </cell>
          <cell r="AN181">
            <v>-1.9147917663954184E-3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0.89670000000000005</v>
          </cell>
          <cell r="AY181">
            <v>0</v>
          </cell>
          <cell r="AZ181">
            <v>0</v>
          </cell>
          <cell r="BA181">
            <v>0</v>
          </cell>
        </row>
        <row r="182">
          <cell r="H182" t="str">
            <v>ETF</v>
          </cell>
          <cell r="I182" t="str">
            <v>00858</v>
          </cell>
          <cell r="J182" t="str">
            <v>永豐美國500大</v>
          </cell>
          <cell r="K182">
            <v>21.2</v>
          </cell>
          <cell r="L182">
            <v>21.13</v>
          </cell>
          <cell r="M182">
            <v>7.0000000000000284E-2</v>
          </cell>
          <cell r="N182">
            <v>3.3128253667771279E-3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1</v>
          </cell>
          <cell r="AB182">
            <v>1000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 t="str">
            <v>NTD</v>
          </cell>
          <cell r="AI182">
            <v>1</v>
          </cell>
          <cell r="AJ182">
            <v>0</v>
          </cell>
          <cell r="AK182">
            <v>21.06</v>
          </cell>
          <cell r="AL182">
            <v>21.01</v>
          </cell>
          <cell r="AM182">
            <v>4.9999999999997158E-2</v>
          </cell>
          <cell r="AN182">
            <v>2.3798191337456309E-3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0.89759999999999995</v>
          </cell>
          <cell r="AY182">
            <v>0</v>
          </cell>
          <cell r="AZ182">
            <v>0</v>
          </cell>
          <cell r="BA182">
            <v>0</v>
          </cell>
        </row>
        <row r="183">
          <cell r="G183" t="str">
            <v>MME-M20</v>
          </cell>
          <cell r="H183" t="str">
            <v>期貨</v>
          </cell>
          <cell r="I183" t="str">
            <v>MMEF0</v>
          </cell>
          <cell r="J183" t="str">
            <v>小新興市場指數期貨</v>
          </cell>
          <cell r="K183">
            <v>995.65</v>
          </cell>
          <cell r="L183">
            <v>995.65</v>
          </cell>
          <cell r="M183" t="str">
            <v/>
          </cell>
          <cell r="N183" t="str">
            <v/>
          </cell>
          <cell r="O183">
            <v>-1482.0250249999999</v>
          </cell>
          <cell r="P183">
            <v>-1482.0250249999999</v>
          </cell>
          <cell r="Q183">
            <v>-10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-10</v>
          </cell>
          <cell r="AA183">
            <v>1</v>
          </cell>
          <cell r="AB183">
            <v>50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 t="str">
            <v>USD</v>
          </cell>
          <cell r="AI183">
            <v>29.77</v>
          </cell>
          <cell r="AJ183">
            <v>-10</v>
          </cell>
          <cell r="AK183">
            <v>981.8</v>
          </cell>
          <cell r="AL183">
            <v>981.8</v>
          </cell>
          <cell r="AM183" t="str">
            <v/>
          </cell>
          <cell r="AN183" t="str">
            <v/>
          </cell>
          <cell r="AO183">
            <v>-20.615725000000033</v>
          </cell>
          <cell r="AP183">
            <v>0</v>
          </cell>
          <cell r="AQ183">
            <v>-20.615725000000033</v>
          </cell>
          <cell r="AR183">
            <v>0</v>
          </cell>
          <cell r="AS183">
            <v>0</v>
          </cell>
          <cell r="AT183">
            <v>0</v>
          </cell>
          <cell r="AU183">
            <v>-20.615725000000033</v>
          </cell>
          <cell r="AV183">
            <v>0</v>
          </cell>
          <cell r="AW183">
            <v>9.0648250000001082E-2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</row>
        <row r="184">
          <cell r="G184" t="str">
            <v>FITX06</v>
          </cell>
          <cell r="H184" t="str">
            <v>期貨</v>
          </cell>
          <cell r="I184" t="str">
            <v>TXFF0</v>
          </cell>
          <cell r="J184" t="str">
            <v>台指期05</v>
          </cell>
          <cell r="K184">
            <v>11457</v>
          </cell>
          <cell r="L184">
            <v>11457</v>
          </cell>
          <cell r="M184" t="str">
            <v/>
          </cell>
          <cell r="N184" t="str">
            <v/>
          </cell>
          <cell r="O184">
            <v>-15581.52</v>
          </cell>
          <cell r="P184">
            <v>-15581.52</v>
          </cell>
          <cell r="Q184">
            <v>-72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11</v>
          </cell>
          <cell r="W184">
            <v>7</v>
          </cell>
          <cell r="X184">
            <v>11451.727272727272</v>
          </cell>
          <cell r="Y184">
            <v>11438.428571428571</v>
          </cell>
          <cell r="Z184">
            <v>-68</v>
          </cell>
          <cell r="AA184">
            <v>1</v>
          </cell>
          <cell r="AB184">
            <v>200</v>
          </cell>
          <cell r="AC184">
            <v>11451.727272727272</v>
          </cell>
          <cell r="AD184">
            <v>11438.428571428571</v>
          </cell>
          <cell r="AE184">
            <v>2519.38</v>
          </cell>
          <cell r="AF184">
            <v>1601.38</v>
          </cell>
          <cell r="AG184">
            <v>918</v>
          </cell>
          <cell r="AH184" t="str">
            <v>NTD</v>
          </cell>
          <cell r="AI184">
            <v>1</v>
          </cell>
          <cell r="AJ184">
            <v>-72</v>
          </cell>
          <cell r="AK184">
            <v>11283</v>
          </cell>
          <cell r="AL184">
            <v>11283</v>
          </cell>
          <cell r="AM184" t="str">
            <v/>
          </cell>
          <cell r="AN184" t="str">
            <v/>
          </cell>
          <cell r="AO184">
            <v>-251.99999999999997</v>
          </cell>
          <cell r="AP184">
            <v>0</v>
          </cell>
          <cell r="AQ184">
            <v>-251.99999999999997</v>
          </cell>
          <cell r="AR184">
            <v>0</v>
          </cell>
          <cell r="AS184">
            <v>0.42181818181823472</v>
          </cell>
          <cell r="AT184">
            <v>0.42181818181823472</v>
          </cell>
          <cell r="AU184">
            <v>-250.56</v>
          </cell>
          <cell r="AV184">
            <v>-1.8618181818181987</v>
          </cell>
          <cell r="AW184">
            <v>32.798304000000336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</row>
        <row r="185">
          <cell r="G185" t="str">
            <v>FITE06</v>
          </cell>
          <cell r="H185" t="str">
            <v>期貨</v>
          </cell>
          <cell r="I185" t="str">
            <v>EXFF0</v>
          </cell>
          <cell r="J185" t="str">
            <v>電子期05</v>
          </cell>
          <cell r="K185">
            <v>507.4</v>
          </cell>
          <cell r="L185">
            <v>507.4</v>
          </cell>
          <cell r="M185" t="str">
            <v/>
          </cell>
          <cell r="N185" t="str">
            <v/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1</v>
          </cell>
          <cell r="AB185">
            <v>4000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 t="str">
            <v>NTD</v>
          </cell>
          <cell r="AI185">
            <v>1</v>
          </cell>
          <cell r="AJ185">
            <v>0</v>
          </cell>
          <cell r="AK185">
            <v>497.1</v>
          </cell>
          <cell r="AL185">
            <v>497.1</v>
          </cell>
          <cell r="AM185" t="str">
            <v/>
          </cell>
          <cell r="AN185" t="str">
            <v/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</row>
        <row r="186">
          <cell r="G186" t="str">
            <v>其他小計</v>
          </cell>
          <cell r="H186"/>
          <cell r="I186"/>
          <cell r="J186"/>
          <cell r="K186"/>
          <cell r="L186"/>
          <cell r="M186"/>
          <cell r="N186"/>
          <cell r="O186">
            <v>-31.500959035140113</v>
          </cell>
          <cell r="P186">
            <v>-58.867996999997558</v>
          </cell>
          <cell r="Q186"/>
          <cell r="R186"/>
          <cell r="S186"/>
          <cell r="T186"/>
          <cell r="U186"/>
          <cell r="V186"/>
          <cell r="W186"/>
          <cell r="X186"/>
          <cell r="Y186"/>
          <cell r="Z186"/>
          <cell r="AA186"/>
          <cell r="AB186"/>
          <cell r="AC186"/>
          <cell r="AD186"/>
          <cell r="AE186"/>
          <cell r="AF186"/>
          <cell r="AG186"/>
          <cell r="AH186"/>
          <cell r="AI186"/>
          <cell r="AJ186"/>
          <cell r="AK186"/>
          <cell r="AL186"/>
          <cell r="AM186"/>
          <cell r="AN186"/>
          <cell r="AO186">
            <v>-111.56688500000001</v>
          </cell>
          <cell r="AP186">
            <v>2.3704680000000002</v>
          </cell>
          <cell r="AQ186">
            <v>-109.19641700000003</v>
          </cell>
          <cell r="AR186">
            <v>4.278069582267797</v>
          </cell>
          <cell r="AS186">
            <v>0.19965558081629087</v>
          </cell>
          <cell r="AT186">
            <v>4.477725163084088</v>
          </cell>
          <cell r="AU186">
            <v>-110.6894865822677</v>
          </cell>
          <cell r="AV186">
            <v>-2.9846555808164208</v>
          </cell>
          <cell r="AW186">
            <v>24.907985846850046</v>
          </cell>
        </row>
        <row r="187">
          <cell r="G187"/>
          <cell r="H187"/>
          <cell r="I187"/>
          <cell r="J187"/>
          <cell r="K187"/>
          <cell r="L187"/>
          <cell r="M187"/>
          <cell r="N187"/>
          <cell r="O187">
            <v>-31.500959035140113</v>
          </cell>
          <cell r="P187">
            <v>-58.867996999997558</v>
          </cell>
          <cell r="Q187"/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-111.56688500000001</v>
          </cell>
          <cell r="AP187">
            <v>2.3704680000000002</v>
          </cell>
          <cell r="AQ187">
            <v>-109.19641700000003</v>
          </cell>
          <cell r="AR187">
            <v>4.278069582267797</v>
          </cell>
          <cell r="AS187">
            <v>0.19965558081629087</v>
          </cell>
          <cell r="AT187">
            <v>4.477725163084088</v>
          </cell>
          <cell r="AU187">
            <v>-110.6894865822677</v>
          </cell>
          <cell r="AV187">
            <v>-2.9846555808164208</v>
          </cell>
          <cell r="AW187">
            <v>24.907985846850046</v>
          </cell>
          <cell r="AX187"/>
          <cell r="AY187"/>
          <cell r="AZ187"/>
          <cell r="BA187"/>
        </row>
        <row r="189">
          <cell r="G189" t="str">
            <v>VX-N20</v>
          </cell>
          <cell r="H189" t="str">
            <v>期貨</v>
          </cell>
          <cell r="I189" t="str">
            <v>VXG0</v>
          </cell>
          <cell r="J189" t="str">
            <v>VIX期貨</v>
          </cell>
          <cell r="K189">
            <v>28.18</v>
          </cell>
          <cell r="L189">
            <v>28.18</v>
          </cell>
          <cell r="M189" t="str">
            <v/>
          </cell>
          <cell r="N189" t="str">
            <v/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1</v>
          </cell>
          <cell r="AB189">
            <v>1000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 t="str">
            <v>USD</v>
          </cell>
          <cell r="AI189">
            <v>29.77</v>
          </cell>
          <cell r="AJ189">
            <v>0</v>
          </cell>
          <cell r="AK189">
            <v>29.95</v>
          </cell>
          <cell r="AL189">
            <v>29.95</v>
          </cell>
          <cell r="AM189" t="str">
            <v/>
          </cell>
          <cell r="AN189" t="str">
            <v/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</row>
        <row r="190">
          <cell r="G190" t="str">
            <v>VX-M20</v>
          </cell>
          <cell r="H190" t="str">
            <v>期貨</v>
          </cell>
          <cell r="I190" t="str">
            <v>VXF0</v>
          </cell>
          <cell r="J190" t="str">
            <v>VIX期貨</v>
          </cell>
          <cell r="K190">
            <v>26.08</v>
          </cell>
          <cell r="L190">
            <v>26.08</v>
          </cell>
          <cell r="M190" t="str">
            <v/>
          </cell>
          <cell r="N190" t="str">
            <v/>
          </cell>
          <cell r="O190">
            <v>-1164.6024</v>
          </cell>
          <cell r="P190">
            <v>-1164.6024</v>
          </cell>
          <cell r="Q190">
            <v>-15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-15</v>
          </cell>
          <cell r="AA190">
            <v>1</v>
          </cell>
          <cell r="AB190">
            <v>1000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 t="str">
            <v>USD</v>
          </cell>
          <cell r="AI190">
            <v>29.77</v>
          </cell>
          <cell r="AJ190">
            <v>-15</v>
          </cell>
          <cell r="AK190">
            <v>28.2</v>
          </cell>
          <cell r="AL190">
            <v>28.2</v>
          </cell>
          <cell r="AM190" t="str">
            <v/>
          </cell>
          <cell r="AN190" t="str">
            <v/>
          </cell>
          <cell r="AO190">
            <v>94.66860000000004</v>
          </cell>
          <cell r="AP190">
            <v>0</v>
          </cell>
          <cell r="AQ190">
            <v>94.66860000000004</v>
          </cell>
          <cell r="AR190">
            <v>0</v>
          </cell>
          <cell r="AS190">
            <v>0</v>
          </cell>
          <cell r="AT190">
            <v>0</v>
          </cell>
          <cell r="AU190">
            <v>94.66860000000004</v>
          </cell>
          <cell r="AV190">
            <v>0</v>
          </cell>
          <cell r="AW190">
            <v>-0.41626200000000446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</row>
        <row r="191">
          <cell r="G191" t="str">
            <v>ShortVIX小計</v>
          </cell>
          <cell r="H191"/>
          <cell r="I191"/>
          <cell r="J191"/>
          <cell r="K191"/>
          <cell r="L191"/>
          <cell r="M191"/>
          <cell r="N191"/>
          <cell r="O191">
            <v>-1164.6024</v>
          </cell>
          <cell r="P191">
            <v>-1164.6024</v>
          </cell>
          <cell r="Q191"/>
          <cell r="R191"/>
          <cell r="S191"/>
          <cell r="T191"/>
          <cell r="U191"/>
          <cell r="V191"/>
          <cell r="W191"/>
          <cell r="X191"/>
          <cell r="Y191"/>
          <cell r="Z191"/>
          <cell r="AA191"/>
          <cell r="AB191"/>
          <cell r="AC191"/>
          <cell r="AD191"/>
          <cell r="AE191"/>
          <cell r="AF191"/>
          <cell r="AG191"/>
          <cell r="AH191"/>
          <cell r="AI191"/>
          <cell r="AJ191"/>
          <cell r="AK191"/>
          <cell r="AL191"/>
          <cell r="AM191"/>
          <cell r="AN191"/>
          <cell r="AO191">
            <v>94.66860000000004</v>
          </cell>
          <cell r="AP191">
            <v>0</v>
          </cell>
          <cell r="AQ191">
            <v>94.66860000000004</v>
          </cell>
          <cell r="AR191">
            <v>0</v>
          </cell>
          <cell r="AS191">
            <v>0</v>
          </cell>
          <cell r="AT191">
            <v>0</v>
          </cell>
          <cell r="AU191">
            <v>94.66860000000004</v>
          </cell>
          <cell r="AV191">
            <v>0</v>
          </cell>
          <cell r="AW191">
            <v>-0.41626200000000446</v>
          </cell>
        </row>
        <row r="192">
          <cell r="G192"/>
          <cell r="H192"/>
          <cell r="I192"/>
          <cell r="J192"/>
          <cell r="K192"/>
          <cell r="L192"/>
          <cell r="M192"/>
          <cell r="N192"/>
          <cell r="O192">
            <v>-1164.6024</v>
          </cell>
          <cell r="P192">
            <v>-1164.6024</v>
          </cell>
          <cell r="Q192"/>
          <cell r="R192"/>
          <cell r="S192"/>
          <cell r="T192"/>
          <cell r="U192"/>
          <cell r="V192"/>
          <cell r="W192"/>
          <cell r="X192"/>
          <cell r="Y192"/>
          <cell r="Z192"/>
          <cell r="AA192"/>
          <cell r="AB192"/>
          <cell r="AC192"/>
          <cell r="AD192"/>
          <cell r="AE192"/>
          <cell r="AF192"/>
          <cell r="AG192"/>
          <cell r="AH192"/>
          <cell r="AI192"/>
          <cell r="AJ192"/>
          <cell r="AK192"/>
          <cell r="AL192"/>
          <cell r="AM192"/>
          <cell r="AN192"/>
          <cell r="AO192">
            <v>94.66860000000004</v>
          </cell>
          <cell r="AP192">
            <v>0</v>
          </cell>
          <cell r="AQ192">
            <v>94.66860000000004</v>
          </cell>
          <cell r="AR192">
            <v>0</v>
          </cell>
          <cell r="AS192">
            <v>0</v>
          </cell>
          <cell r="AT192">
            <v>0</v>
          </cell>
          <cell r="AU192">
            <v>94.66860000000004</v>
          </cell>
          <cell r="AV192">
            <v>0</v>
          </cell>
          <cell r="AW192">
            <v>-0.41626200000000446</v>
          </cell>
          <cell r="AX192"/>
          <cell r="AY192"/>
          <cell r="AZ192"/>
          <cell r="BA192"/>
        </row>
        <row r="197">
          <cell r="I197"/>
        </row>
        <row r="198">
          <cell r="H198" t="str">
            <v>ETF</v>
          </cell>
          <cell r="I198" t="str">
            <v>00679B</v>
          </cell>
          <cell r="J198" t="str">
            <v>元大美債20年</v>
          </cell>
          <cell r="K198">
            <v>47.63</v>
          </cell>
          <cell r="L198">
            <v>47.5685</v>
          </cell>
          <cell r="M198">
            <v>6.1500000000002331E-2</v>
          </cell>
          <cell r="N198">
            <v>1.2928723840357481E-3</v>
          </cell>
          <cell r="O198">
            <v>47.5685</v>
          </cell>
          <cell r="P198">
            <v>47.63</v>
          </cell>
          <cell r="Q198">
            <v>10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10</v>
          </cell>
          <cell r="AA198">
            <v>1</v>
          </cell>
          <cell r="AB198">
            <v>1000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 t="str">
            <v>NTD</v>
          </cell>
          <cell r="AI198">
            <v>1</v>
          </cell>
          <cell r="AJ198">
            <v>10</v>
          </cell>
          <cell r="AK198">
            <v>48.96</v>
          </cell>
          <cell r="AL198">
            <v>48.91</v>
          </cell>
          <cell r="AM198">
            <v>5.0000000000004263E-2</v>
          </cell>
          <cell r="AN198">
            <v>1.022285831118408E-3</v>
          </cell>
          <cell r="AO198">
            <v>-1.3299999999999983</v>
          </cell>
          <cell r="AP198">
            <v>0</v>
          </cell>
          <cell r="AQ198">
            <v>-1.3299999999999983</v>
          </cell>
          <cell r="AR198">
            <v>1.1499999999998067E-2</v>
          </cell>
          <cell r="AS198">
            <v>0</v>
          </cell>
          <cell r="AT198">
            <v>1.1499999999998067E-2</v>
          </cell>
          <cell r="AU198">
            <v>-1.3414999999999964</v>
          </cell>
          <cell r="AV198">
            <v>0</v>
          </cell>
          <cell r="AW198">
            <v>-5.9570266936818825</v>
          </cell>
          <cell r="AX198">
            <v>0.99429999999999996</v>
          </cell>
          <cell r="AY198">
            <v>0</v>
          </cell>
          <cell r="AZ198">
            <v>0</v>
          </cell>
          <cell r="BA198">
            <v>0</v>
          </cell>
        </row>
        <row r="199">
          <cell r="H199" t="str">
            <v>ETF</v>
          </cell>
          <cell r="I199" t="str">
            <v>00680L</v>
          </cell>
          <cell r="J199" t="str">
            <v>元大美債20正2</v>
          </cell>
          <cell r="K199">
            <v>29.27</v>
          </cell>
          <cell r="L199">
            <v>29.21822564875897</v>
          </cell>
          <cell r="M199">
            <v>5.1774351241029137E-2</v>
          </cell>
          <cell r="N199">
            <v>1.7719882056981273E-3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2</v>
          </cell>
          <cell r="AB199">
            <v>1000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 t="str">
            <v>NTD</v>
          </cell>
          <cell r="AI199">
            <v>1</v>
          </cell>
          <cell r="AJ199">
            <v>0</v>
          </cell>
          <cell r="AK199">
            <v>30.91</v>
          </cell>
          <cell r="AL199">
            <v>30.92</v>
          </cell>
          <cell r="AM199">
            <v>-1.0000000000001563E-2</v>
          </cell>
          <cell r="AN199">
            <v>-3.2341526520052177E-4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0.12590000000000001</v>
          </cell>
          <cell r="AY199">
            <v>0</v>
          </cell>
          <cell r="AZ199">
            <v>0</v>
          </cell>
          <cell r="BA199">
            <v>0</v>
          </cell>
        </row>
        <row r="200">
          <cell r="H200" t="str">
            <v>ETF</v>
          </cell>
          <cell r="I200" t="str">
            <v>00681R</v>
          </cell>
          <cell r="J200" t="str">
            <v>元大美債20反1</v>
          </cell>
          <cell r="K200">
            <v>13.3</v>
          </cell>
          <cell r="L200">
            <v>13.304775664661067</v>
          </cell>
          <cell r="M200">
            <v>-4.7756646610661591E-3</v>
          </cell>
          <cell r="N200">
            <v>-3.5894364410449242E-4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-1</v>
          </cell>
          <cell r="AB200">
            <v>1000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 t="str">
            <v>NTD</v>
          </cell>
          <cell r="AI200">
            <v>1</v>
          </cell>
          <cell r="AJ200">
            <v>0</v>
          </cell>
          <cell r="AK200">
            <v>12.98</v>
          </cell>
          <cell r="AL200">
            <v>12.98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0.17380000000000001</v>
          </cell>
          <cell r="AY200">
            <v>0</v>
          </cell>
          <cell r="AZ200">
            <v>0</v>
          </cell>
          <cell r="BA200">
            <v>0</v>
          </cell>
        </row>
        <row r="201">
          <cell r="H201" t="str">
            <v>ETF</v>
          </cell>
          <cell r="I201" t="str">
            <v>00687B</v>
          </cell>
          <cell r="J201" t="str">
            <v>國泰20年美債</v>
          </cell>
          <cell r="K201">
            <v>49.81</v>
          </cell>
          <cell r="L201">
            <v>49.8611</v>
          </cell>
          <cell r="M201">
            <v>-5.1099999999998147E-2</v>
          </cell>
          <cell r="N201">
            <v>-1.0248470250354691E-3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0</v>
          </cell>
          <cell r="AA201">
            <v>1</v>
          </cell>
          <cell r="AB201">
            <v>1000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 t="str">
            <v>NTD</v>
          </cell>
          <cell r="AI201">
            <v>1</v>
          </cell>
          <cell r="AJ201">
            <v>0</v>
          </cell>
          <cell r="AK201">
            <v>51.4</v>
          </cell>
          <cell r="AL201">
            <v>51.28</v>
          </cell>
          <cell r="AM201">
            <v>0.11999999999999744</v>
          </cell>
          <cell r="AN201">
            <v>2.3400936037440978E-3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0.99750000000000005</v>
          </cell>
          <cell r="AY201">
            <v>0</v>
          </cell>
          <cell r="AZ201">
            <v>0</v>
          </cell>
          <cell r="BA201">
            <v>0</v>
          </cell>
        </row>
        <row r="202">
          <cell r="H202" t="str">
            <v>ETF</v>
          </cell>
          <cell r="I202" t="str">
            <v>00688L</v>
          </cell>
          <cell r="J202" t="str">
            <v>國泰20年美債正2</v>
          </cell>
          <cell r="K202">
            <v>29.85</v>
          </cell>
          <cell r="L202">
            <v>29.627716336273139</v>
          </cell>
          <cell r="M202">
            <v>0.22228366372686281</v>
          </cell>
          <cell r="N202">
            <v>7.5025581183494339E-3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2</v>
          </cell>
          <cell r="AB202">
            <v>1000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 t="str">
            <v>NTD</v>
          </cell>
          <cell r="AI202">
            <v>1</v>
          </cell>
          <cell r="AJ202">
            <v>0</v>
          </cell>
          <cell r="AK202">
            <v>31.4</v>
          </cell>
          <cell r="AL202">
            <v>31.42</v>
          </cell>
          <cell r="AM202">
            <v>-2.0000000000003126E-2</v>
          </cell>
          <cell r="AN202">
            <v>-6.3653723742851387E-4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0.18679999999999999</v>
          </cell>
          <cell r="AY202">
            <v>0</v>
          </cell>
          <cell r="AZ202">
            <v>0</v>
          </cell>
          <cell r="BA202">
            <v>0</v>
          </cell>
        </row>
        <row r="203">
          <cell r="H203" t="str">
            <v>ETF</v>
          </cell>
          <cell r="I203" t="str">
            <v>00689R</v>
          </cell>
          <cell r="J203" t="str">
            <v>國泰20年美債反1</v>
          </cell>
          <cell r="K203">
            <v>13.59</v>
          </cell>
          <cell r="L203">
            <v>13.644976551070391</v>
          </cell>
          <cell r="M203">
            <v>-5.4976551070391011E-2</v>
          </cell>
          <cell r="N203">
            <v>-4.0290689298456694E-3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-1</v>
          </cell>
          <cell r="AB203">
            <v>1000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 t="str">
            <v>NTD</v>
          </cell>
          <cell r="AI203">
            <v>1</v>
          </cell>
          <cell r="AJ203">
            <v>0</v>
          </cell>
          <cell r="AK203">
            <v>13.3</v>
          </cell>
          <cell r="AL203">
            <v>13.31</v>
          </cell>
          <cell r="AM203">
            <v>-9.9999999999997868E-3</v>
          </cell>
          <cell r="AN203">
            <v>-7.513148009015147E-4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0.24149999999999999</v>
          </cell>
          <cell r="AY203">
            <v>0</v>
          </cell>
          <cell r="AZ203">
            <v>0</v>
          </cell>
          <cell r="BA203">
            <v>0</v>
          </cell>
        </row>
        <row r="204">
          <cell r="H204" t="str">
            <v>ETF</v>
          </cell>
          <cell r="I204" t="str">
            <v>00694B</v>
          </cell>
          <cell r="J204" t="str">
            <v>富邦美債1-3年</v>
          </cell>
          <cell r="K204">
            <v>40.380000000000003</v>
          </cell>
          <cell r="L204">
            <v>40.405999999999999</v>
          </cell>
          <cell r="M204">
            <v>-2.5999999999996248E-2</v>
          </cell>
          <cell r="N204">
            <v>-6.434687917634685E-4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1</v>
          </cell>
          <cell r="AB204">
            <v>1000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 t="str">
            <v>NTD</v>
          </cell>
          <cell r="AI204">
            <v>1</v>
          </cell>
          <cell r="AJ204">
            <v>0</v>
          </cell>
          <cell r="AK204">
            <v>40.5</v>
          </cell>
          <cell r="AL204">
            <v>40.53</v>
          </cell>
          <cell r="AM204">
            <v>-3.0000000000001137E-2</v>
          </cell>
          <cell r="AN204">
            <v>-7.4019245003709155E-4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0.99080000000000001</v>
          </cell>
          <cell r="AY204">
            <v>0</v>
          </cell>
          <cell r="AZ204">
            <v>0</v>
          </cell>
          <cell r="BA204">
            <v>0</v>
          </cell>
        </row>
        <row r="205">
          <cell r="H205" t="str">
            <v>ETF</v>
          </cell>
          <cell r="I205" t="str">
            <v>00695B</v>
          </cell>
          <cell r="J205" t="str">
            <v>富邦美債7-10年</v>
          </cell>
          <cell r="K205">
            <v>41.63</v>
          </cell>
          <cell r="L205">
            <v>41.6892</v>
          </cell>
          <cell r="M205">
            <v>-5.9199999999997033E-2</v>
          </cell>
          <cell r="N205">
            <v>-1.420032046669073E-3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1</v>
          </cell>
          <cell r="AB205">
            <v>1000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 t="str">
            <v>NTD</v>
          </cell>
          <cell r="AI205">
            <v>1</v>
          </cell>
          <cell r="AJ205">
            <v>0</v>
          </cell>
          <cell r="AK205">
            <v>42.19</v>
          </cell>
          <cell r="AL205">
            <v>42.19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0.99260000000000004</v>
          </cell>
          <cell r="AY205">
            <v>0</v>
          </cell>
          <cell r="AZ205">
            <v>0</v>
          </cell>
          <cell r="BA205">
            <v>0</v>
          </cell>
        </row>
        <row r="206">
          <cell r="H206" t="str">
            <v>ETF</v>
          </cell>
          <cell r="I206" t="str">
            <v>00696B</v>
          </cell>
          <cell r="J206" t="str">
            <v>富邦美債20年</v>
          </cell>
          <cell r="K206">
            <v>49.81</v>
          </cell>
          <cell r="L206">
            <v>49.789099999999998</v>
          </cell>
          <cell r="M206">
            <v>2.0900000000004582E-2</v>
          </cell>
          <cell r="N206">
            <v>4.1977059235875913E-4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1</v>
          </cell>
          <cell r="AB206">
            <v>1000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 t="str">
            <v>NTD</v>
          </cell>
          <cell r="AI206">
            <v>1</v>
          </cell>
          <cell r="AJ206">
            <v>0</v>
          </cell>
          <cell r="AK206">
            <v>51.35</v>
          </cell>
          <cell r="AL206">
            <v>51.2</v>
          </cell>
          <cell r="AM206">
            <v>0.14999999999999858</v>
          </cell>
          <cell r="AN206">
            <v>2.9296875E-3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0.99119999999999997</v>
          </cell>
          <cell r="AY206">
            <v>0</v>
          </cell>
          <cell r="AZ206">
            <v>0</v>
          </cell>
          <cell r="BA206">
            <v>0</v>
          </cell>
        </row>
        <row r="207">
          <cell r="H207" t="str">
            <v>ETF</v>
          </cell>
          <cell r="I207" t="str">
            <v>00697B</v>
          </cell>
          <cell r="J207" t="str">
            <v>元大美債7-10</v>
          </cell>
          <cell r="K207">
            <v>44.19</v>
          </cell>
          <cell r="L207">
            <v>44.166200000000003</v>
          </cell>
          <cell r="M207">
            <v>2.379999999999427E-2</v>
          </cell>
          <cell r="N207">
            <v>5.3887361828719449E-4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1</v>
          </cell>
          <cell r="AB207">
            <v>1000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 t="str">
            <v>NTD</v>
          </cell>
          <cell r="AI207">
            <v>1</v>
          </cell>
          <cell r="AJ207">
            <v>0</v>
          </cell>
          <cell r="AK207">
            <v>44.78</v>
          </cell>
          <cell r="AL207">
            <v>44.69</v>
          </cell>
          <cell r="AM207">
            <v>9.0000000000003411E-2</v>
          </cell>
          <cell r="AN207">
            <v>2.0138733497427896E-3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0.99870000000000003</v>
          </cell>
          <cell r="AY207">
            <v>0</v>
          </cell>
          <cell r="AZ207">
            <v>0</v>
          </cell>
          <cell r="BA207">
            <v>0</v>
          </cell>
        </row>
        <row r="208">
          <cell r="H208" t="str">
            <v>ETF</v>
          </cell>
          <cell r="I208" t="str">
            <v>00710B</v>
          </cell>
          <cell r="J208" t="str">
            <v>FH彭博高收益債</v>
          </cell>
          <cell r="K208">
            <v>19.03</v>
          </cell>
          <cell r="L208">
            <v>18.96</v>
          </cell>
          <cell r="M208">
            <v>7.0000000000000284E-2</v>
          </cell>
          <cell r="N208">
            <v>3.6919831223629629E-3</v>
          </cell>
          <cell r="O208">
            <v>695.83200000000011</v>
          </cell>
          <cell r="P208">
            <v>698.40099999999995</v>
          </cell>
          <cell r="Q208">
            <v>501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134</v>
          </cell>
          <cell r="X208">
            <v>0</v>
          </cell>
          <cell r="Y208">
            <v>19.032537313432837</v>
          </cell>
          <cell r="Z208">
            <v>367</v>
          </cell>
          <cell r="AA208">
            <v>1</v>
          </cell>
          <cell r="AB208">
            <v>1000</v>
          </cell>
          <cell r="AC208">
            <v>0</v>
          </cell>
          <cell r="AD208">
            <v>19.032537313432837</v>
          </cell>
          <cell r="AE208">
            <v>0</v>
          </cell>
          <cell r="AF208">
            <v>255.036</v>
          </cell>
          <cell r="AG208">
            <v>-255.036</v>
          </cell>
          <cell r="AH208" t="str">
            <v>NTD</v>
          </cell>
          <cell r="AI208">
            <v>1</v>
          </cell>
          <cell r="AJ208">
            <v>501</v>
          </cell>
          <cell r="AK208">
            <v>19</v>
          </cell>
          <cell r="AL208">
            <v>18.829999999999998</v>
          </cell>
          <cell r="AM208">
            <v>0.17000000000000171</v>
          </cell>
          <cell r="AN208">
            <v>9.0281465746151479E-3</v>
          </cell>
          <cell r="AO208">
            <v>1.2819640000000505</v>
          </cell>
          <cell r="AP208">
            <v>0.25503600000000004</v>
          </cell>
          <cell r="AQ208">
            <v>1.5370000000000505</v>
          </cell>
          <cell r="AR208">
            <v>-5.0100000000000717</v>
          </cell>
          <cell r="AS208">
            <v>3.3999999999995367E-2</v>
          </cell>
          <cell r="AT208">
            <v>-4.9760000000000764</v>
          </cell>
          <cell r="AU208">
            <v>6.5130000000001269</v>
          </cell>
          <cell r="AV208">
            <v>0</v>
          </cell>
          <cell r="AW208">
            <v>-113.73283124758821</v>
          </cell>
          <cell r="AX208">
            <v>0.98419999999999996</v>
          </cell>
          <cell r="AY208">
            <v>0</v>
          </cell>
          <cell r="AZ208">
            <v>0</v>
          </cell>
          <cell r="BA208">
            <v>0</v>
          </cell>
        </row>
        <row r="209">
          <cell r="H209" t="str">
            <v>ETF</v>
          </cell>
          <cell r="I209" t="str">
            <v>00711B</v>
          </cell>
          <cell r="J209" t="str">
            <v>FH彭博新興債</v>
          </cell>
          <cell r="K209">
            <v>21.86</v>
          </cell>
          <cell r="L209">
            <v>21.76</v>
          </cell>
          <cell r="M209">
            <v>9.9999999999997868E-2</v>
          </cell>
          <cell r="N209">
            <v>4.5955882352939348E-3</v>
          </cell>
          <cell r="O209">
            <v>979.2</v>
          </cell>
          <cell r="P209">
            <v>983.7</v>
          </cell>
          <cell r="Q209">
            <v>510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22</v>
          </cell>
          <cell r="W209">
            <v>82</v>
          </cell>
          <cell r="X209">
            <v>21.885000000000002</v>
          </cell>
          <cell r="Y209">
            <v>21.892073170731706</v>
          </cell>
          <cell r="Z209">
            <v>450</v>
          </cell>
          <cell r="AA209">
            <v>1</v>
          </cell>
          <cell r="AB209">
            <v>1000</v>
          </cell>
          <cell r="AC209">
            <v>21.885000000000002</v>
          </cell>
          <cell r="AD209">
            <v>21.892073170731706</v>
          </cell>
          <cell r="AE209">
            <v>48.146999999999998</v>
          </cell>
          <cell r="AF209">
            <v>179.51499999999999</v>
          </cell>
          <cell r="AG209">
            <v>-131.36799999999999</v>
          </cell>
          <cell r="AH209" t="str">
            <v>NTD</v>
          </cell>
          <cell r="AI209">
            <v>1</v>
          </cell>
          <cell r="AJ209">
            <v>510</v>
          </cell>
          <cell r="AK209">
            <v>21.82</v>
          </cell>
          <cell r="AL209">
            <v>21.79</v>
          </cell>
          <cell r="AM209">
            <v>3.0000000000001137E-2</v>
          </cell>
          <cell r="AN209">
            <v>1.3767783386875454E-3</v>
          </cell>
          <cell r="AO209">
            <v>2.0684849999999457</v>
          </cell>
          <cell r="AP209">
            <v>0.17951499999999998</v>
          </cell>
          <cell r="AQ209">
            <v>2.2479999999999456</v>
          </cell>
          <cell r="AR209">
            <v>3.5699999999998333</v>
          </cell>
          <cell r="AS209">
            <v>0.19243902439023941</v>
          </cell>
          <cell r="AT209">
            <v>3.7624390243900727</v>
          </cell>
          <cell r="AU209">
            <v>-1.5299999999998768</v>
          </cell>
          <cell r="AV209">
            <v>1.5560975609749769E-2</v>
          </cell>
          <cell r="AW209">
            <v>-134.3429867043377</v>
          </cell>
          <cell r="AX209">
            <v>0.9869</v>
          </cell>
          <cell r="AY209">
            <v>0</v>
          </cell>
          <cell r="AZ209">
            <v>0</v>
          </cell>
          <cell r="BA209">
            <v>0</v>
          </cell>
        </row>
        <row r="210">
          <cell r="H210" t="str">
            <v>ETF</v>
          </cell>
          <cell r="I210" t="str">
            <v>00712</v>
          </cell>
          <cell r="J210" t="str">
            <v>FH富時不動產</v>
          </cell>
          <cell r="K210">
            <v>11.6</v>
          </cell>
          <cell r="L210">
            <v>11.2</v>
          </cell>
          <cell r="M210">
            <v>0.40000000000000036</v>
          </cell>
          <cell r="N210">
            <v>3.5714285714285809E-2</v>
          </cell>
          <cell r="O210">
            <v>108.63999999999997</v>
          </cell>
          <cell r="P210">
            <v>112.52</v>
          </cell>
          <cell r="Q210">
            <v>137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40</v>
          </cell>
          <cell r="X210">
            <v>0</v>
          </cell>
          <cell r="Y210">
            <v>11.244</v>
          </cell>
          <cell r="Z210">
            <v>97</v>
          </cell>
          <cell r="AA210">
            <v>1</v>
          </cell>
          <cell r="AB210">
            <v>1000</v>
          </cell>
          <cell r="AC210">
            <v>0</v>
          </cell>
          <cell r="AD210">
            <v>11.244</v>
          </cell>
          <cell r="AE210">
            <v>0</v>
          </cell>
          <cell r="AF210">
            <v>44.975999999999999</v>
          </cell>
          <cell r="AG210">
            <v>-44.975999999999999</v>
          </cell>
          <cell r="AH210" t="str">
            <v>NTD</v>
          </cell>
          <cell r="AI210">
            <v>1</v>
          </cell>
          <cell r="AJ210">
            <v>137</v>
          </cell>
          <cell r="AK210">
            <v>10.210000000000001</v>
          </cell>
          <cell r="AL210">
            <v>10.15</v>
          </cell>
          <cell r="AM210">
            <v>6.0000000000000497E-2</v>
          </cell>
          <cell r="AN210">
            <v>5.9113300492610321E-3</v>
          </cell>
          <cell r="AO210">
            <v>17.574023999999987</v>
          </cell>
          <cell r="AP210">
            <v>4.4976000000000002E-2</v>
          </cell>
          <cell r="AQ210">
            <v>17.618999999999986</v>
          </cell>
          <cell r="AR210">
            <v>4.6579999999999986</v>
          </cell>
          <cell r="AS210">
            <v>-1.4239999999999995</v>
          </cell>
          <cell r="AT210">
            <v>3.2339999999999991</v>
          </cell>
          <cell r="AU210">
            <v>14.384999999999986</v>
          </cell>
          <cell r="AV210">
            <v>0</v>
          </cell>
          <cell r="AW210">
            <v>-17.02146518218888</v>
          </cell>
          <cell r="AX210">
            <v>0.99929999999999997</v>
          </cell>
          <cell r="AY210">
            <v>0</v>
          </cell>
          <cell r="AZ210">
            <v>0</v>
          </cell>
          <cell r="BA210">
            <v>0</v>
          </cell>
        </row>
        <row r="211">
          <cell r="H211" t="str">
            <v>ETF</v>
          </cell>
          <cell r="I211" t="str">
            <v>00718B</v>
          </cell>
          <cell r="J211" t="str">
            <v>富邦中國政策債</v>
          </cell>
          <cell r="K211">
            <v>19.420000000000002</v>
          </cell>
          <cell r="L211">
            <v>19.3552</v>
          </cell>
          <cell r="M211">
            <v>6.4800000000001745E-2</v>
          </cell>
          <cell r="N211">
            <v>3.3479375051665983E-3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1</v>
          </cell>
          <cell r="AB211">
            <v>1000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 t="str">
            <v>NTD</v>
          </cell>
          <cell r="AI211">
            <v>1</v>
          </cell>
          <cell r="AJ211">
            <v>0</v>
          </cell>
          <cell r="AK211">
            <v>19.420000000000002</v>
          </cell>
          <cell r="AL211">
            <v>19.420000000000002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0.97629999999999995</v>
          </cell>
          <cell r="AZ211">
            <v>0</v>
          </cell>
          <cell r="BA211">
            <v>0</v>
          </cell>
        </row>
        <row r="212">
          <cell r="H212" t="str">
            <v>ETF</v>
          </cell>
          <cell r="I212" t="str">
            <v>00719B</v>
          </cell>
          <cell r="J212" t="str">
            <v>元大美債1-3</v>
          </cell>
          <cell r="K212">
            <v>32.15</v>
          </cell>
          <cell r="L212">
            <v>32.177799999999998</v>
          </cell>
          <cell r="M212">
            <v>-2.7799999999999159E-2</v>
          </cell>
          <cell r="N212">
            <v>-8.6394967959269042E-4</v>
          </cell>
          <cell r="O212">
            <v>225.24459999999999</v>
          </cell>
          <cell r="P212">
            <v>225.05</v>
          </cell>
          <cell r="Q212">
            <v>70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70</v>
          </cell>
          <cell r="AA212">
            <v>1</v>
          </cell>
          <cell r="AB212">
            <v>1000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 t="str">
            <v>NTD</v>
          </cell>
          <cell r="AI212">
            <v>1</v>
          </cell>
          <cell r="AJ212">
            <v>70</v>
          </cell>
          <cell r="AK212">
            <v>32.270000000000003</v>
          </cell>
          <cell r="AL212">
            <v>32.270000000000003</v>
          </cell>
          <cell r="AM212">
            <v>0</v>
          </cell>
          <cell r="AN212">
            <v>0</v>
          </cell>
          <cell r="AO212">
            <v>-0.84000000000003183</v>
          </cell>
          <cell r="AP212">
            <v>0</v>
          </cell>
          <cell r="AQ212">
            <v>-0.84000000000003183</v>
          </cell>
          <cell r="AR212">
            <v>-0.19459999999999411</v>
          </cell>
          <cell r="AS212">
            <v>0</v>
          </cell>
          <cell r="AT212">
            <v>-0.19459999999999411</v>
          </cell>
          <cell r="AU212">
            <v>-0.64540000000003772</v>
          </cell>
          <cell r="AV212">
            <v>0</v>
          </cell>
          <cell r="AW212">
            <v>-27.116742998762636</v>
          </cell>
          <cell r="AX212">
            <v>0.98</v>
          </cell>
          <cell r="AY212">
            <v>0</v>
          </cell>
          <cell r="AZ212">
            <v>0</v>
          </cell>
          <cell r="BA212">
            <v>0</v>
          </cell>
        </row>
        <row r="213">
          <cell r="H213" t="str">
            <v>ETF</v>
          </cell>
          <cell r="I213" t="str">
            <v>00720B</v>
          </cell>
          <cell r="J213" t="str">
            <v>元大投資級公司債</v>
          </cell>
          <cell r="K213">
            <v>45.26</v>
          </cell>
          <cell r="L213">
            <v>45.4711</v>
          </cell>
          <cell r="M213">
            <v>-0.21110000000000184</v>
          </cell>
          <cell r="N213">
            <v>-4.6425091981501243E-3</v>
          </cell>
          <cell r="O213">
            <v>582.03008</v>
          </cell>
          <cell r="P213">
            <v>579.32799999999997</v>
          </cell>
          <cell r="Q213">
            <v>85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43</v>
          </cell>
          <cell r="W213">
            <v>0</v>
          </cell>
          <cell r="X213">
            <v>45.265813953488369</v>
          </cell>
          <cell r="Y213">
            <v>0</v>
          </cell>
          <cell r="Z213">
            <v>128</v>
          </cell>
          <cell r="AA213">
            <v>1</v>
          </cell>
          <cell r="AB213">
            <v>1000</v>
          </cell>
          <cell r="AC213">
            <v>45.265813953488369</v>
          </cell>
          <cell r="AD213">
            <v>0</v>
          </cell>
          <cell r="AE213">
            <v>194.64299999999997</v>
          </cell>
          <cell r="AF213">
            <v>0</v>
          </cell>
          <cell r="AG213">
            <v>194.64299999999997</v>
          </cell>
          <cell r="AH213" t="str">
            <v>NTD</v>
          </cell>
          <cell r="AI213">
            <v>1</v>
          </cell>
          <cell r="AJ213">
            <v>85</v>
          </cell>
          <cell r="AK213">
            <v>45.49</v>
          </cell>
          <cell r="AL213">
            <v>45.64</v>
          </cell>
          <cell r="AM213">
            <v>-0.14999999999999858</v>
          </cell>
          <cell r="AN213">
            <v>-3.2865907099035585E-3</v>
          </cell>
          <cell r="AO213">
            <v>-1.9800000000000282</v>
          </cell>
          <cell r="AP213">
            <v>0</v>
          </cell>
          <cell r="AQ213">
            <v>-1.9800000000000282</v>
          </cell>
          <cell r="AR213">
            <v>-0.51935000000002773</v>
          </cell>
          <cell r="AS213">
            <v>-2.4999999999994315E-2</v>
          </cell>
          <cell r="AT213">
            <v>-0.54435000000002209</v>
          </cell>
          <cell r="AU213">
            <v>-1.4356500000000061</v>
          </cell>
          <cell r="AV213">
            <v>0</v>
          </cell>
          <cell r="AW213">
            <v>-47.387224795881977</v>
          </cell>
          <cell r="AX213">
            <v>0.99719999999999998</v>
          </cell>
          <cell r="AY213">
            <v>0</v>
          </cell>
          <cell r="AZ213">
            <v>0</v>
          </cell>
          <cell r="BA213">
            <v>0</v>
          </cell>
        </row>
        <row r="214">
          <cell r="H214" t="str">
            <v>ETF</v>
          </cell>
          <cell r="I214" t="str">
            <v>00721B</v>
          </cell>
          <cell r="J214" t="str">
            <v>元大中國債3-5</v>
          </cell>
          <cell r="K214">
            <v>44.54</v>
          </cell>
          <cell r="L214">
            <v>44.462299999999999</v>
          </cell>
          <cell r="M214">
            <v>7.7700000000000102E-2</v>
          </cell>
          <cell r="N214">
            <v>1.7475479226221058E-3</v>
          </cell>
          <cell r="O214">
            <v>560.22497999999996</v>
          </cell>
          <cell r="P214">
            <v>561.20399999999995</v>
          </cell>
          <cell r="Q214">
            <v>126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126</v>
          </cell>
          <cell r="AA214">
            <v>1</v>
          </cell>
          <cell r="AB214">
            <v>1000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 t="str">
            <v>NTD</v>
          </cell>
          <cell r="AI214">
            <v>1</v>
          </cell>
          <cell r="AJ214">
            <v>126</v>
          </cell>
          <cell r="AK214">
            <v>44.71</v>
          </cell>
          <cell r="AL214">
            <v>44.66</v>
          </cell>
          <cell r="AM214">
            <v>5.0000000000004263E-2</v>
          </cell>
          <cell r="AN214">
            <v>1.1195700850874513E-3</v>
          </cell>
          <cell r="AO214">
            <v>-2.1420000000000217</v>
          </cell>
          <cell r="AP214">
            <v>0</v>
          </cell>
          <cell r="AQ214">
            <v>-2.1420000000000217</v>
          </cell>
          <cell r="AR214">
            <v>0.34901999999994759</v>
          </cell>
          <cell r="AS214">
            <v>0</v>
          </cell>
          <cell r="AT214">
            <v>0.34901999999994759</v>
          </cell>
          <cell r="AU214">
            <v>-2.4910199999999691</v>
          </cell>
          <cell r="AV214">
            <v>0</v>
          </cell>
          <cell r="AW214">
            <v>-4.4073817668918069</v>
          </cell>
          <cell r="AX214">
            <v>0</v>
          </cell>
          <cell r="AY214">
            <v>0.99329999999999996</v>
          </cell>
          <cell r="AZ214">
            <v>0</v>
          </cell>
          <cell r="BA214">
            <v>0</v>
          </cell>
        </row>
        <row r="215">
          <cell r="H215" t="str">
            <v>ETF</v>
          </cell>
          <cell r="I215" t="str">
            <v>00722B</v>
          </cell>
          <cell r="J215" t="str">
            <v>群益15年IG電信債</v>
          </cell>
          <cell r="K215">
            <v>49.42</v>
          </cell>
          <cell r="L215">
            <v>49.419400000000003</v>
          </cell>
          <cell r="M215">
            <v>5.9999999999860165E-4</v>
          </cell>
          <cell r="N215">
            <v>1.2140981072272794E-5</v>
          </cell>
          <cell r="O215">
            <v>468.99010600000003</v>
          </cell>
          <cell r="P215">
            <v>468.99580000000009</v>
          </cell>
          <cell r="Q215">
            <v>96.9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50</v>
          </cell>
          <cell r="W215">
            <v>52</v>
          </cell>
          <cell r="X215">
            <v>49.48</v>
          </cell>
          <cell r="Y215">
            <v>49.479230769230767</v>
          </cell>
          <cell r="Z215">
            <v>94.9</v>
          </cell>
          <cell r="AA215">
            <v>1</v>
          </cell>
          <cell r="AB215">
            <v>1000</v>
          </cell>
          <cell r="AC215">
            <v>49.48</v>
          </cell>
          <cell r="AD215">
            <v>49.479230769230767</v>
          </cell>
          <cell r="AE215">
            <v>247.4</v>
          </cell>
          <cell r="AF215">
            <v>257.29199999999997</v>
          </cell>
          <cell r="AG215">
            <v>-9.8919999999999675</v>
          </cell>
          <cell r="AH215" t="str">
            <v>NTD</v>
          </cell>
          <cell r="AI215">
            <v>1</v>
          </cell>
          <cell r="AJ215">
            <v>96.9</v>
          </cell>
          <cell r="AK215">
            <v>49.59</v>
          </cell>
          <cell r="AL215">
            <v>49.7</v>
          </cell>
          <cell r="AM215">
            <v>-0.10999999999999943</v>
          </cell>
          <cell r="AN215">
            <v>-2.2132796780683917E-3</v>
          </cell>
          <cell r="AO215">
            <v>-1.8965920000000109</v>
          </cell>
          <cell r="AP215">
            <v>0.25729200000000002</v>
          </cell>
          <cell r="AQ215">
            <v>-1.6393000000000109</v>
          </cell>
          <cell r="AR215">
            <v>1.071713999999981</v>
          </cell>
          <cell r="AS215">
            <v>1.1846153846153128E-2</v>
          </cell>
          <cell r="AT215">
            <v>1.0835601538461341</v>
          </cell>
          <cell r="AU215">
            <v>-2.7190139999999974</v>
          </cell>
          <cell r="AV215">
            <v>-3.8461538461476152E-3</v>
          </cell>
          <cell r="AW215">
            <v>-58.915512459598773</v>
          </cell>
          <cell r="AX215">
            <v>0.99870000000000003</v>
          </cell>
          <cell r="AY215">
            <v>0</v>
          </cell>
          <cell r="AZ215">
            <v>0</v>
          </cell>
          <cell r="BA215">
            <v>0</v>
          </cell>
        </row>
        <row r="216">
          <cell r="H216" t="str">
            <v>ETF</v>
          </cell>
          <cell r="I216" t="str">
            <v>00723B</v>
          </cell>
          <cell r="J216" t="str">
            <v>群益15年IG科技債</v>
          </cell>
          <cell r="K216">
            <v>45.95</v>
          </cell>
          <cell r="L216">
            <v>45.675199999999997</v>
          </cell>
          <cell r="M216">
            <v>0.27480000000000615</v>
          </cell>
          <cell r="N216">
            <v>6.0163940168844743E-3</v>
          </cell>
          <cell r="O216">
            <v>137.02559999999997</v>
          </cell>
          <cell r="P216">
            <v>137.85</v>
          </cell>
          <cell r="Q216">
            <v>33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50</v>
          </cell>
          <cell r="W216">
            <v>53</v>
          </cell>
          <cell r="X216">
            <v>45.97</v>
          </cell>
          <cell r="Y216">
            <v>45.972452830188679</v>
          </cell>
          <cell r="Z216">
            <v>30</v>
          </cell>
          <cell r="AA216">
            <v>1</v>
          </cell>
          <cell r="AB216">
            <v>1000</v>
          </cell>
          <cell r="AC216">
            <v>45.97</v>
          </cell>
          <cell r="AD216">
            <v>45.972452830188679</v>
          </cell>
          <cell r="AE216">
            <v>229.85</v>
          </cell>
          <cell r="AF216">
            <v>243.654</v>
          </cell>
          <cell r="AG216">
            <v>-13.804000000000002</v>
          </cell>
          <cell r="AH216" t="str">
            <v>NTD</v>
          </cell>
          <cell r="AI216">
            <v>1</v>
          </cell>
          <cell r="AJ216">
            <v>33</v>
          </cell>
          <cell r="AK216">
            <v>46.37</v>
          </cell>
          <cell r="AL216">
            <v>46.34</v>
          </cell>
          <cell r="AM216">
            <v>2.9999999999994031E-2</v>
          </cell>
          <cell r="AN216">
            <v>6.4738886491144676E-4</v>
          </cell>
          <cell r="AO216">
            <v>-1.6106539999999778</v>
          </cell>
          <cell r="AP216">
            <v>0.24365400000000001</v>
          </cell>
          <cell r="AQ216">
            <v>-1.3669999999999778</v>
          </cell>
          <cell r="AR216">
            <v>0.80784000000003997</v>
          </cell>
          <cell r="AS216">
            <v>6.7358490566029163E-3</v>
          </cell>
          <cell r="AT216">
            <v>0.81457584905664293</v>
          </cell>
          <cell r="AU216">
            <v>-2.1938400000000224</v>
          </cell>
          <cell r="AV216">
            <v>1.2264150943401844E-2</v>
          </cell>
          <cell r="AW216">
            <v>-18.544691280694742</v>
          </cell>
          <cell r="AX216">
            <v>0.99</v>
          </cell>
          <cell r="AY216">
            <v>0</v>
          </cell>
          <cell r="AZ216">
            <v>0</v>
          </cell>
          <cell r="BA216">
            <v>0</v>
          </cell>
        </row>
        <row r="217">
          <cell r="H217" t="str">
            <v>ETF</v>
          </cell>
          <cell r="I217" t="str">
            <v>00724B</v>
          </cell>
          <cell r="J217" t="str">
            <v>群益10年IG金融債</v>
          </cell>
          <cell r="K217">
            <v>44.14</v>
          </cell>
          <cell r="L217">
            <v>44.119300000000003</v>
          </cell>
          <cell r="M217">
            <v>2.0699999999997942E-2</v>
          </cell>
          <cell r="N217">
            <v>4.6918242129856402E-4</v>
          </cell>
          <cell r="O217">
            <v>370.60212000000001</v>
          </cell>
          <cell r="P217">
            <v>370.77600000000001</v>
          </cell>
          <cell r="Q217">
            <v>88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50</v>
          </cell>
          <cell r="W217">
            <v>54</v>
          </cell>
          <cell r="X217">
            <v>44.18</v>
          </cell>
          <cell r="Y217">
            <v>44.177962962962965</v>
          </cell>
          <cell r="Z217">
            <v>84</v>
          </cell>
          <cell r="AA217">
            <v>1</v>
          </cell>
          <cell r="AB217">
            <v>1000</v>
          </cell>
          <cell r="AC217">
            <v>44.18</v>
          </cell>
          <cell r="AD217">
            <v>44.177962962962965</v>
          </cell>
          <cell r="AE217">
            <v>220.9</v>
          </cell>
          <cell r="AF217">
            <v>238.56100000000001</v>
          </cell>
          <cell r="AG217">
            <v>-17.661000000000001</v>
          </cell>
          <cell r="AH217" t="str">
            <v>NTD</v>
          </cell>
          <cell r="AI217">
            <v>1</v>
          </cell>
          <cell r="AJ217">
            <v>88</v>
          </cell>
          <cell r="AK217">
            <v>44.03</v>
          </cell>
          <cell r="AL217">
            <v>44.01</v>
          </cell>
          <cell r="AM217">
            <v>2.0000000000003126E-2</v>
          </cell>
          <cell r="AN217">
            <v>4.5444217223367112E-4</v>
          </cell>
          <cell r="AO217">
            <v>0.73443900000000883</v>
          </cell>
          <cell r="AP217">
            <v>0.23856100000000002</v>
          </cell>
          <cell r="AQ217">
            <v>0.97300000000000886</v>
          </cell>
          <cell r="AR217">
            <v>6.1599999999543799E-3</v>
          </cell>
          <cell r="AS217">
            <v>1.5185185185185902E-2</v>
          </cell>
          <cell r="AT217">
            <v>2.1345185185140281E-2</v>
          </cell>
          <cell r="AU217">
            <v>0.96184000000004055</v>
          </cell>
          <cell r="AV217">
            <v>-1.0185185185171974E-2</v>
          </cell>
          <cell r="AW217">
            <v>-47.250653902589228</v>
          </cell>
          <cell r="AX217">
            <v>0.996</v>
          </cell>
          <cell r="AY217">
            <v>0</v>
          </cell>
          <cell r="AZ217">
            <v>0</v>
          </cell>
          <cell r="BA217">
            <v>0</v>
          </cell>
        </row>
        <row r="218">
          <cell r="H218" t="str">
            <v>ETF</v>
          </cell>
          <cell r="I218" t="str">
            <v>00725B</v>
          </cell>
          <cell r="J218" t="str">
            <v>國泰投資級公司債</v>
          </cell>
          <cell r="K218">
            <v>43.84</v>
          </cell>
          <cell r="L218">
            <v>43.873699999999999</v>
          </cell>
          <cell r="M218">
            <v>-3.3699999999996066E-2</v>
          </cell>
          <cell r="N218">
            <v>-7.6811392702225145E-4</v>
          </cell>
          <cell r="O218">
            <v>1228.4636</v>
          </cell>
          <cell r="P218">
            <v>1227.52</v>
          </cell>
          <cell r="Q218">
            <v>317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53</v>
          </cell>
          <cell r="W218">
            <v>90</v>
          </cell>
          <cell r="X218">
            <v>43.935849056603772</v>
          </cell>
          <cell r="Y218">
            <v>43.94222222222222</v>
          </cell>
          <cell r="Z218">
            <v>280</v>
          </cell>
          <cell r="AA218">
            <v>1</v>
          </cell>
          <cell r="AB218">
            <v>1000</v>
          </cell>
          <cell r="AC218">
            <v>43.935849056603772</v>
          </cell>
          <cell r="AD218">
            <v>43.94222222222222</v>
          </cell>
          <cell r="AE218">
            <v>232.86</v>
          </cell>
          <cell r="AF218">
            <v>395.47999999999996</v>
          </cell>
          <cell r="AG218">
            <v>-162.61999999999995</v>
          </cell>
          <cell r="AH218" t="str">
            <v>NTD</v>
          </cell>
          <cell r="AI218">
            <v>1</v>
          </cell>
          <cell r="AJ218">
            <v>317</v>
          </cell>
          <cell r="AK218">
            <v>43.84</v>
          </cell>
          <cell r="AL218">
            <v>43.92</v>
          </cell>
          <cell r="AM218">
            <v>-7.9999999999998295E-2</v>
          </cell>
          <cell r="AN218">
            <v>-1.8214936247722413E-3</v>
          </cell>
          <cell r="AO218">
            <v>1.6519999999980495E-2</v>
          </cell>
          <cell r="AP218">
            <v>0.39548</v>
          </cell>
          <cell r="AQ218">
            <v>0.41199999999998049</v>
          </cell>
          <cell r="AR218">
            <v>1.4677100000000707</v>
          </cell>
          <cell r="AS218">
            <v>0.37822222222220248</v>
          </cell>
          <cell r="AT218">
            <v>1.8459322222222732</v>
          </cell>
          <cell r="AU218">
            <v>-1.4677100000000707</v>
          </cell>
          <cell r="AV218">
            <v>3.3777777777778017E-2</v>
          </cell>
          <cell r="AW218">
            <v>-170.16864362944185</v>
          </cell>
          <cell r="AX218">
            <v>0.99780000000000002</v>
          </cell>
          <cell r="AY218">
            <v>0</v>
          </cell>
          <cell r="AZ218">
            <v>0</v>
          </cell>
          <cell r="BA218">
            <v>0</v>
          </cell>
        </row>
        <row r="219">
          <cell r="H219" t="str">
            <v>ETF</v>
          </cell>
          <cell r="I219" t="str">
            <v>00726B</v>
          </cell>
          <cell r="J219" t="str">
            <v>國泰5Y+新興債</v>
          </cell>
          <cell r="K219">
            <v>43.75</v>
          </cell>
          <cell r="L219">
            <v>43.758400000000002</v>
          </cell>
          <cell r="M219">
            <v>-8.4000000000017394E-3</v>
          </cell>
          <cell r="N219">
            <v>-1.9196314307656781E-4</v>
          </cell>
          <cell r="O219">
            <v>-840.16128000000003</v>
          </cell>
          <cell r="P219">
            <v>-840</v>
          </cell>
          <cell r="Q219">
            <v>2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56</v>
          </cell>
          <cell r="W219">
            <v>250</v>
          </cell>
          <cell r="X219">
            <v>43.888750000000002</v>
          </cell>
          <cell r="Y219">
            <v>43.82</v>
          </cell>
          <cell r="Z219">
            <v>-192</v>
          </cell>
          <cell r="AA219">
            <v>1</v>
          </cell>
          <cell r="AB219">
            <v>1000</v>
          </cell>
          <cell r="AC219">
            <v>43.888750000000002</v>
          </cell>
          <cell r="AD219">
            <v>43.82</v>
          </cell>
          <cell r="AE219">
            <v>245.77699999999999</v>
          </cell>
          <cell r="AF219">
            <v>1095.5</v>
          </cell>
          <cell r="AG219">
            <v>-849.72299999999996</v>
          </cell>
          <cell r="AH219" t="str">
            <v>NTD</v>
          </cell>
          <cell r="AI219">
            <v>1</v>
          </cell>
          <cell r="AJ219">
            <v>2</v>
          </cell>
          <cell r="AK219">
            <v>43.64</v>
          </cell>
          <cell r="AL219">
            <v>43.6</v>
          </cell>
          <cell r="AM219">
            <v>3.9999999999999147E-2</v>
          </cell>
          <cell r="AN219">
            <v>9.1743119266052275E-4</v>
          </cell>
          <cell r="AO219">
            <v>-0.10050000000000248</v>
          </cell>
          <cell r="AP219">
            <v>1.0954999999999999</v>
          </cell>
          <cell r="AQ219">
            <v>0.99499999999999744</v>
          </cell>
          <cell r="AR219">
            <v>-9.680000000000178E-3</v>
          </cell>
          <cell r="AS219">
            <v>1.3580000000000054</v>
          </cell>
          <cell r="AT219">
            <v>1.3483200000000053</v>
          </cell>
          <cell r="AU219">
            <v>3.1680000000000062E-2</v>
          </cell>
          <cell r="AV219">
            <v>-0.385000000000008</v>
          </cell>
          <cell r="AW219">
            <v>-1.0636605470498259</v>
          </cell>
          <cell r="AX219">
            <v>0.99580000000000002</v>
          </cell>
          <cell r="AY219">
            <v>0</v>
          </cell>
          <cell r="AZ219">
            <v>0</v>
          </cell>
          <cell r="BA219">
            <v>0</v>
          </cell>
        </row>
        <row r="220">
          <cell r="H220" t="str">
            <v>ETF</v>
          </cell>
          <cell r="I220" t="str">
            <v>00727B</v>
          </cell>
          <cell r="J220" t="str">
            <v>國泰1-5Y高收債</v>
          </cell>
          <cell r="K220">
            <v>39.21</v>
          </cell>
          <cell r="L220">
            <v>39.290599999999998</v>
          </cell>
          <cell r="M220">
            <v>-8.0599999999996896E-2</v>
          </cell>
          <cell r="N220">
            <v>-2.0513812464049153E-3</v>
          </cell>
          <cell r="O220">
            <v>1280.87356</v>
          </cell>
          <cell r="P220">
            <v>1278.2460000000001</v>
          </cell>
          <cell r="Q220">
            <v>286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90</v>
          </cell>
          <cell r="W220">
            <v>50</v>
          </cell>
          <cell r="X220">
            <v>39.230666666666664</v>
          </cell>
          <cell r="Y220">
            <v>39.25</v>
          </cell>
          <cell r="Z220">
            <v>326</v>
          </cell>
          <cell r="AA220">
            <v>1</v>
          </cell>
          <cell r="AB220">
            <v>1000</v>
          </cell>
          <cell r="AC220">
            <v>39.230666666666664</v>
          </cell>
          <cell r="AD220">
            <v>39.25</v>
          </cell>
          <cell r="AE220">
            <v>353.07599999999996</v>
          </cell>
          <cell r="AF220">
            <v>196.25</v>
          </cell>
          <cell r="AG220">
            <v>156.82599999999996</v>
          </cell>
          <cell r="AH220" t="str">
            <v>NTD</v>
          </cell>
          <cell r="AI220">
            <v>1</v>
          </cell>
          <cell r="AJ220">
            <v>286</v>
          </cell>
          <cell r="AK220">
            <v>39.15</v>
          </cell>
          <cell r="AL220">
            <v>39.19</v>
          </cell>
          <cell r="AM220">
            <v>-3.9999999999999147E-2</v>
          </cell>
          <cell r="AN220">
            <v>-1.0206685378922886E-3</v>
          </cell>
          <cell r="AO220">
            <v>1.533750000000089</v>
          </cell>
          <cell r="AP220">
            <v>0.19625000000000001</v>
          </cell>
          <cell r="AQ220">
            <v>1.730000000000089</v>
          </cell>
          <cell r="AR220">
            <v>-1.1611599999999356</v>
          </cell>
          <cell r="AS220">
            <v>-8.266666666665401E-2</v>
          </cell>
          <cell r="AT220">
            <v>-1.2438266666665896</v>
          </cell>
          <cell r="AU220">
            <v>2.8771600000000004</v>
          </cell>
          <cell r="AV220">
            <v>9.6666666666678211E-2</v>
          </cell>
          <cell r="AW220">
            <v>-135.524212530922</v>
          </cell>
          <cell r="AX220">
            <v>0.98709999999999998</v>
          </cell>
          <cell r="AY220">
            <v>0</v>
          </cell>
          <cell r="AZ220">
            <v>0</v>
          </cell>
          <cell r="BA220">
            <v>0</v>
          </cell>
        </row>
        <row r="221">
          <cell r="H221" t="str">
            <v>ETF</v>
          </cell>
          <cell r="I221" t="str">
            <v>00732</v>
          </cell>
          <cell r="J221" t="str">
            <v>國泰RMB短期報酬</v>
          </cell>
          <cell r="K221">
            <v>37.840000000000003</v>
          </cell>
          <cell r="L221">
            <v>37.795400000000001</v>
          </cell>
          <cell r="M221">
            <v>4.4600000000002638E-2</v>
          </cell>
          <cell r="N221">
            <v>1.1800377823756314E-3</v>
          </cell>
          <cell r="O221">
            <v>283.46550000000002</v>
          </cell>
          <cell r="P221">
            <v>283.80000000000007</v>
          </cell>
          <cell r="Q221">
            <v>75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50</v>
          </cell>
          <cell r="W221">
            <v>50</v>
          </cell>
          <cell r="X221">
            <v>37.85</v>
          </cell>
          <cell r="Y221">
            <v>37.85</v>
          </cell>
          <cell r="Z221">
            <v>75</v>
          </cell>
          <cell r="AA221">
            <v>1</v>
          </cell>
          <cell r="AB221">
            <v>1000</v>
          </cell>
          <cell r="AC221">
            <v>37.85</v>
          </cell>
          <cell r="AD221">
            <v>37.85</v>
          </cell>
          <cell r="AE221">
            <v>189.25</v>
          </cell>
          <cell r="AF221">
            <v>189.25</v>
          </cell>
          <cell r="AG221">
            <v>0</v>
          </cell>
          <cell r="AH221" t="str">
            <v>NTD</v>
          </cell>
          <cell r="AI221">
            <v>1</v>
          </cell>
          <cell r="AJ221">
            <v>75</v>
          </cell>
          <cell r="AK221">
            <v>37.85</v>
          </cell>
          <cell r="AL221">
            <v>37.840000000000003</v>
          </cell>
          <cell r="AM221">
            <v>9.9999999999980105E-3</v>
          </cell>
          <cell r="AN221">
            <v>2.6427061310774214E-4</v>
          </cell>
          <cell r="AO221">
            <v>-0.26424999999998511</v>
          </cell>
          <cell r="AP221">
            <v>0.18925</v>
          </cell>
          <cell r="AQ221">
            <v>-7.4999999999985079E-2</v>
          </cell>
          <cell r="AR221">
            <v>0.2595000000000347</v>
          </cell>
          <cell r="AS221">
            <v>0</v>
          </cell>
          <cell r="AT221">
            <v>0.2595000000000347</v>
          </cell>
          <cell r="AU221">
            <v>-0.33450000000001978</v>
          </cell>
          <cell r="AV221">
            <v>0</v>
          </cell>
          <cell r="AW221">
            <v>-2.2346778493785546</v>
          </cell>
          <cell r="AX221">
            <v>0</v>
          </cell>
          <cell r="AY221">
            <v>0.99860000000000004</v>
          </cell>
          <cell r="AZ221">
            <v>0</v>
          </cell>
          <cell r="BA221">
            <v>0</v>
          </cell>
        </row>
        <row r="222">
          <cell r="H222" t="str">
            <v>ETF</v>
          </cell>
          <cell r="I222" t="str">
            <v>00734B</v>
          </cell>
          <cell r="J222" t="str">
            <v>台新JPM新興債</v>
          </cell>
          <cell r="K222">
            <v>21.25</v>
          </cell>
          <cell r="L222">
            <v>21.16</v>
          </cell>
          <cell r="M222">
            <v>8.9999999999999858E-2</v>
          </cell>
          <cell r="N222">
            <v>4.2533081285445196E-3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1</v>
          </cell>
          <cell r="AB222">
            <v>1000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 t="str">
            <v>NTD</v>
          </cell>
          <cell r="AI222">
            <v>1</v>
          </cell>
          <cell r="AJ222">
            <v>0</v>
          </cell>
          <cell r="AK222">
            <v>21.19</v>
          </cell>
          <cell r="AL222">
            <v>21.15</v>
          </cell>
          <cell r="AM222">
            <v>4.00000000000027E-2</v>
          </cell>
          <cell r="AN222">
            <v>1.8912529550829671E-3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0.98809999999999998</v>
          </cell>
          <cell r="AY222">
            <v>0</v>
          </cell>
          <cell r="AZ222">
            <v>0</v>
          </cell>
          <cell r="BA222">
            <v>0</v>
          </cell>
        </row>
        <row r="223">
          <cell r="H223" t="str">
            <v>ETF</v>
          </cell>
          <cell r="I223" t="str">
            <v>00740B</v>
          </cell>
          <cell r="J223" t="str">
            <v>富邦全球投等債</v>
          </cell>
          <cell r="K223">
            <v>48.01</v>
          </cell>
          <cell r="L223">
            <v>48.142499999999998</v>
          </cell>
          <cell r="M223">
            <v>-0.13250000000000028</v>
          </cell>
          <cell r="N223">
            <v>-2.7522459365425522E-3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1</v>
          </cell>
          <cell r="AB223">
            <v>1000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 t="str">
            <v>NTD</v>
          </cell>
          <cell r="AI223">
            <v>1</v>
          </cell>
          <cell r="AJ223">
            <v>0</v>
          </cell>
          <cell r="AK223">
            <v>48.15</v>
          </cell>
          <cell r="AL223">
            <v>48.25</v>
          </cell>
          <cell r="AM223">
            <v>-0.10000000000000142</v>
          </cell>
          <cell r="AN223">
            <v>-2.0725388601036121E-3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0.98280000000000001</v>
          </cell>
          <cell r="AY223">
            <v>0</v>
          </cell>
          <cell r="AZ223">
            <v>0</v>
          </cell>
          <cell r="BA223">
            <v>0</v>
          </cell>
        </row>
        <row r="224">
          <cell r="H224" t="str">
            <v>ETF</v>
          </cell>
          <cell r="I224" t="str">
            <v>00741B</v>
          </cell>
          <cell r="J224" t="str">
            <v>富邦全球高收債</v>
          </cell>
          <cell r="K224">
            <v>38.25</v>
          </cell>
          <cell r="L224">
            <v>38.6143</v>
          </cell>
          <cell r="M224">
            <v>-0.36430000000000007</v>
          </cell>
          <cell r="N224">
            <v>-9.4343287331377645E-3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1</v>
          </cell>
          <cell r="AB224">
            <v>1000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 t="str">
            <v>NTD</v>
          </cell>
          <cell r="AI224">
            <v>1</v>
          </cell>
          <cell r="AJ224">
            <v>0</v>
          </cell>
          <cell r="AK224">
            <v>38.19</v>
          </cell>
          <cell r="AL224">
            <v>38.409999999999997</v>
          </cell>
          <cell r="AM224">
            <v>-0.21999999999999886</v>
          </cell>
          <cell r="AN224">
            <v>-5.7276750846133595E-3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0.99409999999999998</v>
          </cell>
          <cell r="AY224">
            <v>0</v>
          </cell>
          <cell r="AZ224">
            <v>0</v>
          </cell>
          <cell r="BA224">
            <v>0</v>
          </cell>
        </row>
        <row r="225">
          <cell r="H225" t="str">
            <v>ETF</v>
          </cell>
          <cell r="I225" t="str">
            <v>00744B</v>
          </cell>
          <cell r="J225" t="str">
            <v>國泰中國政金債5+</v>
          </cell>
          <cell r="K225">
            <v>40.9</v>
          </cell>
          <cell r="L225">
            <v>40.9178</v>
          </cell>
          <cell r="M225">
            <v>-1.7800000000001148E-2</v>
          </cell>
          <cell r="N225">
            <v>-4.3501850050586821E-4</v>
          </cell>
          <cell r="O225">
            <v>887.91625999999997</v>
          </cell>
          <cell r="P225">
            <v>887.53</v>
          </cell>
          <cell r="Q225">
            <v>233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50</v>
          </cell>
          <cell r="W225">
            <v>66</v>
          </cell>
          <cell r="X225">
            <v>40.9</v>
          </cell>
          <cell r="Y225">
            <v>40.899090909090908</v>
          </cell>
          <cell r="Z225">
            <v>217</v>
          </cell>
          <cell r="AA225">
            <v>1</v>
          </cell>
          <cell r="AB225">
            <v>1000</v>
          </cell>
          <cell r="AC225">
            <v>40.9</v>
          </cell>
          <cell r="AD225">
            <v>40.899090909090908</v>
          </cell>
          <cell r="AE225">
            <v>204.5</v>
          </cell>
          <cell r="AF225">
            <v>269.93400000000003</v>
          </cell>
          <cell r="AG225">
            <v>-65.434000000000026</v>
          </cell>
          <cell r="AH225" t="str">
            <v>NTD</v>
          </cell>
          <cell r="AI225">
            <v>1</v>
          </cell>
          <cell r="AJ225">
            <v>233</v>
          </cell>
          <cell r="AK225">
            <v>41.01</v>
          </cell>
          <cell r="AL225">
            <v>40.97</v>
          </cell>
          <cell r="AM225">
            <v>3.9999999999999147E-2</v>
          </cell>
          <cell r="AN225">
            <v>9.763241396143485E-4</v>
          </cell>
          <cell r="AO225">
            <v>-2.8389339999999814</v>
          </cell>
          <cell r="AP225">
            <v>0.26993400000000001</v>
          </cell>
          <cell r="AQ225">
            <v>-2.5689999999999813</v>
          </cell>
          <cell r="AR225">
            <v>-1.3467400000000069</v>
          </cell>
          <cell r="AS225">
            <v>-1.4545454545441317E-3</v>
          </cell>
          <cell r="AT225">
            <v>-1.348194545454551</v>
          </cell>
          <cell r="AU225">
            <v>-1.2162599999999799</v>
          </cell>
          <cell r="AV225">
            <v>-4.5454545454504114E-3</v>
          </cell>
          <cell r="AW225">
            <v>-7.4519177186245065</v>
          </cell>
          <cell r="AX225">
            <v>0</v>
          </cell>
          <cell r="AY225">
            <v>0.99</v>
          </cell>
          <cell r="AZ225">
            <v>0</v>
          </cell>
          <cell r="BA225">
            <v>0</v>
          </cell>
        </row>
        <row r="226">
          <cell r="H226" t="str">
            <v>ETF</v>
          </cell>
          <cell r="I226" t="str">
            <v>00745B</v>
          </cell>
          <cell r="J226" t="str">
            <v>富邦中政債0-1</v>
          </cell>
          <cell r="K226">
            <v>38.83</v>
          </cell>
          <cell r="L226">
            <v>38.863</v>
          </cell>
          <cell r="M226">
            <v>-3.3000000000001251E-2</v>
          </cell>
          <cell r="N226">
            <v>-8.4913671101050081E-4</v>
          </cell>
          <cell r="O226">
            <v>1395.1817000000001</v>
          </cell>
          <cell r="P226">
            <v>1393.9970000000001</v>
          </cell>
          <cell r="Q226">
            <v>359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359</v>
          </cell>
          <cell r="AA226">
            <v>1</v>
          </cell>
          <cell r="AB226">
            <v>1000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 t="str">
            <v>NTD</v>
          </cell>
          <cell r="AI226">
            <v>1</v>
          </cell>
          <cell r="AJ226">
            <v>359</v>
          </cell>
          <cell r="AK226">
            <v>38.880000000000003</v>
          </cell>
          <cell r="AL226">
            <v>38.869999999999997</v>
          </cell>
          <cell r="AM226">
            <v>1.0000000000005116E-2</v>
          </cell>
          <cell r="AN226">
            <v>2.5726781579638036E-4</v>
          </cell>
          <cell r="AO226">
            <v>-1.7950000000001531</v>
          </cell>
          <cell r="AP226">
            <v>0</v>
          </cell>
          <cell r="AQ226">
            <v>-1.7950000000001531</v>
          </cell>
          <cell r="AR226">
            <v>-1.5437000000002286</v>
          </cell>
          <cell r="AS226">
            <v>0</v>
          </cell>
          <cell r="AT226">
            <v>-1.5437000000002286</v>
          </cell>
          <cell r="AU226">
            <v>-0.25129999999992453</v>
          </cell>
          <cell r="AV226">
            <v>0</v>
          </cell>
          <cell r="AW226">
            <v>-10.777658064053348</v>
          </cell>
          <cell r="AX226">
            <v>0</v>
          </cell>
          <cell r="AY226">
            <v>0.97950000000000004</v>
          </cell>
          <cell r="AZ226">
            <v>0</v>
          </cell>
          <cell r="BA226">
            <v>0</v>
          </cell>
        </row>
        <row r="227">
          <cell r="H227" t="str">
            <v>ETF</v>
          </cell>
          <cell r="I227" t="str">
            <v>00746B</v>
          </cell>
          <cell r="J227" t="str">
            <v>富邦A級公司債</v>
          </cell>
          <cell r="K227">
            <v>47.03</v>
          </cell>
          <cell r="L227">
            <v>47.073599999999999</v>
          </cell>
          <cell r="M227">
            <v>-4.3599999999997863E-2</v>
          </cell>
          <cell r="N227">
            <v>-9.262091703204911E-4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1</v>
          </cell>
          <cell r="AB227">
            <v>1000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 t="str">
            <v>NTD</v>
          </cell>
          <cell r="AI227">
            <v>1</v>
          </cell>
          <cell r="AJ227">
            <v>0</v>
          </cell>
          <cell r="AK227">
            <v>47.43</v>
          </cell>
          <cell r="AL227">
            <v>47.66</v>
          </cell>
          <cell r="AM227">
            <v>-0.22999999999999687</v>
          </cell>
          <cell r="AN227">
            <v>-4.8258497691984203E-3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0.98680000000000001</v>
          </cell>
          <cell r="AY227">
            <v>0</v>
          </cell>
          <cell r="AZ227">
            <v>0</v>
          </cell>
          <cell r="BA227">
            <v>0</v>
          </cell>
        </row>
        <row r="228">
          <cell r="H228" t="str">
            <v>ETF</v>
          </cell>
          <cell r="I228" t="str">
            <v>00747B</v>
          </cell>
          <cell r="J228" t="str">
            <v>FH中國政策債</v>
          </cell>
          <cell r="K228">
            <v>49.8</v>
          </cell>
          <cell r="L228">
            <v>49.708100000000002</v>
          </cell>
          <cell r="M228">
            <v>9.189999999999543E-2</v>
          </cell>
          <cell r="N228">
            <v>1.8487932550226294E-3</v>
          </cell>
          <cell r="O228">
            <v>407.60642000000001</v>
          </cell>
          <cell r="P228">
            <v>408.36</v>
          </cell>
          <cell r="Q228">
            <v>59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75</v>
          </cell>
          <cell r="W228">
            <v>52</v>
          </cell>
          <cell r="X228">
            <v>49.776000000000003</v>
          </cell>
          <cell r="Y228">
            <v>49.77</v>
          </cell>
          <cell r="Z228">
            <v>82</v>
          </cell>
          <cell r="AA228">
            <v>1</v>
          </cell>
          <cell r="AB228">
            <v>1000</v>
          </cell>
          <cell r="AC228">
            <v>49.776000000000003</v>
          </cell>
          <cell r="AD228">
            <v>49.769999999999996</v>
          </cell>
          <cell r="AE228">
            <v>373.32000000000005</v>
          </cell>
          <cell r="AF228">
            <v>258.80399999999997</v>
          </cell>
          <cell r="AG228">
            <v>114.51600000000008</v>
          </cell>
          <cell r="AH228" t="str">
            <v>NTD</v>
          </cell>
          <cell r="AI228">
            <v>1</v>
          </cell>
          <cell r="AJ228">
            <v>59</v>
          </cell>
          <cell r="AK228">
            <v>50.1</v>
          </cell>
          <cell r="AL228">
            <v>49.96</v>
          </cell>
          <cell r="AM228">
            <v>0.14000000000000057</v>
          </cell>
          <cell r="AN228">
            <v>2.802241793434801E-3</v>
          </cell>
          <cell r="AO228">
            <v>-2.0048040000000773</v>
          </cell>
          <cell r="AP228">
            <v>0.25880399999999998</v>
          </cell>
          <cell r="AQ228">
            <v>-1.7460000000000775</v>
          </cell>
          <cell r="AR228">
            <v>-0.28379000000003035</v>
          </cell>
          <cell r="AS228">
            <v>5.5199999999985747E-2</v>
          </cell>
          <cell r="AT228">
            <v>-0.22859000000004459</v>
          </cell>
          <cell r="AU228">
            <v>-1.4862099999999947</v>
          </cell>
          <cell r="AV228">
            <v>-3.1200000000038128E-2</v>
          </cell>
          <cell r="AW228">
            <v>-2.2687138664112783</v>
          </cell>
          <cell r="AX228">
            <v>0</v>
          </cell>
          <cell r="AY228">
            <v>0.97609999999999997</v>
          </cell>
          <cell r="AZ228">
            <v>0</v>
          </cell>
          <cell r="BA228">
            <v>0</v>
          </cell>
        </row>
        <row r="229">
          <cell r="H229" t="str">
            <v>ETF</v>
          </cell>
          <cell r="I229" t="str">
            <v>00748B</v>
          </cell>
          <cell r="J229" t="str">
            <v>凱基中國債3-10</v>
          </cell>
          <cell r="K229">
            <v>40.83</v>
          </cell>
          <cell r="L229">
            <v>40.9</v>
          </cell>
          <cell r="M229">
            <v>-7.0000000000000284E-2</v>
          </cell>
          <cell r="N229">
            <v>-1.7114914425427896E-3</v>
          </cell>
          <cell r="O229">
            <v>1214.73</v>
          </cell>
          <cell r="P229">
            <v>1212.6510000000001</v>
          </cell>
          <cell r="Q229">
            <v>297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50</v>
          </cell>
          <cell r="W229">
            <v>50</v>
          </cell>
          <cell r="X229">
            <v>40.83</v>
          </cell>
          <cell r="Y229">
            <v>40.83</v>
          </cell>
          <cell r="Z229">
            <v>297</v>
          </cell>
          <cell r="AA229">
            <v>1</v>
          </cell>
          <cell r="AB229">
            <v>1000</v>
          </cell>
          <cell r="AC229">
            <v>40.83</v>
          </cell>
          <cell r="AD229">
            <v>40.83</v>
          </cell>
          <cell r="AE229">
            <v>204.15</v>
          </cell>
          <cell r="AF229">
            <v>204.15</v>
          </cell>
          <cell r="AG229">
            <v>0</v>
          </cell>
          <cell r="AH229" t="str">
            <v>NTD</v>
          </cell>
          <cell r="AI229">
            <v>1</v>
          </cell>
          <cell r="AJ229">
            <v>297</v>
          </cell>
          <cell r="AK229">
            <v>40.89</v>
          </cell>
          <cell r="AL229">
            <v>41.02</v>
          </cell>
          <cell r="AM229">
            <v>-0.13000000000000256</v>
          </cell>
          <cell r="AN229">
            <v>-3.1691857630424813E-3</v>
          </cell>
          <cell r="AO229">
            <v>-1.9861500000000678</v>
          </cell>
          <cell r="AP229">
            <v>0.20415</v>
          </cell>
          <cell r="AQ229">
            <v>-1.7820000000000678</v>
          </cell>
          <cell r="AR229">
            <v>1.7820000000000678</v>
          </cell>
          <cell r="AS229">
            <v>0</v>
          </cell>
          <cell r="AT229">
            <v>1.7820000000000678</v>
          </cell>
          <cell r="AU229">
            <v>-3.5640000000001355</v>
          </cell>
          <cell r="AV229">
            <v>0</v>
          </cell>
          <cell r="AW229">
            <v>-9.302889393884854</v>
          </cell>
          <cell r="AX229">
            <v>0</v>
          </cell>
          <cell r="AY229">
            <v>0.96840000000000004</v>
          </cell>
          <cell r="AZ229">
            <v>0</v>
          </cell>
          <cell r="BA229">
            <v>0</v>
          </cell>
        </row>
        <row r="230">
          <cell r="H230" t="str">
            <v>ETF</v>
          </cell>
          <cell r="I230" t="str">
            <v>00749B</v>
          </cell>
          <cell r="J230" t="str">
            <v>凱基新興債10+</v>
          </cell>
          <cell r="K230">
            <v>46.45</v>
          </cell>
          <cell r="L230">
            <v>46.43</v>
          </cell>
          <cell r="M230">
            <v>2.0000000000003126E-2</v>
          </cell>
          <cell r="N230">
            <v>4.307559767391389E-4</v>
          </cell>
          <cell r="O230">
            <v>65.001999999999995</v>
          </cell>
          <cell r="P230">
            <v>65.030000000000015</v>
          </cell>
          <cell r="Q230">
            <v>14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50</v>
          </cell>
          <cell r="W230">
            <v>50</v>
          </cell>
          <cell r="X230">
            <v>46.45</v>
          </cell>
          <cell r="Y230">
            <v>46.45</v>
          </cell>
          <cell r="Z230">
            <v>14</v>
          </cell>
          <cell r="AA230">
            <v>1</v>
          </cell>
          <cell r="AB230">
            <v>1000</v>
          </cell>
          <cell r="AC230">
            <v>46.45</v>
          </cell>
          <cell r="AD230">
            <v>46.45</v>
          </cell>
          <cell r="AE230">
            <v>232.25</v>
          </cell>
          <cell r="AF230">
            <v>232.25</v>
          </cell>
          <cell r="AG230">
            <v>0</v>
          </cell>
          <cell r="AH230" t="str">
            <v>NTD</v>
          </cell>
          <cell r="AI230">
            <v>1</v>
          </cell>
          <cell r="AJ230">
            <v>14</v>
          </cell>
          <cell r="AK230">
            <v>46.65</v>
          </cell>
          <cell r="AL230">
            <v>46.46</v>
          </cell>
          <cell r="AM230">
            <v>0.18999999999999773</v>
          </cell>
          <cell r="AN230">
            <v>4.0895393887214748E-3</v>
          </cell>
          <cell r="AO230">
            <v>-0.5122499999999941</v>
          </cell>
          <cell r="AP230">
            <v>0.23225000000000001</v>
          </cell>
          <cell r="AQ230">
            <v>-0.27999999999999403</v>
          </cell>
          <cell r="AR230">
            <v>-0.23799999999999244</v>
          </cell>
          <cell r="AS230">
            <v>0</v>
          </cell>
          <cell r="AT230">
            <v>-0.23799999999999244</v>
          </cell>
          <cell r="AU230">
            <v>-4.2000000000001592E-2</v>
          </cell>
          <cell r="AV230">
            <v>0</v>
          </cell>
          <cell r="AW230">
            <v>-7.7794600669166467</v>
          </cell>
          <cell r="AX230">
            <v>0.97640000000000005</v>
          </cell>
          <cell r="AY230">
            <v>0</v>
          </cell>
          <cell r="AZ230">
            <v>0</v>
          </cell>
          <cell r="BA230">
            <v>0</v>
          </cell>
        </row>
        <row r="231">
          <cell r="H231" t="str">
            <v>ETF</v>
          </cell>
          <cell r="I231" t="str">
            <v>00750B</v>
          </cell>
          <cell r="J231" t="str">
            <v>凱基科技債10+</v>
          </cell>
          <cell r="K231">
            <v>47.13</v>
          </cell>
          <cell r="L231">
            <v>46.96</v>
          </cell>
          <cell r="M231">
            <v>0.17000000000000171</v>
          </cell>
          <cell r="N231">
            <v>3.6201022146507E-3</v>
          </cell>
          <cell r="O231">
            <v>413.24800000000005</v>
          </cell>
          <cell r="P231">
            <v>414.74400000000003</v>
          </cell>
          <cell r="Q231">
            <v>90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50</v>
          </cell>
          <cell r="W231">
            <v>52</v>
          </cell>
          <cell r="X231">
            <v>47</v>
          </cell>
          <cell r="Y231">
            <v>47.005000000000003</v>
          </cell>
          <cell r="Z231">
            <v>88</v>
          </cell>
          <cell r="AA231">
            <v>1</v>
          </cell>
          <cell r="AB231">
            <v>1000</v>
          </cell>
          <cell r="AC231">
            <v>47</v>
          </cell>
          <cell r="AD231">
            <v>47.005000000000003</v>
          </cell>
          <cell r="AE231">
            <v>235</v>
          </cell>
          <cell r="AF231">
            <v>244.42599999999999</v>
          </cell>
          <cell r="AG231">
            <v>-9.4259999999999877</v>
          </cell>
          <cell r="AH231" t="str">
            <v>NTD</v>
          </cell>
          <cell r="AI231">
            <v>1</v>
          </cell>
          <cell r="AJ231">
            <v>90</v>
          </cell>
          <cell r="AK231">
            <v>47.63</v>
          </cell>
          <cell r="AL231">
            <v>47.63</v>
          </cell>
          <cell r="AM231">
            <v>0</v>
          </cell>
          <cell r="AN231">
            <v>0</v>
          </cell>
          <cell r="AO231">
            <v>-4.7444259999999874</v>
          </cell>
          <cell r="AP231">
            <v>0.24442600000000003</v>
          </cell>
          <cell r="AQ231">
            <v>-4.4999999999999876</v>
          </cell>
          <cell r="AR231">
            <v>1.5300000000000153</v>
          </cell>
          <cell r="AS231">
            <v>-2.5000000000000001E-2</v>
          </cell>
          <cell r="AT231">
            <v>1.5050000000000154</v>
          </cell>
          <cell r="AU231">
            <v>-6.0300000000000153</v>
          </cell>
          <cell r="AV231">
            <v>2.500000000001279E-2</v>
          </cell>
          <cell r="AW231">
            <v>-51.7690745665424</v>
          </cell>
          <cell r="AX231">
            <v>0.9859</v>
          </cell>
          <cell r="AY231">
            <v>0</v>
          </cell>
          <cell r="AZ231">
            <v>0</v>
          </cell>
          <cell r="BA231">
            <v>0</v>
          </cell>
        </row>
        <row r="232">
          <cell r="H232" t="str">
            <v>ETF</v>
          </cell>
          <cell r="I232" t="str">
            <v>00751B</v>
          </cell>
          <cell r="J232" t="str">
            <v>元大AAA至A公司債</v>
          </cell>
          <cell r="K232">
            <v>47.87</v>
          </cell>
          <cell r="L232">
            <v>48.154400000000003</v>
          </cell>
          <cell r="M232">
            <v>-0.28440000000000509</v>
          </cell>
          <cell r="N232">
            <v>-5.9060023590784549E-3</v>
          </cell>
          <cell r="O232">
            <v>1170.15192</v>
          </cell>
          <cell r="P232">
            <v>1163.241</v>
          </cell>
          <cell r="Q232">
            <v>175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68</v>
          </cell>
          <cell r="W232">
            <v>0</v>
          </cell>
          <cell r="X232">
            <v>47.914558823529411</v>
          </cell>
          <cell r="Y232">
            <v>0</v>
          </cell>
          <cell r="Z232">
            <v>243</v>
          </cell>
          <cell r="AA232">
            <v>1</v>
          </cell>
          <cell r="AB232">
            <v>1000</v>
          </cell>
          <cell r="AC232">
            <v>47.914558823529411</v>
          </cell>
          <cell r="AD232">
            <v>0</v>
          </cell>
          <cell r="AE232">
            <v>325.81900000000002</v>
          </cell>
          <cell r="AF232">
            <v>0</v>
          </cell>
          <cell r="AG232">
            <v>325.81900000000002</v>
          </cell>
          <cell r="AH232" t="str">
            <v>NTD</v>
          </cell>
          <cell r="AI232">
            <v>1</v>
          </cell>
          <cell r="AJ232">
            <v>175</v>
          </cell>
          <cell r="AK232">
            <v>48.76</v>
          </cell>
          <cell r="AL232">
            <v>48.84</v>
          </cell>
          <cell r="AM232">
            <v>-8.00000000000054E-2</v>
          </cell>
          <cell r="AN232">
            <v>-1.6380016380017626E-3</v>
          </cell>
          <cell r="AO232">
            <v>-15.878000000000025</v>
          </cell>
          <cell r="AP232">
            <v>0</v>
          </cell>
          <cell r="AQ232">
            <v>-15.878000000000025</v>
          </cell>
          <cell r="AR232">
            <v>-3.5769999999999951</v>
          </cell>
          <cell r="AS232">
            <v>-0.30300000000001431</v>
          </cell>
          <cell r="AT232">
            <v>-3.8800000000000092</v>
          </cell>
          <cell r="AU232">
            <v>-11.998000000000015</v>
          </cell>
          <cell r="AV232">
            <v>0</v>
          </cell>
          <cell r="AW232">
            <v>-103.73233306993757</v>
          </cell>
          <cell r="AX232">
            <v>0.99080000000000001</v>
          </cell>
          <cell r="AY232">
            <v>0</v>
          </cell>
          <cell r="AZ232">
            <v>0</v>
          </cell>
          <cell r="BA232">
            <v>0</v>
          </cell>
        </row>
        <row r="233">
          <cell r="H233" t="str">
            <v>ETF</v>
          </cell>
          <cell r="I233" t="str">
            <v>00754B</v>
          </cell>
          <cell r="J233" t="str">
            <v>群益AAA-AA公司債</v>
          </cell>
          <cell r="K233">
            <v>49.57</v>
          </cell>
          <cell r="L233">
            <v>49.334800000000001</v>
          </cell>
          <cell r="M233">
            <v>0.23519999999999897</v>
          </cell>
          <cell r="N233">
            <v>4.7674258332859321E-3</v>
          </cell>
          <cell r="O233">
            <v>726.29705863999993</v>
          </cell>
          <cell r="P233">
            <v>729.75962600000003</v>
          </cell>
          <cell r="Q233">
            <v>152.21799999999999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50</v>
          </cell>
          <cell r="W233">
            <v>55</v>
          </cell>
          <cell r="X233">
            <v>49.59</v>
          </cell>
          <cell r="Y233">
            <v>49.592727272727274</v>
          </cell>
          <cell r="Z233">
            <v>147.21799999999999</v>
          </cell>
          <cell r="AA233">
            <v>1</v>
          </cell>
          <cell r="AB233">
            <v>1000</v>
          </cell>
          <cell r="AC233">
            <v>49.59</v>
          </cell>
          <cell r="AD233">
            <v>49.592727272727274</v>
          </cell>
          <cell r="AE233">
            <v>247.95</v>
          </cell>
          <cell r="AF233">
            <v>272.76</v>
          </cell>
          <cell r="AG233">
            <v>-24.810000000000002</v>
          </cell>
          <cell r="AH233" t="str">
            <v>NTD</v>
          </cell>
          <cell r="AI233">
            <v>1</v>
          </cell>
          <cell r="AJ233">
            <v>152.21799999999999</v>
          </cell>
          <cell r="AK233">
            <v>50.2</v>
          </cell>
          <cell r="AL233">
            <v>50.17</v>
          </cell>
          <cell r="AM233">
            <v>3.0000000000001137E-2</v>
          </cell>
          <cell r="AN233">
            <v>5.9796691249758283E-4</v>
          </cell>
          <cell r="AO233">
            <v>-9.837494000000051</v>
          </cell>
          <cell r="AP233">
            <v>0.27276</v>
          </cell>
          <cell r="AQ233">
            <v>-9.5647340000000511</v>
          </cell>
          <cell r="AR233">
            <v>3.1235133599999667</v>
          </cell>
          <cell r="AS233">
            <v>1.1363636363636687E-2</v>
          </cell>
          <cell r="AT233">
            <v>3.1348769963636034</v>
          </cell>
          <cell r="AU233">
            <v>-12.713247360000006</v>
          </cell>
          <cell r="AV233">
            <v>1.3636363636351248E-2</v>
          </cell>
          <cell r="AW233">
            <v>-93.48972913597153</v>
          </cell>
          <cell r="AX233">
            <v>0.99939999999999996</v>
          </cell>
          <cell r="AY233">
            <v>0</v>
          </cell>
          <cell r="AZ233">
            <v>0</v>
          </cell>
          <cell r="BA233">
            <v>0</v>
          </cell>
        </row>
        <row r="234">
          <cell r="H234" t="str">
            <v>ETF</v>
          </cell>
          <cell r="I234" t="str">
            <v>00755B</v>
          </cell>
          <cell r="J234" t="str">
            <v>群益15年IG公用債</v>
          </cell>
          <cell r="K234">
            <v>46.26</v>
          </cell>
          <cell r="L234">
            <v>45.924900000000001</v>
          </cell>
          <cell r="M234">
            <v>0.33509999999999707</v>
          </cell>
          <cell r="N234">
            <v>7.2966952568214172E-3</v>
          </cell>
          <cell r="O234">
            <v>229.62450000000001</v>
          </cell>
          <cell r="P234">
            <v>231.3</v>
          </cell>
          <cell r="Q234">
            <v>62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50</v>
          </cell>
          <cell r="W234">
            <v>62</v>
          </cell>
          <cell r="X234">
            <v>46.23</v>
          </cell>
          <cell r="Y234">
            <v>46.244193548387095</v>
          </cell>
          <cell r="Z234">
            <v>50</v>
          </cell>
          <cell r="AA234">
            <v>1</v>
          </cell>
          <cell r="AB234">
            <v>1000</v>
          </cell>
          <cell r="AC234">
            <v>46.23</v>
          </cell>
          <cell r="AD234">
            <v>46.244193548387095</v>
          </cell>
          <cell r="AE234">
            <v>231.15</v>
          </cell>
          <cell r="AF234">
            <v>286.714</v>
          </cell>
          <cell r="AG234">
            <v>-55.563999999999993</v>
          </cell>
          <cell r="AH234" t="str">
            <v>NTD</v>
          </cell>
          <cell r="AI234">
            <v>1</v>
          </cell>
          <cell r="AJ234">
            <v>62</v>
          </cell>
          <cell r="AK234">
            <v>46.65</v>
          </cell>
          <cell r="AL234">
            <v>46.66</v>
          </cell>
          <cell r="AM234">
            <v>-9.9999999999980105E-3</v>
          </cell>
          <cell r="AN234">
            <v>-2.1431633090440716E-4</v>
          </cell>
          <cell r="AO234">
            <v>-2.652713999999996</v>
          </cell>
          <cell r="AP234">
            <v>0.28671399999999997</v>
          </cell>
          <cell r="AQ234">
            <v>-2.3659999999999961</v>
          </cell>
          <cell r="AR234">
            <v>2.1396199999999697</v>
          </cell>
          <cell r="AS234">
            <v>-1.8967741935483673E-2</v>
          </cell>
          <cell r="AT234">
            <v>2.120652258064486</v>
          </cell>
          <cell r="AU234">
            <v>-4.5576199999999725</v>
          </cell>
          <cell r="AV234">
            <v>7.096774193549038E-2</v>
          </cell>
          <cell r="AW234">
            <v>-35.432960190649418</v>
          </cell>
          <cell r="AX234">
            <v>0.99990000000000001</v>
          </cell>
          <cell r="AY234">
            <v>0</v>
          </cell>
          <cell r="AZ234">
            <v>0</v>
          </cell>
          <cell r="BA234">
            <v>0</v>
          </cell>
        </row>
        <row r="235">
          <cell r="H235" t="str">
            <v>ETF</v>
          </cell>
          <cell r="I235" t="str">
            <v>00756B</v>
          </cell>
          <cell r="J235" t="str">
            <v>群益15年EM主權債</v>
          </cell>
          <cell r="K235">
            <v>48.8</v>
          </cell>
          <cell r="L235">
            <v>48.454300000000003</v>
          </cell>
          <cell r="M235">
            <v>0.34569999999999368</v>
          </cell>
          <cell r="N235">
            <v>7.1345577172716723E-3</v>
          </cell>
          <cell r="O235">
            <v>2362.5735228399999</v>
          </cell>
          <cell r="P235">
            <v>2379.4294399999994</v>
          </cell>
          <cell r="Q235">
            <v>502.58800000000002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51</v>
          </cell>
          <cell r="W235">
            <v>66</v>
          </cell>
          <cell r="X235">
            <v>48.721568627450978</v>
          </cell>
          <cell r="Y235">
            <v>48.769393939393936</v>
          </cell>
          <cell r="Z235">
            <v>487.58799999999997</v>
          </cell>
          <cell r="AA235">
            <v>1</v>
          </cell>
          <cell r="AB235">
            <v>1000</v>
          </cell>
          <cell r="AC235">
            <v>48.721568627450978</v>
          </cell>
          <cell r="AD235">
            <v>48.769393939393936</v>
          </cell>
          <cell r="AE235">
            <v>248.47999999999996</v>
          </cell>
          <cell r="AF235">
            <v>321.87799999999993</v>
          </cell>
          <cell r="AG235">
            <v>-73.397999999999968</v>
          </cell>
          <cell r="AH235" t="str">
            <v>NTD</v>
          </cell>
          <cell r="AI235">
            <v>1</v>
          </cell>
          <cell r="AJ235">
            <v>502.58800000000002</v>
          </cell>
          <cell r="AK235">
            <v>48.93</v>
          </cell>
          <cell r="AL235">
            <v>48.49</v>
          </cell>
          <cell r="AM235">
            <v>0.43999999999999773</v>
          </cell>
          <cell r="AN235">
            <v>9.0740358836873813E-3</v>
          </cell>
          <cell r="AO235">
            <v>-6.6575220000001334</v>
          </cell>
          <cell r="AP235">
            <v>0.321878</v>
          </cell>
          <cell r="AQ235">
            <v>-6.3356440000001335</v>
          </cell>
          <cell r="AR235">
            <v>-4.739404840000204</v>
          </cell>
          <cell r="AS235">
            <v>-4.5909090909091788E-2</v>
          </cell>
          <cell r="AT235">
            <v>-4.7853139309092958</v>
          </cell>
          <cell r="AU235">
            <v>-1.794239159999925</v>
          </cell>
          <cell r="AV235">
            <v>0.2439090909090865</v>
          </cell>
          <cell r="AW235">
            <v>-298.49379765582711</v>
          </cell>
          <cell r="AX235">
            <v>0.99990000000000001</v>
          </cell>
          <cell r="AY235">
            <v>0</v>
          </cell>
          <cell r="AZ235">
            <v>0</v>
          </cell>
          <cell r="BA235">
            <v>0</v>
          </cell>
        </row>
        <row r="236">
          <cell r="H236" t="str">
            <v>ETF</v>
          </cell>
          <cell r="I236" t="str">
            <v>00758B</v>
          </cell>
          <cell r="J236" t="str">
            <v>FH能源債</v>
          </cell>
          <cell r="K236">
            <v>61.9</v>
          </cell>
          <cell r="L236">
            <v>61.82</v>
          </cell>
          <cell r="M236">
            <v>7.9999999999998295E-2</v>
          </cell>
          <cell r="N236">
            <v>1.2940795858944476E-3</v>
          </cell>
          <cell r="O236">
            <v>927.3</v>
          </cell>
          <cell r="P236">
            <v>928.5</v>
          </cell>
          <cell r="Q236">
            <v>150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50</v>
          </cell>
          <cell r="W236">
            <v>50</v>
          </cell>
          <cell r="X236">
            <v>61.9</v>
          </cell>
          <cell r="Y236">
            <v>61.9</v>
          </cell>
          <cell r="Z236">
            <v>150</v>
          </cell>
          <cell r="AA236">
            <v>1</v>
          </cell>
          <cell r="AB236">
            <v>1000</v>
          </cell>
          <cell r="AC236">
            <v>61.9</v>
          </cell>
          <cell r="AD236">
            <v>61.9</v>
          </cell>
          <cell r="AE236">
            <v>309.5</v>
          </cell>
          <cell r="AF236">
            <v>309.5</v>
          </cell>
          <cell r="AG236">
            <v>0</v>
          </cell>
          <cell r="AH236" t="str">
            <v>NTD</v>
          </cell>
          <cell r="AI236">
            <v>1</v>
          </cell>
          <cell r="AJ236">
            <v>150</v>
          </cell>
          <cell r="AK236">
            <v>61.7</v>
          </cell>
          <cell r="AL236">
            <v>61.76</v>
          </cell>
          <cell r="AM236">
            <v>-5.9999999999995168E-2</v>
          </cell>
          <cell r="AN236">
            <v>-9.7150259067346756E-4</v>
          </cell>
          <cell r="AO236">
            <v>2.6904999999999362</v>
          </cell>
          <cell r="AP236">
            <v>0.3095</v>
          </cell>
          <cell r="AQ236">
            <v>2.9999999999999361</v>
          </cell>
          <cell r="AR236">
            <v>2.0999999999999019</v>
          </cell>
          <cell r="AS236">
            <v>0</v>
          </cell>
          <cell r="AT236">
            <v>2.0999999999999019</v>
          </cell>
          <cell r="AU236">
            <v>0.90000000000003422</v>
          </cell>
          <cell r="AV236">
            <v>0</v>
          </cell>
          <cell r="AW236">
            <v>-111.42438619722502</v>
          </cell>
          <cell r="AX236">
            <v>0.9819</v>
          </cell>
          <cell r="AY236">
            <v>0</v>
          </cell>
          <cell r="AZ236">
            <v>0</v>
          </cell>
          <cell r="BA236">
            <v>0</v>
          </cell>
        </row>
        <row r="237">
          <cell r="H237" t="str">
            <v>ETF</v>
          </cell>
          <cell r="I237" t="str">
            <v>00759B</v>
          </cell>
          <cell r="J237" t="str">
            <v>FH製藥債</v>
          </cell>
          <cell r="K237">
            <v>74.95</v>
          </cell>
          <cell r="L237">
            <v>74.86</v>
          </cell>
          <cell r="M237">
            <v>9.0000000000003411E-2</v>
          </cell>
          <cell r="N237">
            <v>1.2022441891530455E-3</v>
          </cell>
          <cell r="O237">
            <v>479.10399999999998</v>
          </cell>
          <cell r="P237">
            <v>479.68</v>
          </cell>
          <cell r="Q237">
            <v>63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51</v>
          </cell>
          <cell r="W237">
            <v>50</v>
          </cell>
          <cell r="X237">
            <v>74.95</v>
          </cell>
          <cell r="Y237">
            <v>74.95</v>
          </cell>
          <cell r="Z237">
            <v>64</v>
          </cell>
          <cell r="AA237">
            <v>1</v>
          </cell>
          <cell r="AB237">
            <v>1000</v>
          </cell>
          <cell r="AC237">
            <v>74.95</v>
          </cell>
          <cell r="AD237">
            <v>74.95</v>
          </cell>
          <cell r="AE237">
            <v>382.24500000000006</v>
          </cell>
          <cell r="AF237">
            <v>374.75</v>
          </cell>
          <cell r="AG237">
            <v>7.4950000000000614</v>
          </cell>
          <cell r="AH237" t="str">
            <v>NTD</v>
          </cell>
          <cell r="AI237">
            <v>1</v>
          </cell>
          <cell r="AJ237">
            <v>63</v>
          </cell>
          <cell r="AK237">
            <v>75.75</v>
          </cell>
          <cell r="AL237">
            <v>75.760000000000005</v>
          </cell>
          <cell r="AM237">
            <v>-1.0000000000005116E-2</v>
          </cell>
          <cell r="AN237">
            <v>-1.3199577613520752E-4</v>
          </cell>
          <cell r="AO237">
            <v>-5.4147499999999811</v>
          </cell>
          <cell r="AP237">
            <v>0.37475000000000003</v>
          </cell>
          <cell r="AQ237">
            <v>-5.0399999999999814</v>
          </cell>
          <cell r="AR237">
            <v>0.63000000000005374</v>
          </cell>
          <cell r="AS237">
            <v>0</v>
          </cell>
          <cell r="AT237">
            <v>0.63000000000005374</v>
          </cell>
          <cell r="AU237">
            <v>-5.6700000000000355</v>
          </cell>
          <cell r="AV237">
            <v>0</v>
          </cell>
          <cell r="AW237">
            <v>-57.962068256605107</v>
          </cell>
          <cell r="AX237">
            <v>0.99139999999999995</v>
          </cell>
          <cell r="AY237">
            <v>0</v>
          </cell>
          <cell r="AZ237">
            <v>0</v>
          </cell>
          <cell r="BA237">
            <v>0</v>
          </cell>
        </row>
        <row r="238">
          <cell r="H238" t="str">
            <v>ETF</v>
          </cell>
          <cell r="I238" t="str">
            <v>00760B</v>
          </cell>
          <cell r="J238" t="str">
            <v>FH新興企業債</v>
          </cell>
          <cell r="K238">
            <v>66.099999999999994</v>
          </cell>
          <cell r="L238">
            <v>65.86</v>
          </cell>
          <cell r="M238">
            <v>0.23999999999999488</v>
          </cell>
          <cell r="N238">
            <v>3.6440935317338941E-3</v>
          </cell>
          <cell r="O238">
            <v>461.02</v>
          </cell>
          <cell r="P238">
            <v>462.7</v>
          </cell>
          <cell r="Q238">
            <v>70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50</v>
          </cell>
          <cell r="W238">
            <v>50</v>
          </cell>
          <cell r="X238">
            <v>66.150000000000006</v>
          </cell>
          <cell r="Y238">
            <v>66.150000000000006</v>
          </cell>
          <cell r="Z238">
            <v>70</v>
          </cell>
          <cell r="AA238">
            <v>1</v>
          </cell>
          <cell r="AB238">
            <v>1000</v>
          </cell>
          <cell r="AC238">
            <v>66.150000000000006</v>
          </cell>
          <cell r="AD238">
            <v>66.150000000000006</v>
          </cell>
          <cell r="AE238">
            <v>330.75000000000006</v>
          </cell>
          <cell r="AF238">
            <v>330.75000000000006</v>
          </cell>
          <cell r="AG238">
            <v>0</v>
          </cell>
          <cell r="AH238" t="str">
            <v>NTD</v>
          </cell>
          <cell r="AI238">
            <v>1</v>
          </cell>
          <cell r="AJ238">
            <v>70</v>
          </cell>
          <cell r="AK238">
            <v>66.05</v>
          </cell>
          <cell r="AL238">
            <v>65.599999999999994</v>
          </cell>
          <cell r="AM238">
            <v>0.45000000000000284</v>
          </cell>
          <cell r="AN238">
            <v>6.8597560975609539E-3</v>
          </cell>
          <cell r="AO238">
            <v>1.9249999999979839E-2</v>
          </cell>
          <cell r="AP238">
            <v>0.33075000000000004</v>
          </cell>
          <cell r="AQ238">
            <v>0.34999999999997988</v>
          </cell>
          <cell r="AR238">
            <v>-1.4700000000000557</v>
          </cell>
          <cell r="AS238">
            <v>0</v>
          </cell>
          <cell r="AT238">
            <v>-1.4700000000000557</v>
          </cell>
          <cell r="AU238">
            <v>1.8200000000000356</v>
          </cell>
          <cell r="AV238">
            <v>0</v>
          </cell>
          <cell r="AW238">
            <v>-55.585456015201665</v>
          </cell>
          <cell r="AX238">
            <v>0.98819999999999997</v>
          </cell>
          <cell r="AY238">
            <v>0</v>
          </cell>
          <cell r="AZ238">
            <v>0</v>
          </cell>
          <cell r="BA238">
            <v>0</v>
          </cell>
        </row>
        <row r="239">
          <cell r="H239" t="str">
            <v>ETF</v>
          </cell>
          <cell r="I239" t="str">
            <v>00761B</v>
          </cell>
          <cell r="J239" t="str">
            <v>國泰A級公司債</v>
          </cell>
          <cell r="K239">
            <v>49.16</v>
          </cell>
          <cell r="L239">
            <v>49.160299999999999</v>
          </cell>
          <cell r="M239">
            <v>-3.0000000000285354E-4</v>
          </cell>
          <cell r="N239">
            <v>-6.1024851354396503E-6</v>
          </cell>
          <cell r="O239">
            <v>740.90471335999996</v>
          </cell>
          <cell r="P239">
            <v>740.90019199999995</v>
          </cell>
          <cell r="Q239">
            <v>141.71199999999999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60</v>
          </cell>
          <cell r="W239">
            <v>51</v>
          </cell>
          <cell r="X239">
            <v>49.223333333333336</v>
          </cell>
          <cell r="Y239">
            <v>49.229803921568625</v>
          </cell>
          <cell r="Z239">
            <v>150.71199999999999</v>
          </cell>
          <cell r="AA239">
            <v>1</v>
          </cell>
          <cell r="AB239">
            <v>1000</v>
          </cell>
          <cell r="AC239">
            <v>49.223333333333336</v>
          </cell>
          <cell r="AD239">
            <v>49.229803921568625</v>
          </cell>
          <cell r="AE239">
            <v>295.33999999999997</v>
          </cell>
          <cell r="AF239">
            <v>251.072</v>
          </cell>
          <cell r="AG239">
            <v>44.267999999999972</v>
          </cell>
          <cell r="AH239" t="str">
            <v>NTD</v>
          </cell>
          <cell r="AI239">
            <v>1</v>
          </cell>
          <cell r="AJ239">
            <v>141.71199999999999</v>
          </cell>
          <cell r="AK239">
            <v>49.59</v>
          </cell>
          <cell r="AL239">
            <v>49.73</v>
          </cell>
          <cell r="AM239">
            <v>-0.13999999999999346</v>
          </cell>
          <cell r="AN239">
            <v>-2.8152020912928233E-3</v>
          </cell>
          <cell r="AO239">
            <v>-6.368688000000132</v>
          </cell>
          <cell r="AP239">
            <v>0.25107200000000002</v>
          </cell>
          <cell r="AQ239">
            <v>-6.1176160000001323</v>
          </cell>
          <cell r="AR239">
            <v>1.9797166399998667</v>
          </cell>
          <cell r="AS239">
            <v>-5.7000000000005706E-2</v>
          </cell>
          <cell r="AT239">
            <v>1.922716639999861</v>
          </cell>
          <cell r="AU239">
            <v>-8.073332639999963</v>
          </cell>
          <cell r="AV239">
            <v>3.2999999999969998E-2</v>
          </cell>
          <cell r="AW239">
            <v>-84.426422212184193</v>
          </cell>
          <cell r="AX239">
            <v>0.97799999999999998</v>
          </cell>
          <cell r="AY239">
            <v>0</v>
          </cell>
          <cell r="AZ239">
            <v>0</v>
          </cell>
          <cell r="BA239">
            <v>0</v>
          </cell>
        </row>
        <row r="240">
          <cell r="H240" t="str">
            <v>ETF</v>
          </cell>
          <cell r="I240" t="str">
            <v>00764B</v>
          </cell>
          <cell r="J240" t="str">
            <v>群益25年美債</v>
          </cell>
          <cell r="K240">
            <v>50.4</v>
          </cell>
          <cell r="L240">
            <v>50.5901</v>
          </cell>
          <cell r="M240">
            <v>-0.19010000000000105</v>
          </cell>
          <cell r="N240">
            <v>-3.7576521888670333E-3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1</v>
          </cell>
          <cell r="AB240">
            <v>1000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 t="str">
            <v>NTD</v>
          </cell>
          <cell r="AI240">
            <v>1</v>
          </cell>
          <cell r="AJ240">
            <v>0</v>
          </cell>
          <cell r="AK240">
            <v>51.8</v>
          </cell>
          <cell r="AL240">
            <v>52.19</v>
          </cell>
          <cell r="AM240">
            <v>-0.39000000000000057</v>
          </cell>
          <cell r="AN240">
            <v>-7.4726959187584319E-3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0.99980000000000002</v>
          </cell>
          <cell r="AY240">
            <v>0</v>
          </cell>
          <cell r="AZ240">
            <v>0</v>
          </cell>
          <cell r="BA240">
            <v>0</v>
          </cell>
        </row>
        <row r="241">
          <cell r="H241" t="str">
            <v>ETF</v>
          </cell>
          <cell r="I241" t="str">
            <v>00765B</v>
          </cell>
          <cell r="J241" t="str">
            <v>群益中國政金債</v>
          </cell>
          <cell r="K241">
            <v>38.979999999999997</v>
          </cell>
          <cell r="L241">
            <v>38.998100000000001</v>
          </cell>
          <cell r="M241">
            <v>-1.8100000000004002E-2</v>
          </cell>
          <cell r="N241">
            <v>-4.6412517532912201E-4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1</v>
          </cell>
          <cell r="AB241">
            <v>1000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 t="str">
            <v>NTD</v>
          </cell>
          <cell r="AI241">
            <v>1</v>
          </cell>
          <cell r="AJ241">
            <v>0</v>
          </cell>
          <cell r="AK241">
            <v>39.25</v>
          </cell>
          <cell r="AL241">
            <v>39.25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0.999</v>
          </cell>
          <cell r="AZ241">
            <v>0</v>
          </cell>
          <cell r="BA241">
            <v>0</v>
          </cell>
        </row>
        <row r="242">
          <cell r="H242" t="str">
            <v>ETF</v>
          </cell>
          <cell r="I242" t="str">
            <v>00768B</v>
          </cell>
          <cell r="J242" t="str">
            <v>FH20年美債</v>
          </cell>
          <cell r="K242">
            <v>79</v>
          </cell>
          <cell r="L242">
            <v>78.974400000000003</v>
          </cell>
          <cell r="M242">
            <v>2.5599999999997181E-2</v>
          </cell>
          <cell r="N242">
            <v>3.2415567576316029E-4</v>
          </cell>
          <cell r="O242">
            <v>1500.5136</v>
          </cell>
          <cell r="P242">
            <v>1501</v>
          </cell>
          <cell r="Q242">
            <v>190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50</v>
          </cell>
          <cell r="W242">
            <v>50</v>
          </cell>
          <cell r="X242">
            <v>79</v>
          </cell>
          <cell r="Y242">
            <v>79</v>
          </cell>
          <cell r="Z242">
            <v>190</v>
          </cell>
          <cell r="AA242">
            <v>1</v>
          </cell>
          <cell r="AB242">
            <v>1000</v>
          </cell>
          <cell r="AC242">
            <v>79</v>
          </cell>
          <cell r="AD242">
            <v>79</v>
          </cell>
          <cell r="AE242">
            <v>395</v>
          </cell>
          <cell r="AF242">
            <v>395</v>
          </cell>
          <cell r="AG242">
            <v>0</v>
          </cell>
          <cell r="AH242" t="str">
            <v>NTD</v>
          </cell>
          <cell r="AI242">
            <v>1</v>
          </cell>
          <cell r="AJ242">
            <v>190</v>
          </cell>
          <cell r="AK242">
            <v>81.150000000000006</v>
          </cell>
          <cell r="AL242">
            <v>81.37</v>
          </cell>
          <cell r="AM242">
            <v>-0.21999999999999886</v>
          </cell>
          <cell r="AN242">
            <v>-2.7036991520216214E-3</v>
          </cell>
          <cell r="AO242">
            <v>-41.245000000000111</v>
          </cell>
          <cell r="AP242">
            <v>0.39500000000000002</v>
          </cell>
          <cell r="AQ242">
            <v>-40.850000000000108</v>
          </cell>
          <cell r="AR242">
            <v>4.6663999999999248</v>
          </cell>
          <cell r="AS242">
            <v>0</v>
          </cell>
          <cell r="AT242">
            <v>4.6663999999999248</v>
          </cell>
          <cell r="AU242">
            <v>-45.516400000000033</v>
          </cell>
          <cell r="AV242">
            <v>0</v>
          </cell>
          <cell r="AW242">
            <v>-188.01570581804171</v>
          </cell>
          <cell r="AX242">
            <v>0.99280000000000002</v>
          </cell>
          <cell r="AY242">
            <v>0</v>
          </cell>
          <cell r="AZ242">
            <v>0</v>
          </cell>
          <cell r="BA242">
            <v>0</v>
          </cell>
        </row>
        <row r="243">
          <cell r="H243" t="str">
            <v>ETF</v>
          </cell>
          <cell r="I243" t="str">
            <v>00771</v>
          </cell>
          <cell r="J243" t="str">
            <v>元大US高息特別股</v>
          </cell>
          <cell r="K243">
            <v>19.12</v>
          </cell>
          <cell r="L243">
            <v>19.14</v>
          </cell>
          <cell r="M243">
            <v>-1.9999999999999574E-2</v>
          </cell>
          <cell r="N243">
            <v>-1.0449320794148065E-3</v>
          </cell>
          <cell r="O243">
            <v>264.13200000000001</v>
          </cell>
          <cell r="P243">
            <v>263.85599999999999</v>
          </cell>
          <cell r="Q243">
            <v>138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138</v>
          </cell>
          <cell r="AA243">
            <v>1</v>
          </cell>
          <cell r="AB243">
            <v>1000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 t="str">
            <v>NTD</v>
          </cell>
          <cell r="AI243">
            <v>1</v>
          </cell>
          <cell r="AJ243">
            <v>138</v>
          </cell>
          <cell r="AK243">
            <v>19.05</v>
          </cell>
          <cell r="AL243">
            <v>19.16</v>
          </cell>
          <cell r="AM243">
            <v>-0.10999999999999943</v>
          </cell>
          <cell r="AN243">
            <v>-5.7411273486429604E-3</v>
          </cell>
          <cell r="AO243">
            <v>0.96600000000000386</v>
          </cell>
          <cell r="AP243">
            <v>0</v>
          </cell>
          <cell r="AQ243">
            <v>0.96600000000000386</v>
          </cell>
          <cell r="AR243">
            <v>1.241999999999998</v>
          </cell>
          <cell r="AS243">
            <v>0</v>
          </cell>
          <cell r="AT243">
            <v>1.241999999999998</v>
          </cell>
          <cell r="AU243">
            <v>-0.27599999999999414</v>
          </cell>
          <cell r="AV243">
            <v>0</v>
          </cell>
          <cell r="AW243">
            <v>-32.265289970656326</v>
          </cell>
          <cell r="AX243">
            <v>0.99619999999999997</v>
          </cell>
          <cell r="AY243">
            <v>0</v>
          </cell>
          <cell r="AZ243">
            <v>0</v>
          </cell>
          <cell r="BA243">
            <v>0</v>
          </cell>
        </row>
        <row r="244">
          <cell r="H244" t="str">
            <v>ETF</v>
          </cell>
          <cell r="I244" t="str">
            <v>00772B</v>
          </cell>
          <cell r="J244" t="str">
            <v>中信高評級公司債</v>
          </cell>
          <cell r="K244">
            <v>47.66</v>
          </cell>
          <cell r="L244">
            <v>47.563099999999999</v>
          </cell>
          <cell r="M244">
            <v>9.6899999999997988E-2</v>
          </cell>
          <cell r="N244">
            <v>2.0372936162698085E-3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0</v>
          </cell>
          <cell r="AA244">
            <v>1</v>
          </cell>
          <cell r="AB244">
            <v>1000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 t="str">
            <v>NTD</v>
          </cell>
          <cell r="AI244">
            <v>1</v>
          </cell>
          <cell r="AJ244">
            <v>0</v>
          </cell>
          <cell r="AK244">
            <v>48.09</v>
          </cell>
          <cell r="AL244">
            <v>48.13</v>
          </cell>
          <cell r="AM244">
            <v>-3.9999999999999147E-2</v>
          </cell>
          <cell r="AN244">
            <v>-8.3108248493657388E-4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0.999</v>
          </cell>
          <cell r="AY244">
            <v>0</v>
          </cell>
          <cell r="AZ244">
            <v>0</v>
          </cell>
          <cell r="BA244">
            <v>0</v>
          </cell>
        </row>
        <row r="245">
          <cell r="H245" t="str">
            <v>ETF</v>
          </cell>
          <cell r="I245" t="str">
            <v>00773B</v>
          </cell>
          <cell r="J245" t="str">
            <v>中信優先金融債</v>
          </cell>
          <cell r="K245">
            <v>47.53</v>
          </cell>
          <cell r="L245">
            <v>47.731699999999996</v>
          </cell>
          <cell r="M245">
            <v>-0.20169999999999533</v>
          </cell>
          <cell r="N245">
            <v>-4.2257032538123296E-3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1</v>
          </cell>
          <cell r="AB245">
            <v>1000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 t="str">
            <v>NTD</v>
          </cell>
          <cell r="AI245">
            <v>1</v>
          </cell>
          <cell r="AJ245">
            <v>0</v>
          </cell>
          <cell r="AK245">
            <v>47.61</v>
          </cell>
          <cell r="AL245">
            <v>47.79</v>
          </cell>
          <cell r="AM245">
            <v>-0.17999999999999972</v>
          </cell>
          <cell r="AN245">
            <v>-3.7664783427495685E-3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0.99609999999999999</v>
          </cell>
          <cell r="AY245">
            <v>0</v>
          </cell>
          <cell r="AZ245">
            <v>0</v>
          </cell>
          <cell r="BA245">
            <v>0</v>
          </cell>
        </row>
        <row r="246">
          <cell r="H246" t="str">
            <v>ETF</v>
          </cell>
          <cell r="I246" t="str">
            <v>00774B</v>
          </cell>
          <cell r="J246" t="str">
            <v>新光中國政金綠債</v>
          </cell>
          <cell r="K246">
            <v>38.85</v>
          </cell>
          <cell r="L246">
            <v>38.769500000000001</v>
          </cell>
          <cell r="M246">
            <v>8.0500000000000682E-2</v>
          </cell>
          <cell r="N246">
            <v>2.0763744696217223E-3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1</v>
          </cell>
          <cell r="AB246">
            <v>1000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 t="str">
            <v>NTD</v>
          </cell>
          <cell r="AI246">
            <v>1</v>
          </cell>
          <cell r="AJ246">
            <v>0</v>
          </cell>
          <cell r="AK246">
            <v>39.11</v>
          </cell>
          <cell r="AL246">
            <v>39.020000000000003</v>
          </cell>
          <cell r="AM246">
            <v>8.9999999999996305E-2</v>
          </cell>
          <cell r="AN246">
            <v>2.3065094823166987E-3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0.97529999999999994</v>
          </cell>
          <cell r="AZ246">
            <v>0</v>
          </cell>
          <cell r="BA246">
            <v>0</v>
          </cell>
        </row>
        <row r="247">
          <cell r="H247" t="str">
            <v>ETF</v>
          </cell>
          <cell r="I247" t="str">
            <v>00774C</v>
          </cell>
          <cell r="J247" t="str">
            <v>新光中政金綠債+R</v>
          </cell>
          <cell r="K247">
            <v>9.24</v>
          </cell>
          <cell r="L247">
            <v>9.2357999999999993</v>
          </cell>
          <cell r="M247">
            <v>4.2000000000008697E-3</v>
          </cell>
          <cell r="N247">
            <v>4.5475216007284658E-4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1</v>
          </cell>
          <cell r="AB247">
            <v>1000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 t="str">
            <v>NTD</v>
          </cell>
          <cell r="AI247">
            <v>1</v>
          </cell>
          <cell r="AJ247">
            <v>0</v>
          </cell>
          <cell r="AK247">
            <v>9.33</v>
          </cell>
          <cell r="AL247">
            <v>9.2799999999999994</v>
          </cell>
          <cell r="AM247">
            <v>5.0000000000000711E-2</v>
          </cell>
          <cell r="AN247">
            <v>5.3879310344828735E-3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0.97529999999999994</v>
          </cell>
          <cell r="AZ247">
            <v>0</v>
          </cell>
          <cell r="BA247" t="e">
            <v>#N/A</v>
          </cell>
        </row>
        <row r="248">
          <cell r="H248" t="str">
            <v>ETF</v>
          </cell>
          <cell r="I248" t="str">
            <v>00775B</v>
          </cell>
          <cell r="J248" t="str">
            <v>新光投等債15+</v>
          </cell>
          <cell r="K248">
            <v>44.8</v>
          </cell>
          <cell r="L248">
            <v>44.446899999999999</v>
          </cell>
          <cell r="M248">
            <v>0.35309999999999775</v>
          </cell>
          <cell r="N248">
            <v>7.9443110768129266E-3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1</v>
          </cell>
          <cell r="AB248">
            <v>1000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 t="str">
            <v>NTD</v>
          </cell>
          <cell r="AI248">
            <v>1</v>
          </cell>
          <cell r="AJ248">
            <v>0</v>
          </cell>
          <cell r="AK248">
            <v>44.9</v>
          </cell>
          <cell r="AL248">
            <v>44.96</v>
          </cell>
          <cell r="AM248">
            <v>-6.0000000000002274E-2</v>
          </cell>
          <cell r="AN248">
            <v>-1.3345195729538295E-3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0.98509999999999998</v>
          </cell>
          <cell r="AY248">
            <v>0</v>
          </cell>
          <cell r="AZ248">
            <v>0</v>
          </cell>
          <cell r="BA248">
            <v>0</v>
          </cell>
        </row>
        <row r="249">
          <cell r="H249" t="str">
            <v>ETF</v>
          </cell>
          <cell r="I249" t="str">
            <v>00777B</v>
          </cell>
          <cell r="J249" t="str">
            <v>凱基AAA至A公司債</v>
          </cell>
          <cell r="K249">
            <v>46.95</v>
          </cell>
          <cell r="L249">
            <v>46.99</v>
          </cell>
          <cell r="M249">
            <v>-3.9999999999999147E-2</v>
          </cell>
          <cell r="N249">
            <v>-8.5124494573307619E-4</v>
          </cell>
          <cell r="O249">
            <v>2006.473</v>
          </cell>
          <cell r="P249">
            <v>2004.7650000000001</v>
          </cell>
          <cell r="Q249">
            <v>427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50</v>
          </cell>
          <cell r="W249">
            <v>50</v>
          </cell>
          <cell r="X249">
            <v>46.98</v>
          </cell>
          <cell r="Y249">
            <v>46.98</v>
          </cell>
          <cell r="Z249">
            <v>427</v>
          </cell>
          <cell r="AA249">
            <v>1</v>
          </cell>
          <cell r="AB249">
            <v>1000</v>
          </cell>
          <cell r="AC249">
            <v>46.98</v>
          </cell>
          <cell r="AD249">
            <v>46.98</v>
          </cell>
          <cell r="AE249">
            <v>234.9</v>
          </cell>
          <cell r="AF249">
            <v>234.9</v>
          </cell>
          <cell r="AG249">
            <v>0</v>
          </cell>
          <cell r="AH249" t="str">
            <v>NTD</v>
          </cell>
          <cell r="AI249">
            <v>1</v>
          </cell>
          <cell r="AJ249">
            <v>427</v>
          </cell>
          <cell r="AK249">
            <v>47.65</v>
          </cell>
          <cell r="AL249">
            <v>47.65</v>
          </cell>
          <cell r="AM249">
            <v>0</v>
          </cell>
          <cell r="AN249">
            <v>0</v>
          </cell>
          <cell r="AO249">
            <v>-30.124899999999815</v>
          </cell>
          <cell r="AP249">
            <v>0.2349</v>
          </cell>
          <cell r="AQ249">
            <v>-29.889999999999816</v>
          </cell>
          <cell r="AR249">
            <v>-1.7079999999999635</v>
          </cell>
          <cell r="AS249">
            <v>0</v>
          </cell>
          <cell r="AT249">
            <v>-1.7079999999999635</v>
          </cell>
          <cell r="AU249">
            <v>-28.181999999999853</v>
          </cell>
          <cell r="AV249">
            <v>0</v>
          </cell>
          <cell r="AW249">
            <v>-247.08941349592462</v>
          </cell>
          <cell r="AX249">
            <v>0.99139999999999995</v>
          </cell>
          <cell r="AY249">
            <v>0</v>
          </cell>
          <cell r="AZ249">
            <v>0</v>
          </cell>
          <cell r="BA249">
            <v>0</v>
          </cell>
        </row>
        <row r="250">
          <cell r="H250" t="str">
            <v>ETF</v>
          </cell>
          <cell r="I250" t="str">
            <v>00778B</v>
          </cell>
          <cell r="J250" t="str">
            <v>凱基金融債20+</v>
          </cell>
          <cell r="K250">
            <v>47.73</v>
          </cell>
          <cell r="L250">
            <v>47.41</v>
          </cell>
          <cell r="M250">
            <v>0.32000000000000028</v>
          </cell>
          <cell r="N250">
            <v>6.7496308795613746E-3</v>
          </cell>
          <cell r="O250">
            <v>23.704999999999998</v>
          </cell>
          <cell r="P250">
            <v>23.864999999999998</v>
          </cell>
          <cell r="Q250">
            <v>5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60</v>
          </cell>
          <cell r="W250">
            <v>60</v>
          </cell>
          <cell r="X250">
            <v>47.73</v>
          </cell>
          <cell r="Y250">
            <v>47.73</v>
          </cell>
          <cell r="Z250">
            <v>5</v>
          </cell>
          <cell r="AA250">
            <v>1</v>
          </cell>
          <cell r="AB250">
            <v>1000</v>
          </cell>
          <cell r="AC250">
            <v>47.73</v>
          </cell>
          <cell r="AD250">
            <v>47.73</v>
          </cell>
          <cell r="AE250">
            <v>286.37999999999994</v>
          </cell>
          <cell r="AF250">
            <v>286.37999999999994</v>
          </cell>
          <cell r="AG250">
            <v>0</v>
          </cell>
          <cell r="AH250" t="str">
            <v>NTD</v>
          </cell>
          <cell r="AI250">
            <v>1</v>
          </cell>
          <cell r="AJ250">
            <v>5</v>
          </cell>
          <cell r="AK250">
            <v>47.7</v>
          </cell>
          <cell r="AL250">
            <v>47.36</v>
          </cell>
          <cell r="AM250">
            <v>0.34000000000000341</v>
          </cell>
          <cell r="AN250">
            <v>7.1790540540541681E-3</v>
          </cell>
          <cell r="AO250">
            <v>-0.27138000000000295</v>
          </cell>
          <cell r="AP250">
            <v>0.28637999999999997</v>
          </cell>
          <cell r="AQ250">
            <v>1.4999999999997016E-2</v>
          </cell>
          <cell r="AR250">
            <v>-1.0000000000001563E-2</v>
          </cell>
          <cell r="AS250">
            <v>0</v>
          </cell>
          <cell r="AT250">
            <v>-1.0000000000001563E-2</v>
          </cell>
          <cell r="AU250">
            <v>2.4999999999998579E-2</v>
          </cell>
          <cell r="AV250">
            <v>0</v>
          </cell>
          <cell r="AW250">
            <v>-2.8635270415201286</v>
          </cell>
          <cell r="AX250">
            <v>0.98719999999999997</v>
          </cell>
          <cell r="AY250">
            <v>0</v>
          </cell>
          <cell r="AZ250">
            <v>0</v>
          </cell>
          <cell r="BA250">
            <v>0</v>
          </cell>
        </row>
        <row r="251">
          <cell r="H251" t="str">
            <v>ETF</v>
          </cell>
          <cell r="I251" t="str">
            <v>00779B</v>
          </cell>
          <cell r="J251" t="str">
            <v>凱基美債25+</v>
          </cell>
          <cell r="K251">
            <v>51.1</v>
          </cell>
          <cell r="L251">
            <v>51.03</v>
          </cell>
          <cell r="M251">
            <v>7.0000000000000284E-2</v>
          </cell>
          <cell r="N251">
            <v>1.37174211248281E-3</v>
          </cell>
          <cell r="O251">
            <v>1949.346</v>
          </cell>
          <cell r="P251">
            <v>1952.02</v>
          </cell>
          <cell r="Q251">
            <v>382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50</v>
          </cell>
          <cell r="W251">
            <v>50</v>
          </cell>
          <cell r="X251">
            <v>51.2</v>
          </cell>
          <cell r="Y251">
            <v>51.2</v>
          </cell>
          <cell r="Z251">
            <v>382</v>
          </cell>
          <cell r="AA251">
            <v>1</v>
          </cell>
          <cell r="AB251">
            <v>1000</v>
          </cell>
          <cell r="AC251">
            <v>51.2</v>
          </cell>
          <cell r="AD251">
            <v>51.2</v>
          </cell>
          <cell r="AE251">
            <v>256</v>
          </cell>
          <cell r="AF251">
            <v>256</v>
          </cell>
          <cell r="AG251">
            <v>0</v>
          </cell>
          <cell r="AH251" t="str">
            <v>NTD</v>
          </cell>
          <cell r="AI251">
            <v>1</v>
          </cell>
          <cell r="AJ251">
            <v>382</v>
          </cell>
          <cell r="AK251">
            <v>52.55</v>
          </cell>
          <cell r="AL251">
            <v>52.67</v>
          </cell>
          <cell r="AM251">
            <v>-0.12000000000000455</v>
          </cell>
          <cell r="AN251">
            <v>-2.2783368141258142E-3</v>
          </cell>
          <cell r="AO251">
            <v>-55.645999999999837</v>
          </cell>
          <cell r="AP251">
            <v>0.25600000000000001</v>
          </cell>
          <cell r="AQ251">
            <v>-55.389999999999837</v>
          </cell>
          <cell r="AR251">
            <v>7.2580000000001847</v>
          </cell>
          <cell r="AS251">
            <v>0</v>
          </cell>
          <cell r="AT251">
            <v>7.2580000000001847</v>
          </cell>
          <cell r="AU251">
            <v>-62.648000000000025</v>
          </cell>
          <cell r="AV251">
            <v>0</v>
          </cell>
          <cell r="AW251">
            <v>-244.63319989536114</v>
          </cell>
          <cell r="AX251">
            <v>0.99260000000000004</v>
          </cell>
          <cell r="AY251">
            <v>0</v>
          </cell>
          <cell r="AZ251">
            <v>0</v>
          </cell>
          <cell r="BA251">
            <v>0</v>
          </cell>
        </row>
        <row r="252">
          <cell r="H252" t="str">
            <v>ETF</v>
          </cell>
          <cell r="I252" t="str">
            <v>00780B</v>
          </cell>
          <cell r="J252" t="str">
            <v>國泰A級金融債</v>
          </cell>
          <cell r="K252">
            <v>43.3</v>
          </cell>
          <cell r="L252">
            <v>43.290599999999998</v>
          </cell>
          <cell r="M252">
            <v>9.3999999999994088E-3</v>
          </cell>
          <cell r="N252">
            <v>2.1713720761540323E-4</v>
          </cell>
          <cell r="O252">
            <v>1020.5715659400001</v>
          </cell>
          <cell r="P252">
            <v>1020.7931700000001</v>
          </cell>
          <cell r="Q252">
            <v>236.749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50</v>
          </cell>
          <cell r="W252">
            <v>51</v>
          </cell>
          <cell r="X252">
            <v>43.3</v>
          </cell>
          <cell r="Y252">
            <v>43.301960784313728</v>
          </cell>
          <cell r="Z252">
            <v>235.74900000000002</v>
          </cell>
          <cell r="AA252">
            <v>1</v>
          </cell>
          <cell r="AB252">
            <v>1000</v>
          </cell>
          <cell r="AC252">
            <v>43.3</v>
          </cell>
          <cell r="AD252">
            <v>43.301960784313728</v>
          </cell>
          <cell r="AE252">
            <v>216.5</v>
          </cell>
          <cell r="AF252">
            <v>220.84</v>
          </cell>
          <cell r="AG252">
            <v>-4.3400000000000034</v>
          </cell>
          <cell r="AH252" t="str">
            <v>NTD</v>
          </cell>
          <cell r="AI252">
            <v>1</v>
          </cell>
          <cell r="AJ252">
            <v>236.749</v>
          </cell>
          <cell r="AK252">
            <v>43.4</v>
          </cell>
          <cell r="AL252">
            <v>43.42</v>
          </cell>
          <cell r="AM252">
            <v>-2.0000000000003126E-2</v>
          </cell>
          <cell r="AN252">
            <v>-4.6061722708434782E-4</v>
          </cell>
          <cell r="AO252">
            <v>-2.578330000000006</v>
          </cell>
          <cell r="AP252">
            <v>0.22084000000000001</v>
          </cell>
          <cell r="AQ252">
            <v>-2.3574900000000061</v>
          </cell>
          <cell r="AR252">
            <v>0.69604206000006008</v>
          </cell>
          <cell r="AS252">
            <v>1.9607843137308122E-4</v>
          </cell>
          <cell r="AT252">
            <v>0.69623813843143312</v>
          </cell>
          <cell r="AU252">
            <v>-3.0635320600000933</v>
          </cell>
          <cell r="AV252">
            <v>9.8039215686540615E-3</v>
          </cell>
          <cell r="AW252">
            <v>-125.7178625889355</v>
          </cell>
          <cell r="AX252">
            <v>0.99839999999999995</v>
          </cell>
          <cell r="AY252">
            <v>0</v>
          </cell>
          <cell r="AZ252">
            <v>0</v>
          </cell>
          <cell r="BA252">
            <v>0</v>
          </cell>
        </row>
        <row r="253">
          <cell r="H253" t="str">
            <v>ETF</v>
          </cell>
          <cell r="I253" t="str">
            <v>00781B</v>
          </cell>
          <cell r="J253" t="str">
            <v>國泰A級科技債</v>
          </cell>
          <cell r="K253">
            <v>47.12</v>
          </cell>
          <cell r="L253">
            <v>47.049500000000002</v>
          </cell>
          <cell r="M253">
            <v>7.0499999999995566E-2</v>
          </cell>
          <cell r="N253">
            <v>1.4984218748339551E-3</v>
          </cell>
          <cell r="O253">
            <v>1373.8453999999999</v>
          </cell>
          <cell r="P253">
            <v>1375.9039999999998</v>
          </cell>
          <cell r="Q253">
            <v>283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60</v>
          </cell>
          <cell r="W253">
            <v>51</v>
          </cell>
          <cell r="X253">
            <v>47.136666666666663</v>
          </cell>
          <cell r="Y253">
            <v>47.127450980392155</v>
          </cell>
          <cell r="Z253">
            <v>292</v>
          </cell>
          <cell r="AA253">
            <v>1</v>
          </cell>
          <cell r="AB253">
            <v>1000</v>
          </cell>
          <cell r="AC253">
            <v>47.136666666666663</v>
          </cell>
          <cell r="AD253">
            <v>47.127450980392155</v>
          </cell>
          <cell r="AE253">
            <v>282.82</v>
          </cell>
          <cell r="AF253">
            <v>240.35</v>
          </cell>
          <cell r="AG253">
            <v>42.47</v>
          </cell>
          <cell r="AH253" t="str">
            <v>NTD</v>
          </cell>
          <cell r="AI253">
            <v>1</v>
          </cell>
          <cell r="AJ253">
            <v>283</v>
          </cell>
          <cell r="AK253">
            <v>47.55</v>
          </cell>
          <cell r="AL253">
            <v>47.61</v>
          </cell>
          <cell r="AM253">
            <v>-6.0000000000002274E-2</v>
          </cell>
          <cell r="AN253">
            <v>-1.260239445494693E-3</v>
          </cell>
          <cell r="AO253">
            <v>-12.471349999999983</v>
          </cell>
          <cell r="AP253">
            <v>0.24035000000000001</v>
          </cell>
          <cell r="AQ253">
            <v>-12.230999999999984</v>
          </cell>
          <cell r="AR253">
            <v>3.6931499999999389</v>
          </cell>
          <cell r="AS253">
            <v>-1.4999999999999148E-2</v>
          </cell>
          <cell r="AT253">
            <v>3.6781499999999396</v>
          </cell>
          <cell r="AU253">
            <v>-15.86214999999993</v>
          </cell>
          <cell r="AV253">
            <v>-4.6999999999993484E-2</v>
          </cell>
          <cell r="AW253">
            <v>-164.87869796137358</v>
          </cell>
          <cell r="AX253">
            <v>0.999</v>
          </cell>
          <cell r="AY253">
            <v>0</v>
          </cell>
          <cell r="AZ253">
            <v>0</v>
          </cell>
          <cell r="BA253">
            <v>0</v>
          </cell>
        </row>
        <row r="254">
          <cell r="H254" t="str">
            <v>ETF</v>
          </cell>
          <cell r="I254" t="str">
            <v>00782B</v>
          </cell>
          <cell r="J254" t="str">
            <v>國泰A級公用債</v>
          </cell>
          <cell r="K254">
            <v>45.28</v>
          </cell>
          <cell r="L254">
            <v>45.257300000000001</v>
          </cell>
          <cell r="M254">
            <v>2.2700000000000387E-2</v>
          </cell>
          <cell r="N254">
            <v>5.0157654124305395E-4</v>
          </cell>
          <cell r="O254">
            <v>320.84257688999998</v>
          </cell>
          <cell r="P254">
            <v>321.00350400000002</v>
          </cell>
          <cell r="Q254">
            <v>65.893000000000001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55</v>
          </cell>
          <cell r="W254">
            <v>50</v>
          </cell>
          <cell r="X254">
            <v>45.309090909090912</v>
          </cell>
          <cell r="Y254">
            <v>45.3</v>
          </cell>
          <cell r="Z254">
            <v>70.893000000000001</v>
          </cell>
          <cell r="AA254">
            <v>1</v>
          </cell>
          <cell r="AB254">
            <v>1000</v>
          </cell>
          <cell r="AC254">
            <v>45.309090909090912</v>
          </cell>
          <cell r="AD254">
            <v>45.3</v>
          </cell>
          <cell r="AE254">
            <v>249.2</v>
          </cell>
          <cell r="AF254">
            <v>226.5</v>
          </cell>
          <cell r="AG254">
            <v>22.699999999999989</v>
          </cell>
          <cell r="AH254" t="str">
            <v>NTD</v>
          </cell>
          <cell r="AI254">
            <v>1</v>
          </cell>
          <cell r="AJ254">
            <v>65.893000000000001</v>
          </cell>
          <cell r="AK254">
            <v>45.8</v>
          </cell>
          <cell r="AL254">
            <v>45.85</v>
          </cell>
          <cell r="AM254">
            <v>-5.0000000000004263E-2</v>
          </cell>
          <cell r="AN254">
            <v>-1.0905125408943173E-3</v>
          </cell>
          <cell r="AO254">
            <v>-3.7129360000000045</v>
          </cell>
          <cell r="AP254">
            <v>0.22650000000000001</v>
          </cell>
          <cell r="AQ254">
            <v>-3.4864360000000043</v>
          </cell>
          <cell r="AR254">
            <v>0.47904211000003061</v>
          </cell>
          <cell r="AS254">
            <v>-1.4545454545455527E-2</v>
          </cell>
          <cell r="AT254">
            <v>0.46449665545457508</v>
          </cell>
          <cell r="AU254">
            <v>-3.9054781100000042</v>
          </cell>
          <cell r="AV254">
            <v>-4.5454545454575168E-2</v>
          </cell>
          <cell r="AW254">
            <v>-37.000381084309673</v>
          </cell>
          <cell r="AX254">
            <v>0.99980000000000002</v>
          </cell>
          <cell r="AY254">
            <v>0</v>
          </cell>
          <cell r="AZ254">
            <v>0</v>
          </cell>
          <cell r="BA254">
            <v>0</v>
          </cell>
        </row>
        <row r="255">
          <cell r="H255" t="str">
            <v>ETF</v>
          </cell>
          <cell r="I255" t="str">
            <v>00784B</v>
          </cell>
          <cell r="J255" t="str">
            <v>富邦中國投等債</v>
          </cell>
          <cell r="K255">
            <v>40.42</v>
          </cell>
          <cell r="L255">
            <v>40.486600000000003</v>
          </cell>
          <cell r="M255">
            <v>-6.6600000000001103E-2</v>
          </cell>
          <cell r="N255">
            <v>-1.6449887123146656E-3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1</v>
          </cell>
          <cell r="AB255">
            <v>1000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 t="str">
            <v>NTD</v>
          </cell>
          <cell r="AI255">
            <v>1</v>
          </cell>
          <cell r="AJ255">
            <v>0</v>
          </cell>
          <cell r="AK255">
            <v>40.659999999999997</v>
          </cell>
          <cell r="AL255">
            <v>40.700000000000003</v>
          </cell>
          <cell r="AM255">
            <v>-4.0000000000006253E-2</v>
          </cell>
          <cell r="AN255">
            <v>-9.8280098280112416E-4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0.999</v>
          </cell>
          <cell r="AY255">
            <v>0</v>
          </cell>
          <cell r="AZ255">
            <v>0</v>
          </cell>
          <cell r="BA255">
            <v>0</v>
          </cell>
        </row>
        <row r="256">
          <cell r="H256" t="str">
            <v>ETF</v>
          </cell>
          <cell r="I256" t="str">
            <v>00785B</v>
          </cell>
          <cell r="J256" t="str">
            <v>富邦金融投等債</v>
          </cell>
          <cell r="K256">
            <v>45.04</v>
          </cell>
          <cell r="L256">
            <v>45.210500000000003</v>
          </cell>
          <cell r="M256">
            <v>-0.17050000000000409</v>
          </cell>
          <cell r="N256">
            <v>-3.7712478295971463E-3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1</v>
          </cell>
          <cell r="AB256">
            <v>1000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 t="str">
            <v>NTD</v>
          </cell>
          <cell r="AI256">
            <v>1</v>
          </cell>
          <cell r="AJ256">
            <v>0</v>
          </cell>
          <cell r="AK256">
            <v>44.98</v>
          </cell>
          <cell r="AL256">
            <v>45.16</v>
          </cell>
          <cell r="AM256">
            <v>-0.17999999999999972</v>
          </cell>
          <cell r="AN256">
            <v>-3.9858281665190454E-3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0.98319999999999996</v>
          </cell>
          <cell r="AY256">
            <v>0</v>
          </cell>
          <cell r="AZ256">
            <v>0</v>
          </cell>
          <cell r="BA256">
            <v>0</v>
          </cell>
        </row>
        <row r="257">
          <cell r="H257" t="str">
            <v>ETF</v>
          </cell>
          <cell r="I257" t="str">
            <v>00786B</v>
          </cell>
          <cell r="J257" t="str">
            <v>元大10年IG銀行債</v>
          </cell>
          <cell r="K257">
            <v>44.25</v>
          </cell>
          <cell r="L257">
            <v>44.341099999999997</v>
          </cell>
          <cell r="M257">
            <v>-9.1099999999997294E-2</v>
          </cell>
          <cell r="N257">
            <v>-2.0545272895799993E-3</v>
          </cell>
          <cell r="O257">
            <v>687.28705000000002</v>
          </cell>
          <cell r="P257">
            <v>685.875</v>
          </cell>
          <cell r="Q257">
            <v>149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6</v>
          </cell>
          <cell r="W257">
            <v>0</v>
          </cell>
          <cell r="X257">
            <v>44.25</v>
          </cell>
          <cell r="Y257">
            <v>0</v>
          </cell>
          <cell r="Z257">
            <v>155</v>
          </cell>
          <cell r="AA257">
            <v>1</v>
          </cell>
          <cell r="AB257">
            <v>1000</v>
          </cell>
          <cell r="AC257">
            <v>44.25</v>
          </cell>
          <cell r="AD257">
            <v>0</v>
          </cell>
          <cell r="AE257">
            <v>26.55</v>
          </cell>
          <cell r="AF257">
            <v>0</v>
          </cell>
          <cell r="AG257">
            <v>26.55</v>
          </cell>
          <cell r="AH257" t="str">
            <v>NTD</v>
          </cell>
          <cell r="AI257">
            <v>1</v>
          </cell>
          <cell r="AJ257">
            <v>149</v>
          </cell>
          <cell r="AK257">
            <v>44.04</v>
          </cell>
          <cell r="AL257">
            <v>44.16</v>
          </cell>
          <cell r="AM257">
            <v>-0.11999999999999744</v>
          </cell>
          <cell r="AN257">
            <v>-2.7173913043477826E-3</v>
          </cell>
          <cell r="AO257">
            <v>3.1290000000000129</v>
          </cell>
          <cell r="AP257">
            <v>0</v>
          </cell>
          <cell r="AQ257">
            <v>3.1290000000000129</v>
          </cell>
          <cell r="AR257">
            <v>0.43061000000000221</v>
          </cell>
          <cell r="AS257">
            <v>0</v>
          </cell>
          <cell r="AT257">
            <v>0.43061000000000221</v>
          </cell>
          <cell r="AU257">
            <v>2.6983900000000105</v>
          </cell>
          <cell r="AV257">
            <v>0</v>
          </cell>
          <cell r="AW257">
            <v>-80.566783327299973</v>
          </cell>
          <cell r="AX257">
            <v>0.99960000000000004</v>
          </cell>
          <cell r="AY257">
            <v>0</v>
          </cell>
          <cell r="AZ257">
            <v>0</v>
          </cell>
          <cell r="BA257">
            <v>0</v>
          </cell>
        </row>
        <row r="258">
          <cell r="H258" t="str">
            <v>ETF</v>
          </cell>
          <cell r="I258" t="str">
            <v>00787B</v>
          </cell>
          <cell r="J258" t="str">
            <v>元大10年IG醫療債</v>
          </cell>
          <cell r="K258">
            <v>45.75</v>
          </cell>
          <cell r="L258">
            <v>45.7699</v>
          </cell>
          <cell r="M258">
            <v>-1.9899999999999807E-2</v>
          </cell>
          <cell r="N258">
            <v>-4.3478355862691664E-4</v>
          </cell>
          <cell r="O258">
            <v>924.55198000000007</v>
          </cell>
          <cell r="P258">
            <v>924.15</v>
          </cell>
          <cell r="Q258">
            <v>155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55</v>
          </cell>
          <cell r="W258">
            <v>8</v>
          </cell>
          <cell r="X258">
            <v>45.87981818181818</v>
          </cell>
          <cell r="Y258">
            <v>45.75</v>
          </cell>
          <cell r="Z258">
            <v>202</v>
          </cell>
          <cell r="AA258">
            <v>1</v>
          </cell>
          <cell r="AB258">
            <v>1000</v>
          </cell>
          <cell r="AC258">
            <v>45.87981818181818</v>
          </cell>
          <cell r="AD258">
            <v>45.75</v>
          </cell>
          <cell r="AE258">
            <v>252.339</v>
          </cell>
          <cell r="AF258">
            <v>36.6</v>
          </cell>
          <cell r="AG258">
            <v>215.739</v>
          </cell>
          <cell r="AH258" t="str">
            <v>NTD</v>
          </cell>
          <cell r="AI258">
            <v>1</v>
          </cell>
          <cell r="AJ258">
            <v>155</v>
          </cell>
          <cell r="AK258">
            <v>46.22</v>
          </cell>
          <cell r="AL258">
            <v>46.3</v>
          </cell>
          <cell r="AM258">
            <v>-7.9999999999998295E-2</v>
          </cell>
          <cell r="AN258">
            <v>-1.7278617710583255E-3</v>
          </cell>
          <cell r="AO258">
            <v>-8.0355999999999721</v>
          </cell>
          <cell r="AP258">
            <v>3.6600000000000001E-2</v>
          </cell>
          <cell r="AQ258">
            <v>-7.9989999999999721</v>
          </cell>
          <cell r="AR258">
            <v>0.93154999999997656</v>
          </cell>
          <cell r="AS258">
            <v>-0.61014545454544733</v>
          </cell>
          <cell r="AT258">
            <v>0.32140454545452923</v>
          </cell>
          <cell r="AU258">
            <v>-8.2165499999999572</v>
          </cell>
          <cell r="AV258">
            <v>-0.10385454545454423</v>
          </cell>
          <cell r="AW258">
            <v>-87.714346633015666</v>
          </cell>
          <cell r="AX258">
            <v>0.99780000000000002</v>
          </cell>
          <cell r="AY258">
            <v>0</v>
          </cell>
          <cell r="AZ258">
            <v>0</v>
          </cell>
          <cell r="BA258">
            <v>0</v>
          </cell>
        </row>
        <row r="259">
          <cell r="H259" t="str">
            <v>ETF</v>
          </cell>
          <cell r="I259" t="str">
            <v>00788B</v>
          </cell>
          <cell r="J259" t="str">
            <v>元大10年IG電能債</v>
          </cell>
          <cell r="K259">
            <v>43.63</v>
          </cell>
          <cell r="L259">
            <v>43.722799999999999</v>
          </cell>
          <cell r="M259">
            <v>-9.2799999999996885E-2</v>
          </cell>
          <cell r="N259">
            <v>-2.1224624223517008E-3</v>
          </cell>
          <cell r="O259">
            <v>1985.01512</v>
          </cell>
          <cell r="P259">
            <v>1980.8019999999999</v>
          </cell>
          <cell r="Q259">
            <v>374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83</v>
          </cell>
          <cell r="W259">
            <v>3</v>
          </cell>
          <cell r="X259">
            <v>43.675180722891568</v>
          </cell>
          <cell r="Y259">
            <v>43.75333333333333</v>
          </cell>
          <cell r="Z259">
            <v>454</v>
          </cell>
          <cell r="AA259">
            <v>1</v>
          </cell>
          <cell r="AB259">
            <v>1000</v>
          </cell>
          <cell r="AC259">
            <v>43.675180722891568</v>
          </cell>
          <cell r="AD259">
            <v>43.75333333333333</v>
          </cell>
          <cell r="AE259">
            <v>362.50400000000002</v>
          </cell>
          <cell r="AF259">
            <v>13.125999999999999</v>
          </cell>
          <cell r="AG259">
            <v>349.37800000000004</v>
          </cell>
          <cell r="AH259" t="str">
            <v>NTD</v>
          </cell>
          <cell r="AI259">
            <v>1</v>
          </cell>
          <cell r="AJ259">
            <v>374</v>
          </cell>
          <cell r="AK259">
            <v>44.29</v>
          </cell>
          <cell r="AL259">
            <v>44.34</v>
          </cell>
          <cell r="AM259">
            <v>-5.0000000000004263E-2</v>
          </cell>
          <cell r="AN259">
            <v>-1.1276499774470761E-3</v>
          </cell>
          <cell r="AO259">
            <v>-25.03512599999987</v>
          </cell>
          <cell r="AP259">
            <v>1.3125999999999999E-2</v>
          </cell>
          <cell r="AQ259">
            <v>-25.021999999999871</v>
          </cell>
          <cell r="AR259">
            <v>-1.6007199999997241</v>
          </cell>
          <cell r="AS259">
            <v>-0.36144578313252396</v>
          </cell>
          <cell r="AT259">
            <v>-1.9621657831322481</v>
          </cell>
          <cell r="AU259">
            <v>-23.083280000000151</v>
          </cell>
          <cell r="AV259">
            <v>2.3445783132528677E-2</v>
          </cell>
          <cell r="AW259">
            <v>-202.88982549839946</v>
          </cell>
          <cell r="AX259">
            <v>0.99880000000000002</v>
          </cell>
          <cell r="AY259">
            <v>0</v>
          </cell>
          <cell r="AZ259">
            <v>0</v>
          </cell>
          <cell r="BA259">
            <v>0</v>
          </cell>
        </row>
        <row r="260">
          <cell r="H260" t="str">
            <v>ETF</v>
          </cell>
          <cell r="I260" t="str">
            <v>00789B</v>
          </cell>
          <cell r="J260" t="str">
            <v>FH公司債A3</v>
          </cell>
          <cell r="K260">
            <v>70.3</v>
          </cell>
          <cell r="L260">
            <v>69.973299999999995</v>
          </cell>
          <cell r="M260">
            <v>0.32670000000000243</v>
          </cell>
          <cell r="N260">
            <v>4.6689237180468357E-3</v>
          </cell>
          <cell r="O260">
            <v>160.93858999999998</v>
          </cell>
          <cell r="P260">
            <v>161.68999999999997</v>
          </cell>
          <cell r="Q260">
            <v>23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50</v>
          </cell>
          <cell r="W260">
            <v>50</v>
          </cell>
          <cell r="X260">
            <v>70.290000000000006</v>
          </cell>
          <cell r="Y260">
            <v>70.290000000000006</v>
          </cell>
          <cell r="Z260">
            <v>23</v>
          </cell>
          <cell r="AA260">
            <v>1</v>
          </cell>
          <cell r="AB260">
            <v>1000</v>
          </cell>
          <cell r="AC260">
            <v>70.290000000000006</v>
          </cell>
          <cell r="AD260">
            <v>70.290000000000006</v>
          </cell>
          <cell r="AE260">
            <v>351.45000000000005</v>
          </cell>
          <cell r="AF260">
            <v>351.45000000000005</v>
          </cell>
          <cell r="AG260">
            <v>0</v>
          </cell>
          <cell r="AH260" t="str">
            <v>NTD</v>
          </cell>
          <cell r="AI260">
            <v>1</v>
          </cell>
          <cell r="AJ260">
            <v>23</v>
          </cell>
          <cell r="AK260">
            <v>71.150000000000006</v>
          </cell>
          <cell r="AL260">
            <v>71</v>
          </cell>
          <cell r="AM260">
            <v>0.15000000000000568</v>
          </cell>
          <cell r="AN260">
            <v>2.1126760563381364E-3</v>
          </cell>
          <cell r="AO260">
            <v>-2.3064500000000194</v>
          </cell>
          <cell r="AP260">
            <v>0.35145000000000004</v>
          </cell>
          <cell r="AQ260">
            <v>-1.9550000000000196</v>
          </cell>
          <cell r="AR260">
            <v>0.40640999999999255</v>
          </cell>
          <cell r="AS260">
            <v>0</v>
          </cell>
          <cell r="AT260">
            <v>0.40640999999999255</v>
          </cell>
          <cell r="AU260">
            <v>-2.3614100000000122</v>
          </cell>
          <cell r="AV260">
            <v>0</v>
          </cell>
          <cell r="AW260">
            <v>-19.817222782594868</v>
          </cell>
          <cell r="AX260">
            <v>0.99070000000000003</v>
          </cell>
          <cell r="AY260">
            <v>0</v>
          </cell>
          <cell r="AZ260">
            <v>0</v>
          </cell>
          <cell r="BA260">
            <v>0</v>
          </cell>
        </row>
        <row r="261">
          <cell r="H261" t="str">
            <v>ETF</v>
          </cell>
          <cell r="I261" t="str">
            <v>00790B</v>
          </cell>
          <cell r="J261" t="str">
            <v>FH次順位IG金融債</v>
          </cell>
          <cell r="K261">
            <v>67.05</v>
          </cell>
          <cell r="L261">
            <v>66.825800000000001</v>
          </cell>
          <cell r="M261">
            <v>0.22419999999999618</v>
          </cell>
          <cell r="N261">
            <v>3.3549916349673303E-3</v>
          </cell>
          <cell r="O261">
            <v>521.24124000000006</v>
          </cell>
          <cell r="P261">
            <v>522.99</v>
          </cell>
          <cell r="Q261">
            <v>78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50</v>
          </cell>
          <cell r="W261">
            <v>50</v>
          </cell>
          <cell r="X261">
            <v>67.05</v>
          </cell>
          <cell r="Y261">
            <v>67.05</v>
          </cell>
          <cell r="Z261">
            <v>78</v>
          </cell>
          <cell r="AA261">
            <v>1</v>
          </cell>
          <cell r="AB261">
            <v>1000</v>
          </cell>
          <cell r="AC261">
            <v>67.05</v>
          </cell>
          <cell r="AD261">
            <v>67.05</v>
          </cell>
          <cell r="AE261">
            <v>335.25</v>
          </cell>
          <cell r="AF261">
            <v>335.25</v>
          </cell>
          <cell r="AG261">
            <v>0</v>
          </cell>
          <cell r="AH261" t="str">
            <v>NTD</v>
          </cell>
          <cell r="AI261">
            <v>1</v>
          </cell>
          <cell r="AJ261">
            <v>78</v>
          </cell>
          <cell r="AK261">
            <v>66.900000000000006</v>
          </cell>
          <cell r="AL261">
            <v>66.739999999999995</v>
          </cell>
          <cell r="AM261">
            <v>0.1600000000000108</v>
          </cell>
          <cell r="AN261">
            <v>2.3973629008091635E-3</v>
          </cell>
          <cell r="AO261">
            <v>0.83474999999993349</v>
          </cell>
          <cell r="AP261">
            <v>0.33524999999999999</v>
          </cell>
          <cell r="AQ261">
            <v>1.1699999999999335</v>
          </cell>
          <cell r="AR261">
            <v>0.50075999999988596</v>
          </cell>
          <cell r="AS261">
            <v>0</v>
          </cell>
          <cell r="AT261">
            <v>0.50075999999988596</v>
          </cell>
          <cell r="AU261">
            <v>0.66924000000004757</v>
          </cell>
          <cell r="AV261">
            <v>0</v>
          </cell>
          <cell r="AW261">
            <v>-62.804011784645702</v>
          </cell>
          <cell r="AX261">
            <v>0.9849</v>
          </cell>
          <cell r="AY261">
            <v>0</v>
          </cell>
          <cell r="AZ261">
            <v>0</v>
          </cell>
          <cell r="BA261">
            <v>0</v>
          </cell>
        </row>
        <row r="262">
          <cell r="H262" t="str">
            <v>ETF</v>
          </cell>
          <cell r="I262" t="str">
            <v>00791B</v>
          </cell>
          <cell r="J262" t="str">
            <v>FH美元信用債1-5Y</v>
          </cell>
          <cell r="K262">
            <v>59.95</v>
          </cell>
          <cell r="L262">
            <v>59.755499999999998</v>
          </cell>
          <cell r="M262">
            <v>0.194500000000005</v>
          </cell>
          <cell r="N262">
            <v>3.2549305084887958E-3</v>
          </cell>
          <cell r="O262">
            <v>382.43520000000001</v>
          </cell>
          <cell r="P262">
            <v>383.68</v>
          </cell>
          <cell r="Q262">
            <v>64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50</v>
          </cell>
          <cell r="W262">
            <v>50</v>
          </cell>
          <cell r="X262">
            <v>59.95</v>
          </cell>
          <cell r="Y262">
            <v>59.95</v>
          </cell>
          <cell r="Z262">
            <v>64</v>
          </cell>
          <cell r="AA262">
            <v>1</v>
          </cell>
          <cell r="AB262">
            <v>1000</v>
          </cell>
          <cell r="AC262">
            <v>59.95</v>
          </cell>
          <cell r="AD262">
            <v>59.95</v>
          </cell>
          <cell r="AE262">
            <v>299.75</v>
          </cell>
          <cell r="AF262">
            <v>299.75</v>
          </cell>
          <cell r="AG262">
            <v>0</v>
          </cell>
          <cell r="AH262" t="str">
            <v>NTD</v>
          </cell>
          <cell r="AI262">
            <v>1</v>
          </cell>
          <cell r="AJ262">
            <v>64</v>
          </cell>
          <cell r="AK262">
            <v>59.85</v>
          </cell>
          <cell r="AL262">
            <v>59.73</v>
          </cell>
          <cell r="AM262">
            <v>0.12000000000000455</v>
          </cell>
          <cell r="AN262">
            <v>2.0090406830739482E-3</v>
          </cell>
          <cell r="AO262">
            <v>0.34025000000000899</v>
          </cell>
          <cell r="AP262">
            <v>0.29975000000000002</v>
          </cell>
          <cell r="AQ262">
            <v>0.64000000000000901</v>
          </cell>
          <cell r="AR262">
            <v>0.47680000000000289</v>
          </cell>
          <cell r="AS262">
            <v>0</v>
          </cell>
          <cell r="AT262">
            <v>0.47680000000000289</v>
          </cell>
          <cell r="AU262">
            <v>0.16320000000000617</v>
          </cell>
          <cell r="AV262">
            <v>0</v>
          </cell>
          <cell r="AW262">
            <v>-46.264074353814586</v>
          </cell>
          <cell r="AX262">
            <v>0.98799999999999999</v>
          </cell>
          <cell r="AY262">
            <v>0</v>
          </cell>
          <cell r="AZ262">
            <v>0</v>
          </cell>
          <cell r="BA262">
            <v>0</v>
          </cell>
        </row>
        <row r="263">
          <cell r="H263" t="str">
            <v>ETF</v>
          </cell>
          <cell r="I263" t="str">
            <v>00792B</v>
          </cell>
          <cell r="J263" t="str">
            <v>群益A級公司債</v>
          </cell>
          <cell r="K263">
            <v>46.04</v>
          </cell>
          <cell r="L263">
            <v>45.712600000000002</v>
          </cell>
          <cell r="M263">
            <v>0.32739999999999725</v>
          </cell>
          <cell r="N263">
            <v>7.1621391038794169E-3</v>
          </cell>
          <cell r="O263">
            <v>292.56063999999998</v>
          </cell>
          <cell r="P263">
            <v>294.65600000000001</v>
          </cell>
          <cell r="Q263">
            <v>116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50</v>
          </cell>
          <cell r="W263">
            <v>102</v>
          </cell>
          <cell r="X263">
            <v>46.04</v>
          </cell>
          <cell r="Y263">
            <v>46.044705882352943</v>
          </cell>
          <cell r="Z263">
            <v>64</v>
          </cell>
          <cell r="AA263">
            <v>1</v>
          </cell>
          <cell r="AB263">
            <v>1000</v>
          </cell>
          <cell r="AC263">
            <v>46.04</v>
          </cell>
          <cell r="AD263">
            <v>46.044705882352943</v>
          </cell>
          <cell r="AE263">
            <v>230.2</v>
          </cell>
          <cell r="AF263">
            <v>469.65600000000001</v>
          </cell>
          <cell r="AG263">
            <v>-239.45600000000002</v>
          </cell>
          <cell r="AH263" t="str">
            <v>NTD</v>
          </cell>
          <cell r="AI263">
            <v>1</v>
          </cell>
          <cell r="AJ263">
            <v>116</v>
          </cell>
          <cell r="AK263">
            <v>46.25</v>
          </cell>
          <cell r="AL263">
            <v>46.14</v>
          </cell>
          <cell r="AM263">
            <v>0.10999999999999943</v>
          </cell>
          <cell r="AN263">
            <v>2.3840485478976436E-3</v>
          </cell>
          <cell r="AO263">
            <v>-2.8576559999999813</v>
          </cell>
          <cell r="AP263">
            <v>0.46965600000000002</v>
          </cell>
          <cell r="AQ263">
            <v>-2.3879999999999812</v>
          </cell>
          <cell r="AR263">
            <v>2.5218399999999748</v>
          </cell>
          <cell r="AS263">
            <v>2.4470588235308809E-2</v>
          </cell>
          <cell r="AT263">
            <v>2.5463105882352837</v>
          </cell>
          <cell r="AU263">
            <v>-4.9578399999999849</v>
          </cell>
          <cell r="AV263">
            <v>2.352941176472001E-2</v>
          </cell>
          <cell r="AW263">
            <v>-65.496110727159788</v>
          </cell>
          <cell r="AX263">
            <v>0.999</v>
          </cell>
          <cell r="AY263">
            <v>0</v>
          </cell>
          <cell r="AZ263">
            <v>0</v>
          </cell>
          <cell r="BA263">
            <v>0</v>
          </cell>
        </row>
        <row r="264">
          <cell r="H264" t="str">
            <v>ETF</v>
          </cell>
          <cell r="I264" t="str">
            <v>00793B</v>
          </cell>
          <cell r="J264" t="str">
            <v>群益AAA-A醫療債</v>
          </cell>
          <cell r="K264">
            <v>46.12</v>
          </cell>
          <cell r="L264">
            <v>45.9024</v>
          </cell>
          <cell r="M264">
            <v>0.21759999999999735</v>
          </cell>
          <cell r="N264">
            <v>4.7404928718324246E-3</v>
          </cell>
          <cell r="O264">
            <v>927.22847999999988</v>
          </cell>
          <cell r="P264">
            <v>931.62400000000002</v>
          </cell>
          <cell r="Q264">
            <v>229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50</v>
          </cell>
          <cell r="W264">
            <v>77</v>
          </cell>
          <cell r="X264">
            <v>46.19</v>
          </cell>
          <cell r="Y264">
            <v>46.202727272727273</v>
          </cell>
          <cell r="Z264">
            <v>202</v>
          </cell>
          <cell r="AA264">
            <v>1</v>
          </cell>
          <cell r="AB264">
            <v>1000</v>
          </cell>
          <cell r="AC264">
            <v>46.19</v>
          </cell>
          <cell r="AD264">
            <v>46.202727272727273</v>
          </cell>
          <cell r="AE264">
            <v>230.95</v>
          </cell>
          <cell r="AF264">
            <v>355.76100000000002</v>
          </cell>
          <cell r="AG264">
            <v>-124.81100000000004</v>
          </cell>
          <cell r="AH264" t="str">
            <v>NTD</v>
          </cell>
          <cell r="AI264">
            <v>1</v>
          </cell>
          <cell r="AJ264">
            <v>229</v>
          </cell>
          <cell r="AK264">
            <v>46.84</v>
          </cell>
          <cell r="AL264">
            <v>46.73</v>
          </cell>
          <cell r="AM264">
            <v>0.11000000000000654</v>
          </cell>
          <cell r="AN264">
            <v>2.3539482131393896E-3</v>
          </cell>
          <cell r="AO264">
            <v>-16.556761000000115</v>
          </cell>
          <cell r="AP264">
            <v>0.35576099999999999</v>
          </cell>
          <cell r="AQ264">
            <v>-16.201000000000114</v>
          </cell>
          <cell r="AR264">
            <v>2.4640399999997893</v>
          </cell>
          <cell r="AS264">
            <v>0.22336363636364426</v>
          </cell>
          <cell r="AT264">
            <v>2.6874036363634337</v>
          </cell>
          <cell r="AU264">
            <v>-18.952039999999926</v>
          </cell>
          <cell r="AV264">
            <v>6.3636363636376814E-2</v>
          </cell>
          <cell r="AW264">
            <v>-130.9517165205896</v>
          </cell>
          <cell r="AX264">
            <v>0.999</v>
          </cell>
          <cell r="AY264">
            <v>0</v>
          </cell>
          <cell r="AZ264">
            <v>0</v>
          </cell>
          <cell r="BA264">
            <v>0</v>
          </cell>
        </row>
        <row r="265">
          <cell r="H265" t="str">
            <v>ETF</v>
          </cell>
          <cell r="I265" t="str">
            <v>00794B</v>
          </cell>
          <cell r="J265" t="str">
            <v>群益7+中國政金債</v>
          </cell>
          <cell r="K265">
            <v>38.880000000000003</v>
          </cell>
          <cell r="L265">
            <v>38.884799999999998</v>
          </cell>
          <cell r="M265">
            <v>-4.7999999999959186E-3</v>
          </cell>
          <cell r="N265">
            <v>-1.2344155042576244E-4</v>
          </cell>
          <cell r="O265">
            <v>186.64704</v>
          </cell>
          <cell r="P265">
            <v>186.62400000000002</v>
          </cell>
          <cell r="Q265">
            <v>49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50</v>
          </cell>
          <cell r="W265">
            <v>51</v>
          </cell>
          <cell r="X265">
            <v>38.880000000000003</v>
          </cell>
          <cell r="Y265">
            <v>38.880784313725492</v>
          </cell>
          <cell r="Z265">
            <v>48</v>
          </cell>
          <cell r="AA265">
            <v>1</v>
          </cell>
          <cell r="AB265">
            <v>1000</v>
          </cell>
          <cell r="AC265">
            <v>38.880000000000003</v>
          </cell>
          <cell r="AD265">
            <v>38.880784313725492</v>
          </cell>
          <cell r="AE265">
            <v>194.40000000000003</v>
          </cell>
          <cell r="AF265">
            <v>198.292</v>
          </cell>
          <cell r="AG265">
            <v>-3.8919999999999675</v>
          </cell>
          <cell r="AH265" t="str">
            <v>NTD</v>
          </cell>
          <cell r="AI265">
            <v>1</v>
          </cell>
          <cell r="AJ265">
            <v>49</v>
          </cell>
          <cell r="AK265">
            <v>39.130000000000003</v>
          </cell>
          <cell r="AL265">
            <v>39.06</v>
          </cell>
          <cell r="AM265">
            <v>7.0000000000000284E-2</v>
          </cell>
          <cell r="AN265">
            <v>1.7921146953405742E-3</v>
          </cell>
          <cell r="AO265">
            <v>-1.4192920000000036</v>
          </cell>
          <cell r="AP265">
            <v>0.198292</v>
          </cell>
          <cell r="AQ265">
            <v>-1.2210000000000036</v>
          </cell>
          <cell r="AR265">
            <v>-0.36651999999998136</v>
          </cell>
          <cell r="AS265">
            <v>7.843137254894827E-5</v>
          </cell>
          <cell r="AT265">
            <v>-0.36644156862743243</v>
          </cell>
          <cell r="AU265">
            <v>-0.85848000000001867</v>
          </cell>
          <cell r="AV265">
            <v>3.9215686274474137E-3</v>
          </cell>
          <cell r="AW265">
            <v>-1.5076647418142093</v>
          </cell>
          <cell r="AX265">
            <v>0</v>
          </cell>
          <cell r="AY265">
            <v>0.999</v>
          </cell>
          <cell r="AZ265">
            <v>0</v>
          </cell>
          <cell r="BA265">
            <v>0</v>
          </cell>
        </row>
        <row r="266">
          <cell r="H266" t="str">
            <v>ETF</v>
          </cell>
          <cell r="I266" t="str">
            <v>00795B</v>
          </cell>
          <cell r="J266" t="str">
            <v>中信美國公債20年</v>
          </cell>
          <cell r="K266">
            <v>47.88</v>
          </cell>
          <cell r="L266">
            <v>47.920200000000001</v>
          </cell>
          <cell r="M266">
            <v>-4.0199999999998681E-2</v>
          </cell>
          <cell r="N266">
            <v>-8.3889466237618837E-4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1</v>
          </cell>
          <cell r="AB266">
            <v>1000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 t="str">
            <v>NTD</v>
          </cell>
          <cell r="AI266">
            <v>1</v>
          </cell>
          <cell r="AJ266">
            <v>0</v>
          </cell>
          <cell r="AK266">
            <v>49.34</v>
          </cell>
          <cell r="AL266">
            <v>49.3</v>
          </cell>
          <cell r="AM266">
            <v>4.0000000000006253E-2</v>
          </cell>
          <cell r="AN266">
            <v>8.113590263691961E-4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0.99350000000000005</v>
          </cell>
          <cell r="AY266">
            <v>0</v>
          </cell>
          <cell r="AZ266">
            <v>0</v>
          </cell>
          <cell r="BA266">
            <v>0</v>
          </cell>
        </row>
        <row r="267">
          <cell r="H267" t="str">
            <v>ETF</v>
          </cell>
          <cell r="I267" t="str">
            <v>00796B</v>
          </cell>
          <cell r="J267" t="str">
            <v>中信中國債7-10</v>
          </cell>
          <cell r="K267">
            <v>38.85</v>
          </cell>
          <cell r="L267">
            <v>38.7864</v>
          </cell>
          <cell r="M267">
            <v>6.3600000000000989E-2</v>
          </cell>
          <cell r="N267">
            <v>1.6397500154694544E-3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1</v>
          </cell>
          <cell r="AB267">
            <v>1000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 t="str">
            <v>NTD</v>
          </cell>
          <cell r="AI267">
            <v>1</v>
          </cell>
          <cell r="AJ267">
            <v>0</v>
          </cell>
          <cell r="AK267">
            <v>38.979999999999997</v>
          </cell>
          <cell r="AL267">
            <v>38.840000000000003</v>
          </cell>
          <cell r="AM267">
            <v>0.13999999999999346</v>
          </cell>
          <cell r="AN267">
            <v>3.6045314109163229E-3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0.97550000000000003</v>
          </cell>
          <cell r="AZ267">
            <v>0</v>
          </cell>
          <cell r="BA267">
            <v>0</v>
          </cell>
        </row>
        <row r="268">
          <cell r="H268" t="str">
            <v>ETF</v>
          </cell>
          <cell r="I268" t="str">
            <v>00798B</v>
          </cell>
          <cell r="J268" t="str">
            <v>國泰中企A級債7+</v>
          </cell>
          <cell r="K268">
            <v>42.25</v>
          </cell>
          <cell r="L268">
            <v>42.397199999999998</v>
          </cell>
          <cell r="M268">
            <v>-0.147199999999998</v>
          </cell>
          <cell r="N268">
            <v>-3.4719273914314286E-3</v>
          </cell>
          <cell r="O268">
            <v>640.19771999999989</v>
          </cell>
          <cell r="P268">
            <v>637.97500000000002</v>
          </cell>
          <cell r="Q268">
            <v>152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50</v>
          </cell>
          <cell r="W268">
            <v>51</v>
          </cell>
          <cell r="X268">
            <v>42.25</v>
          </cell>
          <cell r="Y268">
            <v>42.251176470588234</v>
          </cell>
          <cell r="Z268">
            <v>151</v>
          </cell>
          <cell r="AA268">
            <v>1</v>
          </cell>
          <cell r="AB268">
            <v>1000</v>
          </cell>
          <cell r="AC268">
            <v>42.25</v>
          </cell>
          <cell r="AD268">
            <v>42.251176470588234</v>
          </cell>
          <cell r="AE268">
            <v>211.25</v>
          </cell>
          <cell r="AF268">
            <v>215.48099999999999</v>
          </cell>
          <cell r="AG268">
            <v>-4.2309999999999945</v>
          </cell>
          <cell r="AH268" t="str">
            <v>NTD</v>
          </cell>
          <cell r="AI268">
            <v>1</v>
          </cell>
          <cell r="AJ268">
            <v>152</v>
          </cell>
          <cell r="AK268">
            <v>42.4</v>
          </cell>
          <cell r="AL268">
            <v>42.61</v>
          </cell>
          <cell r="AM268">
            <v>-0.21000000000000085</v>
          </cell>
          <cell r="AN268">
            <v>-4.9284205585543583E-3</v>
          </cell>
          <cell r="AO268">
            <v>-2.4894809999999841</v>
          </cell>
          <cell r="AP268">
            <v>0.21548100000000001</v>
          </cell>
          <cell r="AQ268">
            <v>-2.273999999999984</v>
          </cell>
          <cell r="AR268">
            <v>0.95456000000004337</v>
          </cell>
          <cell r="AS268">
            <v>1.1764705882342242E-4</v>
          </cell>
          <cell r="AT268">
            <v>0.95467764705886682</v>
          </cell>
          <cell r="AU268">
            <v>-3.2345600000000219</v>
          </cell>
          <cell r="AV268">
            <v>5.8823529411711206E-3</v>
          </cell>
          <cell r="AW268">
            <v>-79.256530026458165</v>
          </cell>
          <cell r="AX268">
            <v>0.999</v>
          </cell>
          <cell r="AY268">
            <v>0</v>
          </cell>
          <cell r="AZ268">
            <v>0</v>
          </cell>
          <cell r="BA268">
            <v>0</v>
          </cell>
        </row>
        <row r="269">
          <cell r="H269" t="str">
            <v>ETF</v>
          </cell>
          <cell r="I269" t="str">
            <v>00799B</v>
          </cell>
          <cell r="J269" t="str">
            <v>國泰A級醫療債</v>
          </cell>
          <cell r="K269">
            <v>44.9</v>
          </cell>
          <cell r="L269">
            <v>44.835099999999997</v>
          </cell>
          <cell r="M269">
            <v>6.4900000000001512E-2</v>
          </cell>
          <cell r="N269">
            <v>1.4475266030409273E-3</v>
          </cell>
          <cell r="O269">
            <v>4487.9935099999993</v>
          </cell>
          <cell r="P269">
            <v>4494.49</v>
          </cell>
          <cell r="Q269">
            <v>1001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51</v>
          </cell>
          <cell r="W269">
            <v>51</v>
          </cell>
          <cell r="X269">
            <v>44.90176470588235</v>
          </cell>
          <cell r="Y269">
            <v>44.904901960784315</v>
          </cell>
          <cell r="Z269">
            <v>1001</v>
          </cell>
          <cell r="AA269">
            <v>1</v>
          </cell>
          <cell r="AB269">
            <v>1000</v>
          </cell>
          <cell r="AC269">
            <v>44.90176470588235</v>
          </cell>
          <cell r="AD269">
            <v>44.904901960784315</v>
          </cell>
          <cell r="AE269">
            <v>228.999</v>
          </cell>
          <cell r="AF269">
            <v>229.01499999999999</v>
          </cell>
          <cell r="AG269">
            <v>-1.5999999999991132E-2</v>
          </cell>
          <cell r="AH269" t="str">
            <v>NTD</v>
          </cell>
          <cell r="AI269">
            <v>1</v>
          </cell>
          <cell r="AJ269">
            <v>1001</v>
          </cell>
          <cell r="AK269">
            <v>45.3</v>
          </cell>
          <cell r="AL269">
            <v>45.35</v>
          </cell>
          <cell r="AM269">
            <v>-5.0000000000004263E-2</v>
          </cell>
          <cell r="AN269">
            <v>-1.1025358324145973E-3</v>
          </cell>
          <cell r="AO269">
            <v>-40.253014999999834</v>
          </cell>
          <cell r="AP269">
            <v>0.229015</v>
          </cell>
          <cell r="AQ269">
            <v>-40.023999999999837</v>
          </cell>
          <cell r="AR269">
            <v>11.501490000000578</v>
          </cell>
          <cell r="AS269">
            <v>0</v>
          </cell>
          <cell r="AT269">
            <v>11.501490000000578</v>
          </cell>
          <cell r="AU269">
            <v>-51.541490000000437</v>
          </cell>
          <cell r="AV269">
            <v>1.6000000000021684E-2</v>
          </cell>
          <cell r="AW269">
            <v>-553.84106185497728</v>
          </cell>
          <cell r="AX269">
            <v>0.996</v>
          </cell>
          <cell r="AY269">
            <v>0</v>
          </cell>
          <cell r="AZ269">
            <v>0</v>
          </cell>
          <cell r="BA269">
            <v>0</v>
          </cell>
        </row>
        <row r="270">
          <cell r="H270" t="str">
            <v>ETF</v>
          </cell>
          <cell r="I270" t="str">
            <v>00831B</v>
          </cell>
          <cell r="J270" t="str">
            <v>新光美債1-3</v>
          </cell>
          <cell r="K270">
            <v>39.85</v>
          </cell>
          <cell r="L270">
            <v>39.801299999999998</v>
          </cell>
          <cell r="M270">
            <v>4.870000000000374E-2</v>
          </cell>
          <cell r="N270">
            <v>1.2235781243328248E-3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1</v>
          </cell>
          <cell r="AB270">
            <v>1000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 t="str">
            <v>NTD</v>
          </cell>
          <cell r="AI270">
            <v>1</v>
          </cell>
          <cell r="AJ270">
            <v>0</v>
          </cell>
          <cell r="AK270">
            <v>39.93</v>
          </cell>
          <cell r="AL270">
            <v>39.979999999999997</v>
          </cell>
          <cell r="AM270">
            <v>-4.9999999999997158E-2</v>
          </cell>
          <cell r="AN270">
            <v>-1.250625312656295E-3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0.98980000000000001</v>
          </cell>
          <cell r="AY270">
            <v>0</v>
          </cell>
          <cell r="AZ270">
            <v>0</v>
          </cell>
          <cell r="BA270">
            <v>0</v>
          </cell>
        </row>
        <row r="271">
          <cell r="H271" t="str">
            <v>ETF</v>
          </cell>
          <cell r="I271" t="str">
            <v>00832B</v>
          </cell>
          <cell r="J271" t="str">
            <v>新光美債20+</v>
          </cell>
          <cell r="K271">
            <v>49.5</v>
          </cell>
          <cell r="L271">
            <v>49.3568</v>
          </cell>
          <cell r="M271">
            <v>0.14320000000000022</v>
          </cell>
          <cell r="N271">
            <v>2.9013226141079151E-3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1</v>
          </cell>
          <cell r="AB271">
            <v>1000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 t="str">
            <v>NTD</v>
          </cell>
          <cell r="AI271">
            <v>1</v>
          </cell>
          <cell r="AJ271">
            <v>0</v>
          </cell>
          <cell r="AK271">
            <v>50.35</v>
          </cell>
          <cell r="AL271">
            <v>50.89</v>
          </cell>
          <cell r="AM271">
            <v>-0.53999999999999915</v>
          </cell>
          <cell r="AN271">
            <v>-1.0611122027903264E-2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0.97770000000000001</v>
          </cell>
          <cell r="AY271">
            <v>0</v>
          </cell>
          <cell r="AZ271">
            <v>0</v>
          </cell>
          <cell r="BA271">
            <v>0</v>
          </cell>
        </row>
        <row r="272">
          <cell r="H272" t="str">
            <v>ETF</v>
          </cell>
          <cell r="I272" t="str">
            <v>00833B</v>
          </cell>
          <cell r="J272" t="str">
            <v>第一金美債20+</v>
          </cell>
          <cell r="K272">
            <v>47.06</v>
          </cell>
          <cell r="L272">
            <v>47.245100000000001</v>
          </cell>
          <cell r="M272">
            <v>-0.18509999999999849</v>
          </cell>
          <cell r="N272">
            <v>-3.9178666147388075E-3</v>
          </cell>
          <cell r="O272">
            <v>907.10591999999997</v>
          </cell>
          <cell r="P272">
            <v>903.55200000000002</v>
          </cell>
          <cell r="Q272">
            <v>192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50</v>
          </cell>
          <cell r="W272">
            <v>50</v>
          </cell>
          <cell r="X272">
            <v>47.18</v>
          </cell>
          <cell r="Y272">
            <v>47.18</v>
          </cell>
          <cell r="Z272">
            <v>192</v>
          </cell>
          <cell r="AA272">
            <v>1</v>
          </cell>
          <cell r="AB272">
            <v>1000</v>
          </cell>
          <cell r="AC272">
            <v>47.18</v>
          </cell>
          <cell r="AD272">
            <v>47.18</v>
          </cell>
          <cell r="AE272">
            <v>235.9</v>
          </cell>
          <cell r="AF272">
            <v>235.9</v>
          </cell>
          <cell r="AG272">
            <v>0</v>
          </cell>
          <cell r="AH272" t="str">
            <v>NTD</v>
          </cell>
          <cell r="AI272">
            <v>1</v>
          </cell>
          <cell r="AJ272">
            <v>192</v>
          </cell>
          <cell r="AK272">
            <v>48.35</v>
          </cell>
          <cell r="AL272">
            <v>48.66</v>
          </cell>
          <cell r="AM272">
            <v>-0.30999999999999517</v>
          </cell>
          <cell r="AN272">
            <v>-6.3707357172214651E-3</v>
          </cell>
          <cell r="AO272">
            <v>-25.00389999999998</v>
          </cell>
          <cell r="AP272">
            <v>0.2359</v>
          </cell>
          <cell r="AQ272">
            <v>-24.767999999999979</v>
          </cell>
          <cell r="AR272">
            <v>2.3980799999999363</v>
          </cell>
          <cell r="AS272">
            <v>0</v>
          </cell>
          <cell r="AT272">
            <v>2.3980799999999363</v>
          </cell>
          <cell r="AU272">
            <v>-27.166079999999916</v>
          </cell>
          <cell r="AV272">
            <v>0</v>
          </cell>
          <cell r="AW272">
            <v>-113.58429654707282</v>
          </cell>
          <cell r="AX272">
            <v>0.99250000000000005</v>
          </cell>
          <cell r="AY272">
            <v>0</v>
          </cell>
          <cell r="AZ272">
            <v>0</v>
          </cell>
          <cell r="BA272">
            <v>0</v>
          </cell>
        </row>
        <row r="273">
          <cell r="H273" t="str">
            <v>ETF</v>
          </cell>
          <cell r="I273" t="str">
            <v>00834B</v>
          </cell>
          <cell r="J273" t="str">
            <v>第一金金融債10+</v>
          </cell>
          <cell r="K273">
            <v>44.64</v>
          </cell>
          <cell r="L273">
            <v>44.6494</v>
          </cell>
          <cell r="M273">
            <v>-9.3999999999994088E-3</v>
          </cell>
          <cell r="N273">
            <v>-2.1052914484853691E-4</v>
          </cell>
          <cell r="O273">
            <v>276.82628</v>
          </cell>
          <cell r="P273">
            <v>276.76799999999997</v>
          </cell>
          <cell r="Q273">
            <v>62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50</v>
          </cell>
          <cell r="W273">
            <v>50</v>
          </cell>
          <cell r="X273">
            <v>44.72</v>
          </cell>
          <cell r="Y273">
            <v>44.72</v>
          </cell>
          <cell r="Z273">
            <v>62</v>
          </cell>
          <cell r="AA273">
            <v>1</v>
          </cell>
          <cell r="AB273">
            <v>1000</v>
          </cell>
          <cell r="AC273">
            <v>44.72</v>
          </cell>
          <cell r="AD273">
            <v>44.72</v>
          </cell>
          <cell r="AE273">
            <v>223.6</v>
          </cell>
          <cell r="AF273">
            <v>223.6</v>
          </cell>
          <cell r="AG273">
            <v>0</v>
          </cell>
          <cell r="AH273" t="str">
            <v>NTD</v>
          </cell>
          <cell r="AI273">
            <v>1</v>
          </cell>
          <cell r="AJ273">
            <v>62</v>
          </cell>
          <cell r="AK273">
            <v>44.44</v>
          </cell>
          <cell r="AL273">
            <v>44.6</v>
          </cell>
          <cell r="AM273">
            <v>-0.16000000000000369</v>
          </cell>
          <cell r="AN273">
            <v>-3.5874439461883734E-3</v>
          </cell>
          <cell r="AO273">
            <v>1.0164000000000177</v>
          </cell>
          <cell r="AP273">
            <v>0.22359999999999999</v>
          </cell>
          <cell r="AQ273">
            <v>1.2400000000000178</v>
          </cell>
          <cell r="AR273">
            <v>0.93372000000002664</v>
          </cell>
          <cell r="AS273">
            <v>0</v>
          </cell>
          <cell r="AT273">
            <v>0.93372000000002664</v>
          </cell>
          <cell r="AU273">
            <v>0.30627999999999106</v>
          </cell>
          <cell r="AV273">
            <v>0</v>
          </cell>
          <cell r="AW273">
            <v>-33.739910969395318</v>
          </cell>
          <cell r="AX273">
            <v>0.99609999999999999</v>
          </cell>
          <cell r="AY273">
            <v>0</v>
          </cell>
          <cell r="AZ273">
            <v>0</v>
          </cell>
          <cell r="BA273">
            <v>0</v>
          </cell>
        </row>
        <row r="274">
          <cell r="H274" t="str">
            <v>ETF</v>
          </cell>
          <cell r="I274" t="str">
            <v>00835B</v>
          </cell>
          <cell r="J274" t="str">
            <v>第一金科技債10+</v>
          </cell>
          <cell r="K274">
            <v>44.27</v>
          </cell>
          <cell r="L274">
            <v>44.376899999999999</v>
          </cell>
          <cell r="M274">
            <v>-0.106899999999996</v>
          </cell>
          <cell r="N274">
            <v>-2.4089109424045851E-3</v>
          </cell>
          <cell r="O274">
            <v>905.28875999999991</v>
          </cell>
          <cell r="P274">
            <v>903.10799999999995</v>
          </cell>
          <cell r="Q274">
            <v>204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1</v>
          </cell>
          <cell r="W274">
            <v>1</v>
          </cell>
          <cell r="X274">
            <v>44.27</v>
          </cell>
          <cell r="Y274">
            <v>44.27</v>
          </cell>
          <cell r="Z274">
            <v>204</v>
          </cell>
          <cell r="AA274">
            <v>1</v>
          </cell>
          <cell r="AB274">
            <v>1000</v>
          </cell>
          <cell r="AC274">
            <v>44.27</v>
          </cell>
          <cell r="AD274">
            <v>44.27</v>
          </cell>
          <cell r="AE274">
            <v>4.4269999999999996</v>
          </cell>
          <cell r="AF274">
            <v>4.4269999999999996</v>
          </cell>
          <cell r="AG274">
            <v>0</v>
          </cell>
          <cell r="AH274" t="str">
            <v>NTD</v>
          </cell>
          <cell r="AI274">
            <v>1</v>
          </cell>
          <cell r="AJ274">
            <v>204</v>
          </cell>
          <cell r="AK274">
            <v>44.73</v>
          </cell>
          <cell r="AL274">
            <v>44.74</v>
          </cell>
          <cell r="AM274">
            <v>-1.0000000000005116E-2</v>
          </cell>
          <cell r="AN274">
            <v>-2.2351363433181781E-4</v>
          </cell>
          <cell r="AO274">
            <v>-9.3884269999998722</v>
          </cell>
          <cell r="AP274">
            <v>4.4270000000000004E-3</v>
          </cell>
          <cell r="AQ274">
            <v>-9.3839999999998724</v>
          </cell>
          <cell r="AR274">
            <v>-1.976759999999814</v>
          </cell>
          <cell r="AS274">
            <v>0</v>
          </cell>
          <cell r="AT274">
            <v>-1.976759999999814</v>
          </cell>
          <cell r="AU274">
            <v>-7.4072400000000593</v>
          </cell>
          <cell r="AV274">
            <v>0</v>
          </cell>
          <cell r="AW274">
            <v>-111.0729899208513</v>
          </cell>
          <cell r="AX274">
            <v>0.99350000000000005</v>
          </cell>
          <cell r="AY274">
            <v>0</v>
          </cell>
          <cell r="AZ274">
            <v>0</v>
          </cell>
          <cell r="BA274">
            <v>0</v>
          </cell>
        </row>
        <row r="275">
          <cell r="H275" t="str">
            <v>ETF</v>
          </cell>
          <cell r="I275" t="str">
            <v>00836B</v>
          </cell>
          <cell r="J275" t="str">
            <v>永豐10年A公司債</v>
          </cell>
          <cell r="K275">
            <v>43.15</v>
          </cell>
          <cell r="L275">
            <v>43.12</v>
          </cell>
          <cell r="M275">
            <v>3.0000000000001137E-2</v>
          </cell>
          <cell r="N275">
            <v>6.9573283858992419E-4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1</v>
          </cell>
          <cell r="AB275">
            <v>1000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 t="str">
            <v>NTD</v>
          </cell>
          <cell r="AI275">
            <v>1</v>
          </cell>
          <cell r="AJ275">
            <v>0</v>
          </cell>
          <cell r="AK275">
            <v>43.4</v>
          </cell>
          <cell r="AL275">
            <v>43.5</v>
          </cell>
          <cell r="AM275">
            <v>-0.10000000000000142</v>
          </cell>
          <cell r="AN275">
            <v>-2.2988505747126853E-3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0.9899</v>
          </cell>
          <cell r="AY275">
            <v>0</v>
          </cell>
          <cell r="AZ275">
            <v>0</v>
          </cell>
          <cell r="BA275">
            <v>0</v>
          </cell>
        </row>
        <row r="276">
          <cell r="H276" t="str">
            <v>ETF</v>
          </cell>
          <cell r="I276" t="str">
            <v>00837B</v>
          </cell>
          <cell r="J276" t="str">
            <v>永豐15年金融債</v>
          </cell>
          <cell r="K276">
            <v>35.89</v>
          </cell>
          <cell r="L276">
            <v>35.99</v>
          </cell>
          <cell r="M276">
            <v>-0.10000000000000142</v>
          </cell>
          <cell r="N276">
            <v>-2.7785495971103247E-3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1</v>
          </cell>
          <cell r="AB276">
            <v>1000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 t="str">
            <v>NTD</v>
          </cell>
          <cell r="AI276">
            <v>1</v>
          </cell>
          <cell r="AJ276">
            <v>0</v>
          </cell>
          <cell r="AK276">
            <v>36.49</v>
          </cell>
          <cell r="AL276">
            <v>36.5</v>
          </cell>
          <cell r="AM276">
            <v>-9.9999999999980105E-3</v>
          </cell>
          <cell r="AN276">
            <v>-2.7397260273964719E-4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0.99239999999999995</v>
          </cell>
          <cell r="AY276">
            <v>0</v>
          </cell>
          <cell r="AZ276">
            <v>0</v>
          </cell>
          <cell r="BA276">
            <v>0</v>
          </cell>
        </row>
        <row r="277">
          <cell r="H277" t="str">
            <v>ETF</v>
          </cell>
          <cell r="I277" t="str">
            <v>00838B</v>
          </cell>
          <cell r="J277" t="str">
            <v>永豐7-10年中國債</v>
          </cell>
          <cell r="K277">
            <v>38.49</v>
          </cell>
          <cell r="L277">
            <v>38.56</v>
          </cell>
          <cell r="M277">
            <v>-7.0000000000000284E-2</v>
          </cell>
          <cell r="N277">
            <v>-1.8153526970954292E-3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1</v>
          </cell>
          <cell r="AB277">
            <v>1000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 t="str">
            <v>NTD</v>
          </cell>
          <cell r="AI277">
            <v>1</v>
          </cell>
          <cell r="AJ277">
            <v>0</v>
          </cell>
          <cell r="AK277">
            <v>38.78</v>
          </cell>
          <cell r="AL277">
            <v>38.770000000000003</v>
          </cell>
          <cell r="AM277">
            <v>9.9999999999980105E-3</v>
          </cell>
          <cell r="AN277">
            <v>2.5793139025021006E-4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0.98740000000000006</v>
          </cell>
          <cell r="AZ277">
            <v>0</v>
          </cell>
          <cell r="BA277">
            <v>0</v>
          </cell>
        </row>
        <row r="278">
          <cell r="H278" t="str">
            <v>ETF</v>
          </cell>
          <cell r="I278" t="str">
            <v>00839B</v>
          </cell>
          <cell r="J278" t="str">
            <v>凱基醫療保健債</v>
          </cell>
          <cell r="K278">
            <v>44.28</v>
          </cell>
          <cell r="L278">
            <v>44.27</v>
          </cell>
          <cell r="M278">
            <v>9.9999999999980105E-3</v>
          </cell>
          <cell r="N278">
            <v>2.2588660492428581E-4</v>
          </cell>
          <cell r="O278">
            <v>841.13000000000022</v>
          </cell>
          <cell r="P278">
            <v>841.32</v>
          </cell>
          <cell r="Q278">
            <v>190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50</v>
          </cell>
          <cell r="W278">
            <v>50</v>
          </cell>
          <cell r="X278">
            <v>44.27</v>
          </cell>
          <cell r="Y278">
            <v>44.27</v>
          </cell>
          <cell r="Z278">
            <v>190</v>
          </cell>
          <cell r="AA278">
            <v>1</v>
          </cell>
          <cell r="AB278">
            <v>1000</v>
          </cell>
          <cell r="AC278">
            <v>44.27</v>
          </cell>
          <cell r="AD278">
            <v>44.27</v>
          </cell>
          <cell r="AE278">
            <v>221.35</v>
          </cell>
          <cell r="AF278">
            <v>221.35</v>
          </cell>
          <cell r="AG278">
            <v>0</v>
          </cell>
          <cell r="AH278" t="str">
            <v>NTD</v>
          </cell>
          <cell r="AI278">
            <v>1</v>
          </cell>
          <cell r="AJ278">
            <v>190</v>
          </cell>
          <cell r="AK278">
            <v>44.7</v>
          </cell>
          <cell r="AL278">
            <v>44.72</v>
          </cell>
          <cell r="AM278">
            <v>-1.9999999999996021E-2</v>
          </cell>
          <cell r="AN278">
            <v>-4.4722719141310208E-4</v>
          </cell>
          <cell r="AO278">
            <v>-8.2013500000000317</v>
          </cell>
          <cell r="AP278">
            <v>0.22134999999999999</v>
          </cell>
          <cell r="AQ278">
            <v>-7.9800000000000324</v>
          </cell>
          <cell r="AR278">
            <v>0.5699999999998866</v>
          </cell>
          <cell r="AS278">
            <v>0</v>
          </cell>
          <cell r="AT278">
            <v>0.5699999999998866</v>
          </cell>
          <cell r="AU278">
            <v>-8.549999999999919</v>
          </cell>
          <cell r="AV278">
            <v>0</v>
          </cell>
          <cell r="AW278">
            <v>-102.66511628013126</v>
          </cell>
          <cell r="AX278">
            <v>0.98640000000000005</v>
          </cell>
          <cell r="AY278">
            <v>0</v>
          </cell>
          <cell r="AZ278">
            <v>0</v>
          </cell>
          <cell r="BA278">
            <v>0</v>
          </cell>
        </row>
        <row r="279">
          <cell r="H279" t="str">
            <v>ETF</v>
          </cell>
          <cell r="I279" t="str">
            <v>00841B</v>
          </cell>
          <cell r="J279" t="str">
            <v>凱基AAA-AA公司債</v>
          </cell>
          <cell r="K279">
            <v>43.29</v>
          </cell>
          <cell r="L279">
            <v>43.29</v>
          </cell>
          <cell r="M279">
            <v>0</v>
          </cell>
          <cell r="N279">
            <v>0</v>
          </cell>
          <cell r="O279">
            <v>1129.8689999999999</v>
          </cell>
          <cell r="P279">
            <v>1129.8689999999999</v>
          </cell>
          <cell r="Q279">
            <v>257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55</v>
          </cell>
          <cell r="W279">
            <v>51</v>
          </cell>
          <cell r="X279">
            <v>43.308181818181815</v>
          </cell>
          <cell r="Y279">
            <v>43.313725490196077</v>
          </cell>
          <cell r="Z279">
            <v>261</v>
          </cell>
          <cell r="AA279">
            <v>1</v>
          </cell>
          <cell r="AB279">
            <v>1000</v>
          </cell>
          <cell r="AC279">
            <v>43.308181818181815</v>
          </cell>
          <cell r="AD279">
            <v>43.313725490196077</v>
          </cell>
          <cell r="AE279">
            <v>238.19499999999999</v>
          </cell>
          <cell r="AF279">
            <v>220.9</v>
          </cell>
          <cell r="AG279">
            <v>17.294999999999987</v>
          </cell>
          <cell r="AH279" t="str">
            <v>NTD</v>
          </cell>
          <cell r="AI279">
            <v>1</v>
          </cell>
          <cell r="AJ279">
            <v>257</v>
          </cell>
          <cell r="AK279">
            <v>44.05</v>
          </cell>
          <cell r="AL279">
            <v>44.06</v>
          </cell>
          <cell r="AM279">
            <v>-1.0000000000005116E-2</v>
          </cell>
          <cell r="AN279">
            <v>-2.2696323195658952E-4</v>
          </cell>
          <cell r="AO279">
            <v>-19.731899999999939</v>
          </cell>
          <cell r="AP279">
            <v>0.22090000000000001</v>
          </cell>
          <cell r="AQ279">
            <v>-19.510999999999939</v>
          </cell>
          <cell r="AR279">
            <v>0.25700000000013146</v>
          </cell>
          <cell r="AS279">
            <v>-7.2727272727263429E-3</v>
          </cell>
          <cell r="AT279">
            <v>0.24972727272740511</v>
          </cell>
          <cell r="AU279">
            <v>-19.789000000000083</v>
          </cell>
          <cell r="AV279">
            <v>2.8272727272737802E-2</v>
          </cell>
          <cell r="AW279">
            <v>-136.62440720060741</v>
          </cell>
          <cell r="AX279">
            <v>0.98499999999999999</v>
          </cell>
          <cell r="AY279">
            <v>0</v>
          </cell>
          <cell r="AZ279">
            <v>0</v>
          </cell>
          <cell r="BA279">
            <v>0</v>
          </cell>
        </row>
        <row r="280">
          <cell r="H280" t="str">
            <v>ETF</v>
          </cell>
          <cell r="I280" t="str">
            <v>00842B</v>
          </cell>
          <cell r="J280" t="str">
            <v>台新美元銀行債</v>
          </cell>
          <cell r="K280">
            <v>42.47</v>
          </cell>
          <cell r="L280">
            <v>42.56</v>
          </cell>
          <cell r="M280">
            <v>-9.0000000000003411E-2</v>
          </cell>
          <cell r="N280">
            <v>-2.1146616541354302E-3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1</v>
          </cell>
          <cell r="AB280">
            <v>1000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 t="str">
            <v>NTD</v>
          </cell>
          <cell r="AI280">
            <v>1</v>
          </cell>
          <cell r="AJ280">
            <v>0</v>
          </cell>
          <cell r="AK280">
            <v>42.21</v>
          </cell>
          <cell r="AL280">
            <v>42.41</v>
          </cell>
          <cell r="AM280">
            <v>-0.19999999999999574</v>
          </cell>
          <cell r="AN280">
            <v>-4.7158688988445663E-3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0.99060000000000004</v>
          </cell>
          <cell r="AY280">
            <v>0</v>
          </cell>
          <cell r="AZ280">
            <v>0</v>
          </cell>
          <cell r="BA280">
            <v>0</v>
          </cell>
        </row>
        <row r="281">
          <cell r="H281" t="str">
            <v>ETF</v>
          </cell>
          <cell r="I281" t="str">
            <v>00843B</v>
          </cell>
          <cell r="J281" t="str">
            <v>台新中國政策債</v>
          </cell>
          <cell r="K281">
            <v>38.49</v>
          </cell>
          <cell r="L281">
            <v>38.6</v>
          </cell>
          <cell r="M281">
            <v>-0.10999999999999943</v>
          </cell>
          <cell r="N281">
            <v>-2.8497409326424528E-3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1</v>
          </cell>
          <cell r="AB281">
            <v>1000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 t="str">
            <v>NTD</v>
          </cell>
          <cell r="AI281">
            <v>1</v>
          </cell>
          <cell r="AJ281">
            <v>0</v>
          </cell>
          <cell r="AK281">
            <v>38.75</v>
          </cell>
          <cell r="AL281">
            <v>38.75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0.99</v>
          </cell>
          <cell r="AZ281">
            <v>0</v>
          </cell>
          <cell r="BA281">
            <v>0</v>
          </cell>
        </row>
        <row r="282">
          <cell r="H282" t="str">
            <v>ETF</v>
          </cell>
          <cell r="I282" t="str">
            <v>00844B</v>
          </cell>
          <cell r="J282" t="str">
            <v>新光15年IG金融債</v>
          </cell>
          <cell r="K282">
            <v>42.15</v>
          </cell>
          <cell r="L282">
            <v>42.052500000000002</v>
          </cell>
          <cell r="M282">
            <v>9.7499999999996589E-2</v>
          </cell>
          <cell r="N282">
            <v>2.3185304084178959E-3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1</v>
          </cell>
          <cell r="AB282">
            <v>1000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 t="str">
            <v>NTD</v>
          </cell>
          <cell r="AI282">
            <v>1</v>
          </cell>
          <cell r="AJ282">
            <v>0</v>
          </cell>
          <cell r="AK282">
            <v>41.82</v>
          </cell>
          <cell r="AL282">
            <v>41.97</v>
          </cell>
          <cell r="AM282">
            <v>-0.14999999999999858</v>
          </cell>
          <cell r="AN282">
            <v>-3.5739814152966343E-3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0.98080000000000001</v>
          </cell>
          <cell r="AY282">
            <v>0</v>
          </cell>
          <cell r="AZ282">
            <v>0</v>
          </cell>
          <cell r="BA282">
            <v>0</v>
          </cell>
        </row>
        <row r="283">
          <cell r="H283" t="str">
            <v>ETF</v>
          </cell>
          <cell r="I283" t="str">
            <v>00845B</v>
          </cell>
          <cell r="J283" t="str">
            <v>富邦新興投等債</v>
          </cell>
          <cell r="K283">
            <v>37.75</v>
          </cell>
          <cell r="L283">
            <v>37.8095</v>
          </cell>
          <cell r="M283">
            <v>-5.9499999999999886E-2</v>
          </cell>
          <cell r="N283">
            <v>-1.573678572845405E-3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1</v>
          </cell>
          <cell r="AB283">
            <v>1000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 t="str">
            <v>NTD</v>
          </cell>
          <cell r="AI283">
            <v>1</v>
          </cell>
          <cell r="AJ283">
            <v>0</v>
          </cell>
          <cell r="AK283">
            <v>37.53</v>
          </cell>
          <cell r="AL283">
            <v>37.68</v>
          </cell>
          <cell r="AM283">
            <v>-0.14999999999999858</v>
          </cell>
          <cell r="AN283">
            <v>-3.9808917197451388E-3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0.98140000000000005</v>
          </cell>
          <cell r="AY283">
            <v>0</v>
          </cell>
          <cell r="AZ283">
            <v>0</v>
          </cell>
          <cell r="BA283">
            <v>0</v>
          </cell>
        </row>
        <row r="284">
          <cell r="H284" t="str">
            <v>ETF</v>
          </cell>
          <cell r="I284" t="str">
            <v>00846B</v>
          </cell>
          <cell r="J284" t="str">
            <v>富邦歐洲銀行債</v>
          </cell>
          <cell r="K284">
            <v>39.65</v>
          </cell>
          <cell r="L284">
            <v>39.805100000000003</v>
          </cell>
          <cell r="M284">
            <v>-0.15510000000000446</v>
          </cell>
          <cell r="N284">
            <v>-3.8964856262138081E-3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1</v>
          </cell>
          <cell r="AB284">
            <v>1000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 t="str">
            <v>NTD</v>
          </cell>
          <cell r="AI284">
            <v>1</v>
          </cell>
          <cell r="AJ284">
            <v>0</v>
          </cell>
          <cell r="AK284">
            <v>39.65</v>
          </cell>
          <cell r="AL284">
            <v>39.869999999999997</v>
          </cell>
          <cell r="AM284">
            <v>-0.21999999999999886</v>
          </cell>
          <cell r="AN284">
            <v>-5.5179332831702954E-3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0.99199999999999999</v>
          </cell>
          <cell r="AY284">
            <v>0</v>
          </cell>
          <cell r="AZ284">
            <v>0</v>
          </cell>
          <cell r="BA284">
            <v>0</v>
          </cell>
        </row>
        <row r="285">
          <cell r="H285" t="str">
            <v>ETF</v>
          </cell>
          <cell r="I285" t="str">
            <v>00847B</v>
          </cell>
          <cell r="J285" t="str">
            <v>中信美國市政債</v>
          </cell>
          <cell r="K285">
            <v>37.79</v>
          </cell>
          <cell r="L285">
            <v>37.676699999999997</v>
          </cell>
          <cell r="M285">
            <v>0.1133000000000024</v>
          </cell>
          <cell r="N285">
            <v>3.0071635785513529E-3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1</v>
          </cell>
          <cell r="AB285">
            <v>1000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 t="str">
            <v>NTD</v>
          </cell>
          <cell r="AI285">
            <v>1</v>
          </cell>
          <cell r="AJ285">
            <v>0</v>
          </cell>
          <cell r="AK285">
            <v>38.340000000000003</v>
          </cell>
          <cell r="AL285">
            <v>38.340000000000003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0.96099999999999997</v>
          </cell>
          <cell r="AY285">
            <v>0</v>
          </cell>
          <cell r="AZ285">
            <v>0</v>
          </cell>
          <cell r="BA285">
            <v>0</v>
          </cell>
        </row>
        <row r="286">
          <cell r="H286" t="str">
            <v>ETF</v>
          </cell>
          <cell r="I286" t="str">
            <v>00848B</v>
          </cell>
          <cell r="J286" t="str">
            <v>中信新興亞洲債</v>
          </cell>
          <cell r="K286">
            <v>39.6</v>
          </cell>
          <cell r="L286">
            <v>39.579099999999997</v>
          </cell>
          <cell r="M286">
            <v>2.0900000000004582E-2</v>
          </cell>
          <cell r="N286">
            <v>5.280564742504712E-4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1</v>
          </cell>
          <cell r="AB286">
            <v>1000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 t="str">
            <v>NTD</v>
          </cell>
          <cell r="AI286">
            <v>1</v>
          </cell>
          <cell r="AJ286">
            <v>0</v>
          </cell>
          <cell r="AK286">
            <v>39.479999999999997</v>
          </cell>
          <cell r="AL286">
            <v>39.47</v>
          </cell>
          <cell r="AM286">
            <v>9.9999999999980105E-3</v>
          </cell>
          <cell r="AN286">
            <v>2.5335697998474238E-4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0.99650000000000005</v>
          </cell>
          <cell r="AY286">
            <v>0</v>
          </cell>
          <cell r="AZ286">
            <v>0</v>
          </cell>
          <cell r="BA286">
            <v>0</v>
          </cell>
        </row>
        <row r="287">
          <cell r="H287" t="str">
            <v>ETF</v>
          </cell>
          <cell r="I287" t="str">
            <v>00849B</v>
          </cell>
          <cell r="J287" t="str">
            <v>中信EM主權債0-5</v>
          </cell>
          <cell r="K287">
            <v>39.020000000000003</v>
          </cell>
          <cell r="L287">
            <v>39.043199999999999</v>
          </cell>
          <cell r="M287">
            <v>-2.3199999999995669E-2</v>
          </cell>
          <cell r="N287">
            <v>-5.9421358904998556E-4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1</v>
          </cell>
          <cell r="AB287">
            <v>1000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 t="str">
            <v>NTD</v>
          </cell>
          <cell r="AI287">
            <v>1</v>
          </cell>
          <cell r="AJ287">
            <v>0</v>
          </cell>
          <cell r="AK287">
            <v>39.090000000000003</v>
          </cell>
          <cell r="AL287">
            <v>39.1</v>
          </cell>
          <cell r="AM287">
            <v>-9.9999999999980105E-3</v>
          </cell>
          <cell r="AN287">
            <v>-2.5575447570325149E-4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0.97350000000000003</v>
          </cell>
          <cell r="AY287">
            <v>0</v>
          </cell>
          <cell r="AZ287">
            <v>0</v>
          </cell>
          <cell r="BA287">
            <v>0</v>
          </cell>
        </row>
        <row r="288">
          <cell r="H288" t="str">
            <v>ETF</v>
          </cell>
          <cell r="I288" t="str">
            <v>00853B</v>
          </cell>
          <cell r="J288" t="str">
            <v>統一美債10年Aa-A</v>
          </cell>
          <cell r="K288">
            <v>38.06</v>
          </cell>
          <cell r="L288">
            <v>38.409999999999997</v>
          </cell>
          <cell r="M288">
            <v>-0.34999999999999432</v>
          </cell>
          <cell r="N288">
            <v>-9.1122103618848094E-3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1</v>
          </cell>
          <cell r="AB288">
            <v>1000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 t="str">
            <v>NTD</v>
          </cell>
          <cell r="AI288">
            <v>1</v>
          </cell>
          <cell r="AJ288">
            <v>0</v>
          </cell>
          <cell r="AK288">
            <v>38.619999999999997</v>
          </cell>
          <cell r="AL288">
            <v>38.89</v>
          </cell>
          <cell r="AM288">
            <v>-0.27000000000000313</v>
          </cell>
          <cell r="AN288">
            <v>-6.9426587811777241E-3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0.96850000000000003</v>
          </cell>
          <cell r="AY288">
            <v>0</v>
          </cell>
          <cell r="AZ288">
            <v>0</v>
          </cell>
          <cell r="BA288">
            <v>0</v>
          </cell>
        </row>
        <row r="289">
          <cell r="H289" t="str">
            <v>ETF</v>
          </cell>
          <cell r="I289" t="str">
            <v>00854B</v>
          </cell>
          <cell r="J289" t="str">
            <v>富邦全球保險債</v>
          </cell>
          <cell r="K289">
            <v>40.76</v>
          </cell>
          <cell r="L289">
            <v>40.825200000000002</v>
          </cell>
          <cell r="M289">
            <v>-6.5200000000004366E-2</v>
          </cell>
          <cell r="N289">
            <v>-1.5970528007211993E-3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1</v>
          </cell>
          <cell r="AB289">
            <v>1000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 t="str">
            <v>NTD</v>
          </cell>
          <cell r="AI289">
            <v>1</v>
          </cell>
          <cell r="AJ289">
            <v>0</v>
          </cell>
          <cell r="AK289">
            <v>41.09</v>
          </cell>
          <cell r="AL289">
            <v>41.28</v>
          </cell>
          <cell r="AM289">
            <v>-0.18999999999999773</v>
          </cell>
          <cell r="AN289">
            <v>-4.6027131782945263E-3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0.98599999999999999</v>
          </cell>
          <cell r="AY289">
            <v>0</v>
          </cell>
          <cell r="AZ289">
            <v>0</v>
          </cell>
          <cell r="BA289">
            <v>0</v>
          </cell>
        </row>
        <row r="290">
          <cell r="H290" t="str">
            <v>ETF</v>
          </cell>
          <cell r="I290" t="str">
            <v>00855B</v>
          </cell>
          <cell r="J290" t="str">
            <v>富邦全球能源債</v>
          </cell>
          <cell r="K290">
            <v>37.840000000000003</v>
          </cell>
          <cell r="L290">
            <v>38.007800000000003</v>
          </cell>
          <cell r="M290">
            <v>-0.16779999999999973</v>
          </cell>
          <cell r="N290">
            <v>-4.4148832608043032E-3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1</v>
          </cell>
          <cell r="AB290">
            <v>1000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 t="str">
            <v>NTD</v>
          </cell>
          <cell r="AI290">
            <v>1</v>
          </cell>
          <cell r="AJ290">
            <v>0</v>
          </cell>
          <cell r="AK290">
            <v>37.909999999999997</v>
          </cell>
          <cell r="AL290">
            <v>38.14</v>
          </cell>
          <cell r="AM290">
            <v>-0.23000000000000398</v>
          </cell>
          <cell r="AN290">
            <v>-6.030414263240802E-3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0.97870000000000001</v>
          </cell>
          <cell r="AY290">
            <v>0</v>
          </cell>
          <cell r="AZ290">
            <v>0</v>
          </cell>
          <cell r="BA290">
            <v>0</v>
          </cell>
        </row>
        <row r="291">
          <cell r="H291" t="str">
            <v>ETF</v>
          </cell>
          <cell r="I291" t="str">
            <v>00856B</v>
          </cell>
          <cell r="J291" t="str">
            <v>永豐1-3年美公債</v>
          </cell>
          <cell r="K291">
            <v>39.39</v>
          </cell>
          <cell r="L291">
            <v>39.39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1</v>
          </cell>
          <cell r="AB291">
            <v>1000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 t="str">
            <v>NTD</v>
          </cell>
          <cell r="AI291">
            <v>1</v>
          </cell>
          <cell r="AJ291">
            <v>0</v>
          </cell>
          <cell r="AK291">
            <v>39.5</v>
          </cell>
          <cell r="AL291">
            <v>39.5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0.99399999999999999</v>
          </cell>
          <cell r="AY291">
            <v>0</v>
          </cell>
          <cell r="AZ291">
            <v>0</v>
          </cell>
          <cell r="BA291">
            <v>0</v>
          </cell>
        </row>
        <row r="292">
          <cell r="H292" t="str">
            <v>ETF</v>
          </cell>
          <cell r="I292" t="str">
            <v>00857B</v>
          </cell>
          <cell r="J292" t="str">
            <v>永豐20年美公債</v>
          </cell>
          <cell r="K292">
            <v>42.6</v>
          </cell>
          <cell r="L292">
            <v>42.74</v>
          </cell>
          <cell r="M292">
            <v>-0.14000000000000057</v>
          </cell>
          <cell r="N292">
            <v>-3.2756200280767978E-3</v>
          </cell>
          <cell r="O292">
            <v>2213.9319999999998</v>
          </cell>
          <cell r="P292">
            <v>2206.6799999999998</v>
          </cell>
          <cell r="Q292">
            <v>518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518</v>
          </cell>
          <cell r="AA292">
            <v>1</v>
          </cell>
          <cell r="AB292">
            <v>1000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 t="str">
            <v>NTD</v>
          </cell>
          <cell r="AI292">
            <v>1</v>
          </cell>
          <cell r="AJ292">
            <v>518</v>
          </cell>
          <cell r="AK292">
            <v>43.67</v>
          </cell>
          <cell r="AL292">
            <v>43.98</v>
          </cell>
          <cell r="AM292">
            <v>-0.30999999999999517</v>
          </cell>
          <cell r="AN292">
            <v>-7.0486584811276787E-3</v>
          </cell>
          <cell r="AO292">
            <v>-55.426000000000009</v>
          </cell>
          <cell r="AP292">
            <v>0</v>
          </cell>
          <cell r="AQ292">
            <v>-55.426000000000009</v>
          </cell>
          <cell r="AR292">
            <v>8.8059999999997203</v>
          </cell>
          <cell r="AS292">
            <v>0</v>
          </cell>
          <cell r="AT292">
            <v>8.8059999999997203</v>
          </cell>
          <cell r="AU292">
            <v>-64.231999999999729</v>
          </cell>
          <cell r="AV292">
            <v>0</v>
          </cell>
          <cell r="AW292">
            <v>-275.85197797427685</v>
          </cell>
          <cell r="AX292">
            <v>0.98850000000000005</v>
          </cell>
          <cell r="AY292">
            <v>0</v>
          </cell>
          <cell r="AZ292">
            <v>0</v>
          </cell>
          <cell r="BA292">
            <v>0</v>
          </cell>
        </row>
        <row r="293">
          <cell r="H293" t="str">
            <v>ETF</v>
          </cell>
          <cell r="I293" t="str">
            <v>00859B</v>
          </cell>
          <cell r="J293" t="str">
            <v>群益0-1年美債</v>
          </cell>
          <cell r="K293">
            <v>39.04</v>
          </cell>
          <cell r="L293">
            <v>39.008699999999997</v>
          </cell>
          <cell r="M293">
            <v>3.130000000000166E-2</v>
          </cell>
          <cell r="N293">
            <v>8.0238510896291082E-4</v>
          </cell>
          <cell r="O293">
            <v>678.75137999999993</v>
          </cell>
          <cell r="P293">
            <v>679.29600000000005</v>
          </cell>
          <cell r="Q293">
            <v>179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50</v>
          </cell>
          <cell r="W293">
            <v>55</v>
          </cell>
          <cell r="X293">
            <v>39.04</v>
          </cell>
          <cell r="Y293">
            <v>39.044727272727272</v>
          </cell>
          <cell r="Z293">
            <v>174</v>
          </cell>
          <cell r="AA293">
            <v>1</v>
          </cell>
          <cell r="AB293">
            <v>1000</v>
          </cell>
          <cell r="AC293">
            <v>39.04</v>
          </cell>
          <cell r="AD293">
            <v>39.044727272727272</v>
          </cell>
          <cell r="AE293">
            <v>195.2</v>
          </cell>
          <cell r="AF293">
            <v>214.74600000000001</v>
          </cell>
          <cell r="AG293">
            <v>-19.546000000000021</v>
          </cell>
          <cell r="AH293" t="str">
            <v>NTD</v>
          </cell>
          <cell r="AI293">
            <v>1</v>
          </cell>
          <cell r="AJ293">
            <v>179</v>
          </cell>
          <cell r="AK293">
            <v>39.119999999999997</v>
          </cell>
          <cell r="AL293">
            <v>39.1</v>
          </cell>
          <cell r="AM293">
            <v>1.9999999999996021E-2</v>
          </cell>
          <cell r="AN293">
            <v>5.1150895140650299E-4</v>
          </cell>
          <cell r="AO293">
            <v>-1.6207459999999698</v>
          </cell>
          <cell r="AP293">
            <v>0.21474599999999999</v>
          </cell>
          <cell r="AQ293">
            <v>-1.4059999999999697</v>
          </cell>
          <cell r="AR293">
            <v>0.20227000000010092</v>
          </cell>
          <cell r="AS293">
            <v>2.3636363636363455E-3</v>
          </cell>
          <cell r="AT293">
            <v>0.20463363636373727</v>
          </cell>
          <cell r="AU293">
            <v>-1.6342700000000705</v>
          </cell>
          <cell r="AV293">
            <v>2.3636363636363455E-2</v>
          </cell>
          <cell r="AW293">
            <v>-85.620800168085054</v>
          </cell>
          <cell r="AX293">
            <v>0.99870000000000003</v>
          </cell>
          <cell r="AY293">
            <v>0</v>
          </cell>
          <cell r="AZ293">
            <v>0</v>
          </cell>
          <cell r="BA293">
            <v>0</v>
          </cell>
        </row>
        <row r="294">
          <cell r="H294" t="str">
            <v>ETF</v>
          </cell>
          <cell r="I294" t="str">
            <v>00860B</v>
          </cell>
          <cell r="J294" t="str">
            <v>群益1-5年IG債</v>
          </cell>
          <cell r="K294">
            <v>39.700000000000003</v>
          </cell>
          <cell r="L294">
            <v>39.688200000000002</v>
          </cell>
          <cell r="M294">
            <v>1.1800000000000921E-2</v>
          </cell>
          <cell r="N294">
            <v>2.9731759061890628E-4</v>
          </cell>
          <cell r="O294">
            <v>837.42101999999988</v>
          </cell>
          <cell r="P294">
            <v>837.67000000000007</v>
          </cell>
          <cell r="Q294">
            <v>143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119</v>
          </cell>
          <cell r="W294">
            <v>51</v>
          </cell>
          <cell r="X294">
            <v>39.722100840336132</v>
          </cell>
          <cell r="Y294">
            <v>39.719607843137254</v>
          </cell>
          <cell r="Z294">
            <v>211</v>
          </cell>
          <cell r="AA294">
            <v>1</v>
          </cell>
          <cell r="AB294">
            <v>1000</v>
          </cell>
          <cell r="AC294">
            <v>39.722100840336132</v>
          </cell>
          <cell r="AD294">
            <v>39.719607843137254</v>
          </cell>
          <cell r="AE294">
            <v>472.69299999999993</v>
          </cell>
          <cell r="AF294">
            <v>202.57</v>
          </cell>
          <cell r="AG294">
            <v>270.12299999999993</v>
          </cell>
          <cell r="AH294" t="str">
            <v>NTD</v>
          </cell>
          <cell r="AI294">
            <v>1</v>
          </cell>
          <cell r="AJ294">
            <v>143</v>
          </cell>
          <cell r="AK294">
            <v>39.770000000000003</v>
          </cell>
          <cell r="AL294">
            <v>39.75</v>
          </cell>
          <cell r="AM294">
            <v>2.0000000000003126E-2</v>
          </cell>
          <cell r="AN294">
            <v>5.0314465408818343E-4</v>
          </cell>
          <cell r="AO294">
            <v>-1.3665699999999643</v>
          </cell>
          <cell r="AP294">
            <v>0.20257</v>
          </cell>
          <cell r="AQ294">
            <v>-1.1639999999999644</v>
          </cell>
          <cell r="AR294">
            <v>-0.11726000000003155</v>
          </cell>
          <cell r="AS294">
            <v>-0.15028571428568113</v>
          </cell>
          <cell r="AT294">
            <v>-0.26754571428571267</v>
          </cell>
          <cell r="AU294">
            <v>-0.88373999999997255</v>
          </cell>
          <cell r="AV294">
            <v>-1.2714285714279336E-2</v>
          </cell>
          <cell r="AW294">
            <v>-69.55896361165756</v>
          </cell>
          <cell r="AX294">
            <v>0.999</v>
          </cell>
          <cell r="AY294">
            <v>0</v>
          </cell>
          <cell r="AZ294">
            <v>0</v>
          </cell>
          <cell r="BA294">
            <v>0</v>
          </cell>
        </row>
        <row r="295">
          <cell r="H295" t="str">
            <v>ETF</v>
          </cell>
          <cell r="I295" t="str">
            <v>00862B</v>
          </cell>
          <cell r="J295" t="str">
            <v>中信投資級公司債</v>
          </cell>
          <cell r="K295">
            <v>40.549999999999997</v>
          </cell>
          <cell r="L295">
            <v>40.807699999999997</v>
          </cell>
          <cell r="M295">
            <v>-0.25769999999999982</v>
          </cell>
          <cell r="N295">
            <v>-6.3149846720104152E-3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1</v>
          </cell>
          <cell r="AB295">
            <v>1000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 t="str">
            <v>NTD</v>
          </cell>
          <cell r="AI295">
            <v>1</v>
          </cell>
          <cell r="AJ295">
            <v>0</v>
          </cell>
          <cell r="AK295">
            <v>40.75</v>
          </cell>
          <cell r="AL295">
            <v>41.05</v>
          </cell>
          <cell r="AM295">
            <v>-0.29999999999999716</v>
          </cell>
          <cell r="AN295">
            <v>-7.3081607795371095E-3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0.9909</v>
          </cell>
          <cell r="AY295">
            <v>0</v>
          </cell>
          <cell r="AZ295">
            <v>0</v>
          </cell>
          <cell r="BA295">
            <v>0</v>
          </cell>
        </row>
        <row r="296">
          <cell r="H296" t="str">
            <v>ETF</v>
          </cell>
          <cell r="I296" t="str">
            <v>00863B</v>
          </cell>
          <cell r="J296" t="str">
            <v>中信全球電信債</v>
          </cell>
          <cell r="K296">
            <v>42.22</v>
          </cell>
          <cell r="L296">
            <v>42.265099999999997</v>
          </cell>
          <cell r="M296">
            <v>-4.509999999999792E-2</v>
          </cell>
          <cell r="N296">
            <v>-1.0670742527522092E-3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1</v>
          </cell>
          <cell r="AB296">
            <v>1000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 t="str">
            <v>NTD</v>
          </cell>
          <cell r="AI296">
            <v>1</v>
          </cell>
          <cell r="AJ296">
            <v>0</v>
          </cell>
          <cell r="AK296">
            <v>42.3</v>
          </cell>
          <cell r="AL296">
            <v>42.52</v>
          </cell>
          <cell r="AM296">
            <v>-0.22000000000000597</v>
          </cell>
          <cell r="AN296">
            <v>-5.1740357478834431E-3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0.9909</v>
          </cell>
          <cell r="AY296">
            <v>0</v>
          </cell>
          <cell r="AZ296">
            <v>0</v>
          </cell>
          <cell r="BA296">
            <v>0</v>
          </cell>
        </row>
        <row r="297">
          <cell r="H297" t="str">
            <v>ETF</v>
          </cell>
          <cell r="I297" t="str">
            <v>00864B</v>
          </cell>
          <cell r="J297" t="str">
            <v>中信美國公債0-1</v>
          </cell>
          <cell r="K297">
            <v>39.32</v>
          </cell>
          <cell r="L297">
            <v>39.309800000000003</v>
          </cell>
          <cell r="M297">
            <v>1.0199999999997544E-2</v>
          </cell>
          <cell r="N297">
            <v>2.5947728047448493E-4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1</v>
          </cell>
          <cell r="AB297">
            <v>1000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 t="str">
            <v>NTD</v>
          </cell>
          <cell r="AI297">
            <v>1</v>
          </cell>
          <cell r="AJ297">
            <v>0</v>
          </cell>
          <cell r="AK297">
            <v>39.4</v>
          </cell>
          <cell r="AL297">
            <v>39.409999999999997</v>
          </cell>
          <cell r="AM297">
            <v>-9.9999999999980105E-3</v>
          </cell>
          <cell r="AN297">
            <v>-2.5374270489719741E-4</v>
          </cell>
          <cell r="AO297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0.99219999999999997</v>
          </cell>
          <cell r="AY297">
            <v>0</v>
          </cell>
          <cell r="AZ297">
            <v>0</v>
          </cell>
          <cell r="BA297">
            <v>0</v>
          </cell>
        </row>
        <row r="298">
          <cell r="H298" t="str">
            <v>ETF</v>
          </cell>
          <cell r="I298" t="str">
            <v>00865B</v>
          </cell>
          <cell r="J298" t="str">
            <v>國泰US短期公債</v>
          </cell>
          <cell r="K298">
            <v>39.35</v>
          </cell>
          <cell r="L298">
            <v>39.434899999999999</v>
          </cell>
          <cell r="M298">
            <v>-8.4899999999997533E-2</v>
          </cell>
          <cell r="N298">
            <v>-2.1529153110568799E-3</v>
          </cell>
          <cell r="O298">
            <v>370.68806000000001</v>
          </cell>
          <cell r="P298">
            <v>369.89</v>
          </cell>
          <cell r="Q298">
            <v>93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51</v>
          </cell>
          <cell r="W298">
            <v>50</v>
          </cell>
          <cell r="X298">
            <v>39.399019607843137</v>
          </cell>
          <cell r="Y298">
            <v>39.4</v>
          </cell>
          <cell r="Z298">
            <v>94</v>
          </cell>
          <cell r="AA298">
            <v>1</v>
          </cell>
          <cell r="AB298">
            <v>1000</v>
          </cell>
          <cell r="AC298">
            <v>39.399019607843137</v>
          </cell>
          <cell r="AD298">
            <v>39.4</v>
          </cell>
          <cell r="AE298">
            <v>200.935</v>
          </cell>
          <cell r="AF298">
            <v>197</v>
          </cell>
          <cell r="AG298">
            <v>3.9350000000000023</v>
          </cell>
          <cell r="AH298" t="str">
            <v>NTD</v>
          </cell>
          <cell r="AI298">
            <v>1</v>
          </cell>
          <cell r="AJ298">
            <v>93</v>
          </cell>
          <cell r="AK298">
            <v>39.46</v>
          </cell>
          <cell r="AL298">
            <v>39.54</v>
          </cell>
          <cell r="AM298">
            <v>-7.9999999999998295E-2</v>
          </cell>
          <cell r="AN298">
            <v>-2.0232675771370001E-3</v>
          </cell>
          <cell r="AO298">
            <v>-1.2199999999999991</v>
          </cell>
          <cell r="AP298">
            <v>0.19700000000000001</v>
          </cell>
          <cell r="AQ298">
            <v>-1.022999999999999</v>
          </cell>
          <cell r="AR298">
            <v>-4.5569999999992915E-2</v>
          </cell>
          <cell r="AS298">
            <v>-4.9019607843135303E-3</v>
          </cell>
          <cell r="AT298">
            <v>-5.0471960784306442E-2</v>
          </cell>
          <cell r="AU298">
            <v>-0.9774300000000018</v>
          </cell>
          <cell r="AV298">
            <v>4.9019607843092672E-3</v>
          </cell>
          <cell r="AW298">
            <v>-44.818481517309031</v>
          </cell>
          <cell r="AX298">
            <v>0.995</v>
          </cell>
          <cell r="AY298">
            <v>0</v>
          </cell>
          <cell r="AZ298">
            <v>0</v>
          </cell>
          <cell r="BA298">
            <v>0</v>
          </cell>
        </row>
        <row r="299">
          <cell r="H299" t="str">
            <v>ETF</v>
          </cell>
          <cell r="I299" t="str">
            <v>00867B</v>
          </cell>
          <cell r="J299" t="str">
            <v>新光A-BBB電信債</v>
          </cell>
          <cell r="K299">
            <v>42</v>
          </cell>
          <cell r="L299">
            <v>41.857500000000002</v>
          </cell>
          <cell r="M299">
            <v>0.14249999999999829</v>
          </cell>
          <cell r="N299">
            <v>3.4044078122199561E-3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1</v>
          </cell>
          <cell r="AB299">
            <v>1000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 t="str">
            <v>NTD</v>
          </cell>
          <cell r="AI299">
            <v>1</v>
          </cell>
          <cell r="AJ299">
            <v>0</v>
          </cell>
          <cell r="AK299">
            <v>42</v>
          </cell>
          <cell r="AL299">
            <v>42.19</v>
          </cell>
          <cell r="AM299">
            <v>-0.18999999999999773</v>
          </cell>
          <cell r="AN299">
            <v>-4.5034368333727315E-3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0.9829</v>
          </cell>
          <cell r="AY299">
            <v>0</v>
          </cell>
          <cell r="AZ299">
            <v>0</v>
          </cell>
          <cell r="BA299">
            <v>0</v>
          </cell>
        </row>
        <row r="300">
          <cell r="H300" t="str">
            <v>ETF</v>
          </cell>
          <cell r="I300" t="str">
            <v>00868B</v>
          </cell>
          <cell r="J300" t="str">
            <v>FT1-3年美公債</v>
          </cell>
          <cell r="K300">
            <v>40.17</v>
          </cell>
          <cell r="L300">
            <v>40.19</v>
          </cell>
          <cell r="M300">
            <v>-1.9999999999996021E-2</v>
          </cell>
          <cell r="N300">
            <v>-4.9763622791731965E-4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1</v>
          </cell>
          <cell r="AB300">
            <v>1000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 t="str">
            <v>NTD</v>
          </cell>
          <cell r="AI300">
            <v>1</v>
          </cell>
          <cell r="AJ300">
            <v>0</v>
          </cell>
          <cell r="AK300">
            <v>40.29</v>
          </cell>
          <cell r="AL300">
            <v>40.31</v>
          </cell>
          <cell r="AM300">
            <v>-2.0000000000003126E-2</v>
          </cell>
          <cell r="AN300">
            <v>-4.9615480029774339E-4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0.98880000000000001</v>
          </cell>
          <cell r="AY300">
            <v>0</v>
          </cell>
          <cell r="AZ300">
            <v>0</v>
          </cell>
          <cell r="BA300">
            <v>0</v>
          </cell>
        </row>
        <row r="301">
          <cell r="H301" t="str">
            <v>ETF</v>
          </cell>
          <cell r="I301" t="str">
            <v>00869B</v>
          </cell>
          <cell r="J301" t="str">
            <v>FT10-25年公司債</v>
          </cell>
          <cell r="K301">
            <v>39.78</v>
          </cell>
          <cell r="L301">
            <v>40.03</v>
          </cell>
          <cell r="M301">
            <v>-0.25</v>
          </cell>
          <cell r="N301">
            <v>-6.2453160129902763E-3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1</v>
          </cell>
          <cell r="AB301">
            <v>1000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 t="str">
            <v>NTD</v>
          </cell>
          <cell r="AI301">
            <v>1</v>
          </cell>
          <cell r="AJ301">
            <v>0</v>
          </cell>
          <cell r="AK301">
            <v>40.299999999999997</v>
          </cell>
          <cell r="AL301">
            <v>40.29</v>
          </cell>
          <cell r="AM301">
            <v>9.9999999999980105E-3</v>
          </cell>
          <cell r="AN301">
            <v>2.4820054604113295E-4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0.98340000000000005</v>
          </cell>
          <cell r="AY301">
            <v>0</v>
          </cell>
          <cell r="AZ301">
            <v>0</v>
          </cell>
          <cell r="BA301">
            <v>0</v>
          </cell>
        </row>
        <row r="302">
          <cell r="H302" t="str">
            <v>ETF</v>
          </cell>
          <cell r="I302" t="str">
            <v>00870B</v>
          </cell>
          <cell r="J302" t="str">
            <v>元大15年EM主權債</v>
          </cell>
          <cell r="K302">
            <v>40.799999999999997</v>
          </cell>
          <cell r="L302">
            <v>40.6768</v>
          </cell>
          <cell r="M302">
            <v>0.12319999999999709</v>
          </cell>
          <cell r="N302">
            <v>3.0287534909332336E-3</v>
          </cell>
          <cell r="O302">
            <v>20.3384</v>
          </cell>
          <cell r="P302">
            <v>20.399999999999999</v>
          </cell>
          <cell r="Q302">
            <v>5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5</v>
          </cell>
          <cell r="AA302">
            <v>1</v>
          </cell>
          <cell r="AB302">
            <v>1000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 t="str">
            <v>NTD</v>
          </cell>
          <cell r="AI302">
            <v>1</v>
          </cell>
          <cell r="AJ302">
            <v>5</v>
          </cell>
          <cell r="AK302">
            <v>40.69</v>
          </cell>
          <cell r="AL302">
            <v>40.69</v>
          </cell>
          <cell r="AM302">
            <v>0</v>
          </cell>
          <cell r="AN302">
            <v>0</v>
          </cell>
          <cell r="AO302">
            <v>5.4999999999999716E-2</v>
          </cell>
          <cell r="AP302">
            <v>0</v>
          </cell>
          <cell r="AQ302">
            <v>5.4999999999999716E-2</v>
          </cell>
          <cell r="AR302">
            <v>6.1599999999998545E-2</v>
          </cell>
          <cell r="AS302">
            <v>0</v>
          </cell>
          <cell r="AT302">
            <v>6.1599999999998545E-2</v>
          </cell>
          <cell r="AU302">
            <v>-6.599999999998829E-3</v>
          </cell>
          <cell r="AV302">
            <v>0</v>
          </cell>
          <cell r="AW302">
            <v>-2.4796776001154468</v>
          </cell>
          <cell r="AX302">
            <v>0.995</v>
          </cell>
          <cell r="AY302">
            <v>0</v>
          </cell>
          <cell r="AZ302">
            <v>0</v>
          </cell>
          <cell r="BA302">
            <v>0</v>
          </cell>
        </row>
        <row r="303">
          <cell r="H303" t="str">
            <v>ETF</v>
          </cell>
          <cell r="I303" t="str">
            <v>00871B</v>
          </cell>
          <cell r="J303" t="str">
            <v>元大中國政金債</v>
          </cell>
          <cell r="K303">
            <v>38.93</v>
          </cell>
          <cell r="L303">
            <v>38.904000000000003</v>
          </cell>
          <cell r="M303">
            <v>2.5999999999996248E-2</v>
          </cell>
          <cell r="N303">
            <v>6.6831174172321539E-4</v>
          </cell>
          <cell r="O303">
            <v>960.92880000000002</v>
          </cell>
          <cell r="P303">
            <v>961.57100000000003</v>
          </cell>
          <cell r="Q303">
            <v>257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10</v>
          </cell>
          <cell r="X303">
            <v>0</v>
          </cell>
          <cell r="Y303">
            <v>38.97</v>
          </cell>
          <cell r="Z303">
            <v>247</v>
          </cell>
          <cell r="AA303">
            <v>1</v>
          </cell>
          <cell r="AB303">
            <v>1000</v>
          </cell>
          <cell r="AC303">
            <v>0</v>
          </cell>
          <cell r="AD303">
            <v>38.97</v>
          </cell>
          <cell r="AE303">
            <v>0</v>
          </cell>
          <cell r="AF303">
            <v>38.97</v>
          </cell>
          <cell r="AG303">
            <v>-38.97</v>
          </cell>
          <cell r="AH303" t="str">
            <v>NTD</v>
          </cell>
          <cell r="AI303">
            <v>1</v>
          </cell>
          <cell r="AJ303">
            <v>257</v>
          </cell>
          <cell r="AK303">
            <v>39.1</v>
          </cell>
          <cell r="AL303">
            <v>39.03</v>
          </cell>
          <cell r="AM303">
            <v>7.0000000000000284E-2</v>
          </cell>
          <cell r="AN303">
            <v>1.793492185498291E-3</v>
          </cell>
          <cell r="AO303">
            <v>-4.367970000000045</v>
          </cell>
          <cell r="AP303">
            <v>3.8969999999999998E-2</v>
          </cell>
          <cell r="AQ303">
            <v>-4.329000000000045</v>
          </cell>
          <cell r="AR303">
            <v>-1.1308000000001037</v>
          </cell>
          <cell r="AS303">
            <v>3.9999999999999147E-2</v>
          </cell>
          <cell r="AT303">
            <v>-1.0908000000001046</v>
          </cell>
          <cell r="AU303">
            <v>-3.23819999999994</v>
          </cell>
          <cell r="AV303">
            <v>0</v>
          </cell>
          <cell r="AW303">
            <v>-7.8698368072197686</v>
          </cell>
          <cell r="AX303">
            <v>0</v>
          </cell>
          <cell r="AY303">
            <v>0.995</v>
          </cell>
          <cell r="AZ303">
            <v>0</v>
          </cell>
          <cell r="BA303">
            <v>0</v>
          </cell>
        </row>
        <row r="304">
          <cell r="H304" t="str">
            <v>ETF</v>
          </cell>
          <cell r="I304" t="str">
            <v>00872B</v>
          </cell>
          <cell r="J304" t="str">
            <v>凱基美債1-3</v>
          </cell>
          <cell r="K304">
            <v>40.6</v>
          </cell>
          <cell r="L304">
            <v>40.619999999999997</v>
          </cell>
          <cell r="M304">
            <v>-1.9999999999996021E-2</v>
          </cell>
          <cell r="N304">
            <v>-4.9236829148191497E-4</v>
          </cell>
          <cell r="O304">
            <v>1226.7239999999999</v>
          </cell>
          <cell r="P304">
            <v>1226.1199999999999</v>
          </cell>
          <cell r="Q304">
            <v>302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50</v>
          </cell>
          <cell r="W304">
            <v>50</v>
          </cell>
          <cell r="X304">
            <v>40.6</v>
          </cell>
          <cell r="Y304">
            <v>40.6</v>
          </cell>
          <cell r="Z304">
            <v>302</v>
          </cell>
          <cell r="AA304">
            <v>1</v>
          </cell>
          <cell r="AB304">
            <v>1000</v>
          </cell>
          <cell r="AC304">
            <v>40.6</v>
          </cell>
          <cell r="AD304">
            <v>40.6</v>
          </cell>
          <cell r="AE304">
            <v>203</v>
          </cell>
          <cell r="AF304">
            <v>203</v>
          </cell>
          <cell r="AG304">
            <v>0</v>
          </cell>
          <cell r="AH304" t="str">
            <v>NTD</v>
          </cell>
          <cell r="AI304">
            <v>1</v>
          </cell>
          <cell r="AJ304">
            <v>302</v>
          </cell>
          <cell r="AK304">
            <v>40.75</v>
          </cell>
          <cell r="AL304">
            <v>40.74</v>
          </cell>
          <cell r="AM304">
            <v>9.9999999999980105E-3</v>
          </cell>
          <cell r="AN304">
            <v>2.4545900834560541E-4</v>
          </cell>
          <cell r="AO304">
            <v>-4.732999999999957</v>
          </cell>
          <cell r="AP304">
            <v>0.20300000000000001</v>
          </cell>
          <cell r="AQ304">
            <v>-4.5299999999999567</v>
          </cell>
          <cell r="AR304">
            <v>-0.90599999999981973</v>
          </cell>
          <cell r="AS304">
            <v>0</v>
          </cell>
          <cell r="AT304">
            <v>-0.90599999999981973</v>
          </cell>
          <cell r="AU304">
            <v>-3.6240000000001373</v>
          </cell>
          <cell r="AV304">
            <v>0</v>
          </cell>
          <cell r="AW304">
            <v>-149.95656799935318</v>
          </cell>
          <cell r="AX304">
            <v>0.995</v>
          </cell>
          <cell r="AY304">
            <v>0</v>
          </cell>
          <cell r="AZ304">
            <v>0</v>
          </cell>
          <cell r="BA304">
            <v>0</v>
          </cell>
        </row>
        <row r="305">
          <cell r="H305" t="str">
            <v>ETF</v>
          </cell>
          <cell r="I305" t="str">
            <v>00873B</v>
          </cell>
          <cell r="J305" t="str">
            <v>凱基新興債1-5</v>
          </cell>
          <cell r="K305">
            <v>39.64</v>
          </cell>
          <cell r="L305">
            <v>39.64</v>
          </cell>
          <cell r="M305">
            <v>0</v>
          </cell>
          <cell r="N305">
            <v>0</v>
          </cell>
          <cell r="O305">
            <v>1228.8399999999999</v>
          </cell>
          <cell r="P305">
            <v>1228.8399999999999</v>
          </cell>
          <cell r="Q305">
            <v>309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51</v>
          </cell>
          <cell r="W305">
            <v>50</v>
          </cell>
          <cell r="X305">
            <v>39.669411764705885</v>
          </cell>
          <cell r="Y305">
            <v>39.67</v>
          </cell>
          <cell r="Z305">
            <v>310</v>
          </cell>
          <cell r="AA305">
            <v>1</v>
          </cell>
          <cell r="AB305">
            <v>1000</v>
          </cell>
          <cell r="AC305">
            <v>39.669411764705885</v>
          </cell>
          <cell r="AD305">
            <v>39.67</v>
          </cell>
          <cell r="AE305">
            <v>202.31399999999999</v>
          </cell>
          <cell r="AF305">
            <v>198.35</v>
          </cell>
          <cell r="AG305">
            <v>3.9639999999999986</v>
          </cell>
          <cell r="AH305" t="str">
            <v>NTD</v>
          </cell>
          <cell r="AI305">
            <v>1</v>
          </cell>
          <cell r="AJ305">
            <v>309</v>
          </cell>
          <cell r="AK305">
            <v>39.6</v>
          </cell>
          <cell r="AL305">
            <v>39.56</v>
          </cell>
          <cell r="AM305">
            <v>3.9999999999999147E-2</v>
          </cell>
          <cell r="AN305">
            <v>1.0111223458038054E-3</v>
          </cell>
          <cell r="AO305">
            <v>1.0376499999999707</v>
          </cell>
          <cell r="AP305">
            <v>0.19835</v>
          </cell>
          <cell r="AQ305">
            <v>1.2359999999999707</v>
          </cell>
          <cell r="AR305">
            <v>-1.2359999999999736</v>
          </cell>
          <cell r="AS305">
            <v>-2.9411764705884027E-3</v>
          </cell>
          <cell r="AT305">
            <v>-1.238941176470562</v>
          </cell>
          <cell r="AU305">
            <v>2.4719999999999471</v>
          </cell>
          <cell r="AV305">
            <v>2.9411764705855603E-3</v>
          </cell>
          <cell r="AW305">
            <v>-148.98834195583794</v>
          </cell>
          <cell r="AX305">
            <v>0.995</v>
          </cell>
          <cell r="AY305">
            <v>0</v>
          </cell>
          <cell r="AZ305">
            <v>0</v>
          </cell>
          <cell r="BA305">
            <v>0</v>
          </cell>
        </row>
        <row r="306">
          <cell r="H306" t="str">
            <v>ETF</v>
          </cell>
          <cell r="I306" t="str">
            <v>00874B</v>
          </cell>
          <cell r="J306" t="str">
            <v>凱基BBB公司債15+</v>
          </cell>
          <cell r="K306">
            <v>39.24</v>
          </cell>
          <cell r="L306">
            <v>39.28</v>
          </cell>
          <cell r="M306">
            <v>-3.9999999999999147E-2</v>
          </cell>
          <cell r="N306">
            <v>-1.0183299389001643E-3</v>
          </cell>
          <cell r="O306">
            <v>1001.64</v>
          </cell>
          <cell r="P306">
            <v>1000.62</v>
          </cell>
          <cell r="Q306">
            <v>238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68</v>
          </cell>
          <cell r="W306">
            <v>51</v>
          </cell>
          <cell r="X306">
            <v>39.269411764705879</v>
          </cell>
          <cell r="Y306">
            <v>39.283725490196076</v>
          </cell>
          <cell r="Z306">
            <v>255</v>
          </cell>
          <cell r="AA306">
            <v>1</v>
          </cell>
          <cell r="AB306">
            <v>1000</v>
          </cell>
          <cell r="AC306">
            <v>39.269411764705879</v>
          </cell>
          <cell r="AD306">
            <v>39.283725490196076</v>
          </cell>
          <cell r="AE306">
            <v>267.03199999999993</v>
          </cell>
          <cell r="AF306">
            <v>200.34699999999998</v>
          </cell>
          <cell r="AG306">
            <v>66.684999999999945</v>
          </cell>
          <cell r="AH306" t="str">
            <v>NTD</v>
          </cell>
          <cell r="AI306">
            <v>1</v>
          </cell>
          <cell r="AJ306">
            <v>238</v>
          </cell>
          <cell r="AK306">
            <v>39.31</v>
          </cell>
          <cell r="AL306">
            <v>39.340000000000003</v>
          </cell>
          <cell r="AM306">
            <v>-3.0000000000001137E-2</v>
          </cell>
          <cell r="AN306">
            <v>-7.6258261311645814E-4</v>
          </cell>
          <cell r="AO306">
            <v>-1.8433469999999914</v>
          </cell>
          <cell r="AP306">
            <v>0.20034699999999997</v>
          </cell>
          <cell r="AQ306">
            <v>-1.6429999999999914</v>
          </cell>
          <cell r="AR306">
            <v>-0.23799999999995267</v>
          </cell>
          <cell r="AS306">
            <v>-4.999999999999076E-2</v>
          </cell>
          <cell r="AT306">
            <v>-0.28799999999994341</v>
          </cell>
          <cell r="AU306">
            <v>-1.4280000000000541</v>
          </cell>
          <cell r="AV306">
            <v>7.300000000000606E-2</v>
          </cell>
          <cell r="AW306">
            <v>-114.11660356683667</v>
          </cell>
          <cell r="AX306">
            <v>0.995</v>
          </cell>
          <cell r="AY306">
            <v>0</v>
          </cell>
          <cell r="AZ306">
            <v>0</v>
          </cell>
          <cell r="BA306">
            <v>0</v>
          </cell>
        </row>
        <row r="307">
          <cell r="G307" t="str">
            <v>ZB-M20</v>
          </cell>
          <cell r="H307" t="str">
            <v>期貨</v>
          </cell>
          <cell r="I307" t="str">
            <v>USF0</v>
          </cell>
          <cell r="J307" t="str">
            <v>30年期美債期貨06</v>
          </cell>
          <cell r="K307">
            <v>175.17</v>
          </cell>
          <cell r="L307">
            <v>175.17</v>
          </cell>
          <cell r="M307" t="str">
            <v/>
          </cell>
          <cell r="N307" t="str">
            <v/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1</v>
          </cell>
          <cell r="AB307">
            <v>1000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 t="str">
            <v>USD</v>
          </cell>
          <cell r="AI307">
            <v>29.77</v>
          </cell>
          <cell r="AJ307">
            <v>0</v>
          </cell>
          <cell r="AK307">
            <v>178.3125</v>
          </cell>
          <cell r="AL307">
            <v>178.31</v>
          </cell>
          <cell r="AM307" t="str">
            <v/>
          </cell>
          <cell r="AN307" t="str">
            <v/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</row>
        <row r="308">
          <cell r="G308" t="str">
            <v>ZB-U20</v>
          </cell>
          <cell r="H308" t="str">
            <v>期貨</v>
          </cell>
          <cell r="I308" t="str">
            <v>USI0</v>
          </cell>
          <cell r="J308" t="str">
            <v>30年期美債期貨09</v>
          </cell>
          <cell r="K308">
            <v>173.55</v>
          </cell>
          <cell r="L308">
            <v>173.55</v>
          </cell>
          <cell r="M308" t="str">
            <v/>
          </cell>
          <cell r="N308" t="str">
            <v/>
          </cell>
          <cell r="O308">
            <v>-38749.376250000001</v>
          </cell>
          <cell r="P308">
            <v>-38749.376250000001</v>
          </cell>
          <cell r="Q308">
            <v>-74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1</v>
          </cell>
          <cell r="W308">
            <v>2</v>
          </cell>
          <cell r="X308">
            <v>174.40625</v>
          </cell>
          <cell r="Y308">
            <v>173.953125</v>
          </cell>
          <cell r="Z308">
            <v>-75</v>
          </cell>
          <cell r="AA308">
            <v>1</v>
          </cell>
          <cell r="AB308">
            <v>1000</v>
          </cell>
          <cell r="AC308">
            <v>174.40625</v>
          </cell>
          <cell r="AD308">
            <v>173.953125</v>
          </cell>
          <cell r="AE308">
            <v>519.20740624999996</v>
          </cell>
          <cell r="AF308">
            <v>1035.71690625</v>
          </cell>
          <cell r="AG308">
            <v>-516.5095</v>
          </cell>
          <cell r="AH308" t="str">
            <v>USD</v>
          </cell>
          <cell r="AI308">
            <v>29.77</v>
          </cell>
          <cell r="AJ308">
            <v>-74</v>
          </cell>
          <cell r="AK308">
            <v>176.78125</v>
          </cell>
          <cell r="AL308">
            <v>176.78</v>
          </cell>
          <cell r="AM308" t="str">
            <v/>
          </cell>
          <cell r="AN308" t="str">
            <v/>
          </cell>
          <cell r="AO308">
            <v>711.68906249999748</v>
          </cell>
          <cell r="AP308">
            <v>0</v>
          </cell>
          <cell r="AQ308">
            <v>711.68906249999748</v>
          </cell>
          <cell r="AR308">
            <v>0</v>
          </cell>
          <cell r="AS308">
            <v>1.2001031249999661</v>
          </cell>
          <cell r="AT308">
            <v>1.2001031249999661</v>
          </cell>
          <cell r="AU308">
            <v>711.83791249999751</v>
          </cell>
          <cell r="AV308">
            <v>-1.3489531250000002</v>
          </cell>
          <cell r="AW308">
            <v>-3.1299826250000211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</row>
        <row r="309">
          <cell r="G309" t="str">
            <v>RTY-M20</v>
          </cell>
          <cell r="H309" t="str">
            <v>期貨</v>
          </cell>
          <cell r="I309" t="str">
            <v>RTYF0</v>
          </cell>
          <cell r="J309" t="str">
            <v>小羅素2000期貨06</v>
          </cell>
          <cell r="K309">
            <v>1475.6</v>
          </cell>
          <cell r="L309">
            <v>1475.6</v>
          </cell>
          <cell r="M309" t="str">
            <v/>
          </cell>
          <cell r="N309" t="str">
            <v/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1</v>
          </cell>
          <cell r="AB309">
            <v>1000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 t="str">
            <v>USD</v>
          </cell>
          <cell r="AI309">
            <v>29.77</v>
          </cell>
          <cell r="AJ309">
            <v>0</v>
          </cell>
          <cell r="AK309">
            <v>1427.4</v>
          </cell>
          <cell r="AL309">
            <v>1427.4</v>
          </cell>
          <cell r="AM309" t="str">
            <v/>
          </cell>
          <cell r="AN309" t="str">
            <v/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</row>
        <row r="310">
          <cell r="G310" t="str">
            <v>RTY-M20</v>
          </cell>
          <cell r="H310" t="str">
            <v>期貨</v>
          </cell>
          <cell r="I310" t="str">
            <v>RTYF0</v>
          </cell>
          <cell r="J310" t="str">
            <v>小羅素2000期貨06</v>
          </cell>
          <cell r="K310">
            <v>1475.6</v>
          </cell>
          <cell r="L310">
            <v>1475.6</v>
          </cell>
          <cell r="M310" t="str">
            <v/>
          </cell>
          <cell r="N310" t="str">
            <v/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1</v>
          </cell>
          <cell r="AB310">
            <v>1000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 t="str">
            <v>USD</v>
          </cell>
          <cell r="AI310">
            <v>29.77</v>
          </cell>
          <cell r="AJ310">
            <v>0</v>
          </cell>
          <cell r="AK310">
            <v>1427.4</v>
          </cell>
          <cell r="AL310">
            <v>1427.4</v>
          </cell>
          <cell r="AM310" t="str">
            <v/>
          </cell>
          <cell r="AN310" t="str">
            <v/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</row>
        <row r="311">
          <cell r="G311" t="str">
            <v>債券小計</v>
          </cell>
          <cell r="H311"/>
          <cell r="I311"/>
          <cell r="J311"/>
          <cell r="K311"/>
          <cell r="L311"/>
          <cell r="M311"/>
          <cell r="N311"/>
          <cell r="O311">
            <v>11114.29254367001</v>
          </cell>
          <cell r="P311">
            <v>11136.933482000008</v>
          </cell>
          <cell r="Q311"/>
          <cell r="R311"/>
          <cell r="S311"/>
          <cell r="T311"/>
          <cell r="U311"/>
          <cell r="V311"/>
          <cell r="W311"/>
          <cell r="X311"/>
          <cell r="Y311"/>
          <cell r="Z311"/>
          <cell r="AA311"/>
          <cell r="AB311"/>
          <cell r="AC311"/>
          <cell r="AD311"/>
          <cell r="AE311"/>
          <cell r="AF311"/>
          <cell r="AG311"/>
          <cell r="AH311"/>
          <cell r="AI311"/>
          <cell r="AJ311"/>
          <cell r="AK311"/>
          <cell r="AL311"/>
          <cell r="AM311"/>
          <cell r="AN311"/>
          <cell r="AO311">
            <v>296.22582949999742</v>
          </cell>
          <cell r="AP311">
            <v>12.978012999999997</v>
          </cell>
          <cell r="AQ311">
            <v>309.20384249999751</v>
          </cell>
          <cell r="AR311">
            <v>47.508603329999993</v>
          </cell>
          <cell r="AS311">
            <v>0.35414889788679349</v>
          </cell>
          <cell r="AT311">
            <v>47.86275222788678</v>
          </cell>
          <cell r="AU311">
            <v>262.5100891699974</v>
          </cell>
          <cell r="AV311">
            <v>-1.1689988978867678</v>
          </cell>
          <cell r="AW311">
            <v>-5487.2159588496834</v>
          </cell>
        </row>
        <row r="312">
          <cell r="G312"/>
          <cell r="H312"/>
          <cell r="I312"/>
          <cell r="J312"/>
          <cell r="K312"/>
          <cell r="L312"/>
          <cell r="M312"/>
          <cell r="N312"/>
          <cell r="O312">
            <v>11114.29254367001</v>
          </cell>
          <cell r="P312">
            <v>11136.933482000008</v>
          </cell>
          <cell r="Q312"/>
          <cell r="R312"/>
          <cell r="S312"/>
          <cell r="T312"/>
          <cell r="U312"/>
          <cell r="V312"/>
          <cell r="W312"/>
          <cell r="X312"/>
          <cell r="Y312"/>
          <cell r="Z312"/>
          <cell r="AA312"/>
          <cell r="AB312"/>
          <cell r="AC312"/>
          <cell r="AD312"/>
          <cell r="AE312"/>
          <cell r="AF312"/>
          <cell r="AG312"/>
          <cell r="AH312"/>
          <cell r="AI312"/>
          <cell r="AJ312"/>
          <cell r="AK312"/>
          <cell r="AL312"/>
          <cell r="AM312"/>
          <cell r="AN312"/>
          <cell r="AO312">
            <v>296.22582949999742</v>
          </cell>
          <cell r="AP312">
            <v>12.978012999999997</v>
          </cell>
          <cell r="AQ312">
            <v>309.20384249999751</v>
          </cell>
          <cell r="AR312">
            <v>47.508603329999993</v>
          </cell>
          <cell r="AS312">
            <v>0.35414889788679349</v>
          </cell>
          <cell r="AT312">
            <v>47.86275222788678</v>
          </cell>
          <cell r="AU312">
            <v>262.5100891699974</v>
          </cell>
          <cell r="AV312">
            <v>-1.1689988978867678</v>
          </cell>
          <cell r="AW312">
            <v>-5487.2159588496834</v>
          </cell>
          <cell r="AX312"/>
          <cell r="AY312"/>
          <cell r="AZ312"/>
          <cell r="BA312"/>
        </row>
      </sheetData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312"/>
  <sheetViews>
    <sheetView workbookViewId="0">
      <pane xSplit="9" ySplit="1" topLeftCell="J5" activePane="bottomRight" state="frozen"/>
      <selection pane="topRight" activeCell="J1" sqref="J1"/>
      <selection pane="bottomLeft" activeCell="A2" sqref="A2"/>
      <selection pane="bottomRight" activeCell="L12" sqref="L12"/>
    </sheetView>
  </sheetViews>
  <sheetFormatPr defaultRowHeight="16.5"/>
  <cols>
    <col min="1" max="1" width="18.375" bestFit="1" customWidth="1"/>
    <col min="2" max="2" width="12.75" customWidth="1"/>
    <col min="3" max="3" width="10.75" customWidth="1"/>
    <col min="4" max="4" width="11.625" customWidth="1"/>
    <col min="5" max="9" width="8.375" customWidth="1"/>
  </cols>
  <sheetData>
    <row r="1" spans="1:16">
      <c r="A1" s="7" t="s">
        <v>1117</v>
      </c>
      <c r="B1" s="31" t="str">
        <f>IF(ISERROR(VLOOKUP(TEXT($C$4,"@"),[1]Holiday!E:E,1,FALSE)),"N","Y")</f>
        <v>Y</v>
      </c>
      <c r="C1" s="9">
        <f ca="1">HOUR(NOW())</f>
        <v>15</v>
      </c>
      <c r="D1">
        <f ca="1">MINUTE(NOW())</f>
        <v>15</v>
      </c>
      <c r="P1" s="21"/>
    </row>
    <row r="2" spans="1:16">
      <c r="A2" s="7" t="s">
        <v>1118</v>
      </c>
      <c r="B2" s="32">
        <v>44287</v>
      </c>
      <c r="C2" s="9" t="str">
        <f t="shared" ref="C2:C7" si="0">DateTransfer_DateToStr(B2)</f>
        <v>20210401</v>
      </c>
      <c r="P2" s="25"/>
    </row>
    <row r="3" spans="1:16">
      <c r="A3" s="7" t="s">
        <v>1119</v>
      </c>
      <c r="B3" s="32">
        <v>44377</v>
      </c>
      <c r="C3" s="9" t="str">
        <f t="shared" si="0"/>
        <v>20210630</v>
      </c>
      <c r="F3" s="24"/>
    </row>
    <row r="4" spans="1:16">
      <c r="A4" s="7" t="s">
        <v>1120</v>
      </c>
      <c r="B4" s="33">
        <v>44330.348958333336</v>
      </c>
      <c r="C4" s="9" t="str">
        <f t="shared" si="0"/>
        <v>20210514</v>
      </c>
    </row>
    <row r="5" spans="1:16">
      <c r="A5" s="7" t="s">
        <v>1121</v>
      </c>
      <c r="B5" s="32">
        <v>44329</v>
      </c>
      <c r="C5" s="9" t="str">
        <f t="shared" si="0"/>
        <v>20210513</v>
      </c>
    </row>
    <row r="6" spans="1:16">
      <c r="A6" s="7" t="s">
        <v>1122</v>
      </c>
      <c r="B6" s="32">
        <v>44287</v>
      </c>
      <c r="C6" s="9" t="str">
        <f t="shared" si="0"/>
        <v>20210401</v>
      </c>
    </row>
    <row r="7" spans="1:16">
      <c r="A7" s="21" t="s">
        <v>1326</v>
      </c>
      <c r="B7" s="32">
        <v>43888</v>
      </c>
      <c r="C7" s="9" t="str">
        <f t="shared" si="0"/>
        <v>20200227</v>
      </c>
    </row>
    <row r="8" spans="1:16">
      <c r="A8" s="21"/>
      <c r="B8" s="22"/>
    </row>
    <row r="9" spans="1:16">
      <c r="A9" s="21"/>
      <c r="B9" s="22"/>
    </row>
    <row r="10" spans="1:16">
      <c r="A10" s="21"/>
      <c r="B10" s="22"/>
    </row>
    <row r="11" spans="1:16">
      <c r="A11" s="21"/>
      <c r="B11" s="22"/>
    </row>
    <row r="12" spans="1:16">
      <c r="A12" s="21"/>
      <c r="B12" s="22"/>
    </row>
    <row r="13" spans="1:16">
      <c r="A13" s="21"/>
      <c r="B13" s="22"/>
    </row>
    <row r="14" spans="1:16">
      <c r="A14" s="21"/>
      <c r="B14" s="22"/>
    </row>
    <row r="15" spans="1:16">
      <c r="A15" s="21"/>
      <c r="B15" s="22"/>
    </row>
    <row r="16" spans="1:16">
      <c r="A16" s="21"/>
      <c r="B16" s="22"/>
    </row>
    <row r="17" spans="1:2">
      <c r="A17" s="21"/>
      <c r="B17" s="22"/>
    </row>
    <row r="18" spans="1:2">
      <c r="A18" s="21"/>
      <c r="B18" s="22"/>
    </row>
    <row r="19" spans="1:2">
      <c r="A19" s="21"/>
      <c r="B19" s="22"/>
    </row>
    <row r="20" spans="1:2">
      <c r="A20" s="21"/>
      <c r="B20" s="22"/>
    </row>
    <row r="21" spans="1:2">
      <c r="A21" s="21"/>
      <c r="B21" s="22"/>
    </row>
    <row r="22" spans="1:2">
      <c r="A22" s="21"/>
      <c r="B22" s="22"/>
    </row>
    <row r="23" spans="1:2">
      <c r="A23" s="21"/>
      <c r="B23" s="22"/>
    </row>
    <row r="24" spans="1:2">
      <c r="A24" s="21"/>
      <c r="B24" s="22"/>
    </row>
    <row r="25" spans="1:2">
      <c r="A25" s="21"/>
      <c r="B25" s="22"/>
    </row>
    <row r="26" spans="1:2">
      <c r="A26" s="21"/>
      <c r="B26" s="22"/>
    </row>
    <row r="27" spans="1:2">
      <c r="A27" s="21"/>
      <c r="B27" s="22"/>
    </row>
    <row r="28" spans="1:2">
      <c r="A28" s="21"/>
      <c r="B28" s="22"/>
    </row>
    <row r="29" spans="1:2">
      <c r="A29" s="21"/>
      <c r="B29" s="22"/>
    </row>
    <row r="30" spans="1:2">
      <c r="A30" s="21"/>
      <c r="B30" s="22"/>
    </row>
    <row r="31" spans="1:2">
      <c r="A31" s="21"/>
      <c r="B31" s="22"/>
    </row>
    <row r="32" spans="1:2">
      <c r="A32" s="21"/>
      <c r="B32" s="22"/>
    </row>
    <row r="33" spans="1:2">
      <c r="A33" s="21"/>
      <c r="B33" s="22"/>
    </row>
    <row r="34" spans="1:2">
      <c r="A34" s="21"/>
      <c r="B34" s="22"/>
    </row>
    <row r="35" spans="1:2">
      <c r="A35" s="21"/>
      <c r="B35" s="22"/>
    </row>
    <row r="36" spans="1:2">
      <c r="A36" s="21"/>
      <c r="B36" s="22"/>
    </row>
    <row r="37" spans="1:2">
      <c r="A37" s="21"/>
      <c r="B37" s="22"/>
    </row>
    <row r="38" spans="1:2">
      <c r="A38" s="21"/>
      <c r="B38" s="22"/>
    </row>
    <row r="39" spans="1:2">
      <c r="A39" s="21"/>
      <c r="B39" s="22"/>
    </row>
    <row r="40" spans="1:2">
      <c r="A40" s="21"/>
      <c r="B40" s="22"/>
    </row>
    <row r="41" spans="1:2">
      <c r="A41" s="21"/>
      <c r="B41" s="22"/>
    </row>
    <row r="42" spans="1:2">
      <c r="A42" s="21"/>
      <c r="B42" s="22"/>
    </row>
    <row r="43" spans="1:2">
      <c r="A43" s="21"/>
      <c r="B43" s="22"/>
    </row>
    <row r="44" spans="1:2">
      <c r="A44" s="21"/>
      <c r="B44" s="22"/>
    </row>
    <row r="45" spans="1:2">
      <c r="A45" s="21"/>
      <c r="B45" s="22"/>
    </row>
    <row r="46" spans="1:2">
      <c r="A46" s="21"/>
      <c r="B46" s="22"/>
    </row>
    <row r="47" spans="1:2">
      <c r="A47" s="21"/>
      <c r="B47" s="22"/>
    </row>
    <row r="48" spans="1:2">
      <c r="A48" s="21"/>
      <c r="B48" s="22"/>
    </row>
    <row r="49" spans="1:2">
      <c r="A49" s="21"/>
      <c r="B49" s="22"/>
    </row>
    <row r="50" spans="1:2">
      <c r="A50" s="21"/>
      <c r="B50" s="22"/>
    </row>
    <row r="51" spans="1:2">
      <c r="A51" s="21"/>
      <c r="B51" s="22"/>
    </row>
    <row r="52" spans="1:2">
      <c r="A52" s="21"/>
      <c r="B52" s="22"/>
    </row>
    <row r="53" spans="1:2">
      <c r="A53" s="21"/>
      <c r="B53" s="22"/>
    </row>
    <row r="54" spans="1:2">
      <c r="A54" s="21"/>
      <c r="B54" s="22"/>
    </row>
    <row r="55" spans="1:2">
      <c r="A55" s="21"/>
      <c r="B55" s="22"/>
    </row>
    <row r="56" spans="1:2">
      <c r="A56" s="21"/>
      <c r="B56" s="22"/>
    </row>
    <row r="57" spans="1:2">
      <c r="A57" s="21"/>
      <c r="B57" s="22"/>
    </row>
    <row r="58" spans="1:2">
      <c r="A58" s="21"/>
      <c r="B58" s="22"/>
    </row>
    <row r="59" spans="1:2">
      <c r="A59" s="21"/>
      <c r="B59" s="22"/>
    </row>
    <row r="60" spans="1:2">
      <c r="A60" s="21"/>
      <c r="B60" s="22"/>
    </row>
    <row r="61" spans="1:2">
      <c r="A61" s="21"/>
      <c r="B61" s="22"/>
    </row>
    <row r="62" spans="1:2">
      <c r="A62" s="21"/>
      <c r="B62" s="22"/>
    </row>
    <row r="63" spans="1:2">
      <c r="A63" s="21"/>
      <c r="B63" s="22"/>
    </row>
    <row r="64" spans="1:2">
      <c r="A64" s="21"/>
      <c r="B64" s="22"/>
    </row>
    <row r="65" spans="1:2">
      <c r="A65" s="21"/>
      <c r="B65" s="22"/>
    </row>
    <row r="66" spans="1:2">
      <c r="A66" s="21"/>
      <c r="B66" s="22"/>
    </row>
    <row r="67" spans="1:2">
      <c r="A67" s="21"/>
      <c r="B67" s="22"/>
    </row>
    <row r="68" spans="1:2">
      <c r="A68" s="21"/>
      <c r="B68" s="22"/>
    </row>
    <row r="69" spans="1:2">
      <c r="A69" s="21"/>
      <c r="B69" s="22"/>
    </row>
    <row r="70" spans="1:2">
      <c r="A70" s="21"/>
      <c r="B70" s="22"/>
    </row>
    <row r="71" spans="1:2">
      <c r="A71" s="21"/>
      <c r="B71" s="22"/>
    </row>
    <row r="72" spans="1:2">
      <c r="A72" s="21"/>
      <c r="B72" s="22"/>
    </row>
    <row r="73" spans="1:2">
      <c r="A73" s="21"/>
      <c r="B73" s="22"/>
    </row>
    <row r="74" spans="1:2">
      <c r="A74" s="21"/>
      <c r="B74" s="22"/>
    </row>
    <row r="75" spans="1:2">
      <c r="A75" s="21"/>
      <c r="B75" s="22"/>
    </row>
    <row r="76" spans="1:2">
      <c r="A76" s="21"/>
      <c r="B76" s="22"/>
    </row>
    <row r="77" spans="1:2">
      <c r="A77" s="21"/>
      <c r="B77" s="22"/>
    </row>
    <row r="78" spans="1:2">
      <c r="A78" s="21"/>
      <c r="B78" s="22"/>
    </row>
    <row r="79" spans="1:2">
      <c r="A79" s="21"/>
      <c r="B79" s="22"/>
    </row>
    <row r="80" spans="1:2">
      <c r="A80" s="21"/>
      <c r="B80" s="22"/>
    </row>
    <row r="81" spans="1:2">
      <c r="A81" s="21"/>
      <c r="B81" s="22"/>
    </row>
    <row r="82" spans="1:2">
      <c r="A82" s="21"/>
      <c r="B82" s="22"/>
    </row>
    <row r="83" spans="1:2">
      <c r="A83" s="21"/>
      <c r="B83" s="22"/>
    </row>
    <row r="84" spans="1:2">
      <c r="A84" s="21"/>
      <c r="B84" s="22"/>
    </row>
    <row r="85" spans="1:2">
      <c r="A85" s="21"/>
      <c r="B85" s="22"/>
    </row>
    <row r="86" spans="1:2">
      <c r="A86" s="21"/>
      <c r="B86" s="22"/>
    </row>
    <row r="87" spans="1:2">
      <c r="A87" s="21"/>
      <c r="B87" s="22"/>
    </row>
    <row r="88" spans="1:2">
      <c r="A88" s="21"/>
      <c r="B88" s="22"/>
    </row>
    <row r="89" spans="1:2">
      <c r="A89" s="21"/>
      <c r="B89" s="22"/>
    </row>
    <row r="90" spans="1:2">
      <c r="A90" s="21"/>
      <c r="B90" s="22"/>
    </row>
    <row r="91" spans="1:2">
      <c r="A91" s="21"/>
      <c r="B91" s="22"/>
    </row>
    <row r="92" spans="1:2">
      <c r="A92" s="21"/>
      <c r="B92" s="22"/>
    </row>
    <row r="93" spans="1:2">
      <c r="A93" s="21"/>
      <c r="B93" s="22"/>
    </row>
    <row r="94" spans="1:2">
      <c r="A94" s="21"/>
      <c r="B94" s="22"/>
    </row>
    <row r="95" spans="1:2">
      <c r="A95" s="21"/>
      <c r="B95" s="22"/>
    </row>
    <row r="96" spans="1:2">
      <c r="A96" s="21"/>
      <c r="B96" s="22"/>
    </row>
    <row r="97" spans="1:2">
      <c r="A97" s="21"/>
      <c r="B97" s="22"/>
    </row>
    <row r="98" spans="1:2">
      <c r="A98" s="21"/>
      <c r="B98" s="22"/>
    </row>
    <row r="99" spans="1:2">
      <c r="A99" s="21"/>
      <c r="B99" s="22"/>
    </row>
    <row r="100" spans="1:2">
      <c r="A100" s="21"/>
      <c r="B100" s="22"/>
    </row>
    <row r="101" spans="1:2">
      <c r="A101" s="21"/>
      <c r="B101" s="22"/>
    </row>
    <row r="102" spans="1:2">
      <c r="A102" s="21"/>
      <c r="B102" s="22"/>
    </row>
    <row r="103" spans="1:2">
      <c r="A103" s="21"/>
      <c r="B103" s="22"/>
    </row>
    <row r="104" spans="1:2">
      <c r="A104" s="21"/>
      <c r="B104" s="22"/>
    </row>
    <row r="105" spans="1:2">
      <c r="A105" s="21"/>
      <c r="B105" s="22"/>
    </row>
    <row r="106" spans="1:2">
      <c r="A106" s="21"/>
      <c r="B106" s="22"/>
    </row>
    <row r="107" spans="1:2">
      <c r="A107" s="21"/>
      <c r="B107" s="22"/>
    </row>
    <row r="108" spans="1:2">
      <c r="A108" s="21"/>
      <c r="B108" s="22"/>
    </row>
    <row r="109" spans="1:2">
      <c r="A109" s="21"/>
      <c r="B109" s="22"/>
    </row>
    <row r="110" spans="1:2">
      <c r="A110" s="21"/>
      <c r="B110" s="22"/>
    </row>
    <row r="111" spans="1:2">
      <c r="A111" s="21"/>
      <c r="B111" s="22"/>
    </row>
    <row r="112" spans="1:2">
      <c r="A112" s="21"/>
      <c r="B112" s="22"/>
    </row>
    <row r="113" spans="1:2">
      <c r="A113" s="21"/>
      <c r="B113" s="22"/>
    </row>
    <row r="114" spans="1:2">
      <c r="A114" s="21"/>
      <c r="B114" s="22"/>
    </row>
    <row r="115" spans="1:2">
      <c r="A115" s="21"/>
      <c r="B115" s="22"/>
    </row>
    <row r="116" spans="1:2">
      <c r="A116" s="21"/>
      <c r="B116" s="22"/>
    </row>
    <row r="117" spans="1:2">
      <c r="A117" s="21"/>
      <c r="B117" s="22"/>
    </row>
    <row r="118" spans="1:2">
      <c r="A118" s="21"/>
      <c r="B118" s="22"/>
    </row>
    <row r="119" spans="1:2">
      <c r="A119" s="21"/>
      <c r="B119" s="22"/>
    </row>
    <row r="120" spans="1:2">
      <c r="A120" s="21"/>
      <c r="B120" s="22"/>
    </row>
    <row r="121" spans="1:2">
      <c r="A121" s="21"/>
      <c r="B121" s="22"/>
    </row>
    <row r="122" spans="1:2">
      <c r="A122" s="21"/>
      <c r="B122" s="22"/>
    </row>
    <row r="123" spans="1:2">
      <c r="A123" s="21"/>
      <c r="B123" s="22"/>
    </row>
    <row r="124" spans="1:2">
      <c r="A124" s="21"/>
      <c r="B124" s="22"/>
    </row>
    <row r="125" spans="1:2">
      <c r="A125" s="21"/>
      <c r="B125" s="22"/>
    </row>
    <row r="126" spans="1:2">
      <c r="A126" s="21"/>
      <c r="B126" s="22"/>
    </row>
    <row r="127" spans="1:2">
      <c r="A127" s="21"/>
      <c r="B127" s="22"/>
    </row>
    <row r="128" spans="1:2">
      <c r="A128" s="21"/>
      <c r="B128" s="22"/>
    </row>
    <row r="129" spans="1:2">
      <c r="A129" s="21"/>
      <c r="B129" s="22"/>
    </row>
    <row r="130" spans="1:2">
      <c r="A130" s="21"/>
      <c r="B130" s="22"/>
    </row>
    <row r="131" spans="1:2">
      <c r="A131" s="21"/>
      <c r="B131" s="22"/>
    </row>
    <row r="132" spans="1:2">
      <c r="A132" s="21"/>
      <c r="B132" s="22"/>
    </row>
    <row r="133" spans="1:2">
      <c r="A133" s="21"/>
      <c r="B133" s="22"/>
    </row>
    <row r="134" spans="1:2">
      <c r="A134" s="21"/>
      <c r="B134" s="22"/>
    </row>
    <row r="135" spans="1:2">
      <c r="A135" s="21"/>
      <c r="B135" s="22"/>
    </row>
    <row r="136" spans="1:2">
      <c r="A136" s="21"/>
      <c r="B136" s="22"/>
    </row>
    <row r="137" spans="1:2">
      <c r="A137" s="21"/>
      <c r="B137" s="22"/>
    </row>
    <row r="138" spans="1:2">
      <c r="A138" s="21"/>
      <c r="B138" s="22"/>
    </row>
    <row r="139" spans="1:2">
      <c r="A139" s="21"/>
      <c r="B139" s="22"/>
    </row>
    <row r="140" spans="1:2">
      <c r="A140" s="21"/>
      <c r="B140" s="22"/>
    </row>
    <row r="141" spans="1:2">
      <c r="A141" s="21"/>
      <c r="B141" s="22"/>
    </row>
    <row r="142" spans="1:2">
      <c r="A142" s="21"/>
      <c r="B142" s="22"/>
    </row>
    <row r="143" spans="1:2">
      <c r="A143" s="21"/>
      <c r="B143" s="22"/>
    </row>
    <row r="144" spans="1:2">
      <c r="A144" s="21"/>
      <c r="B144" s="22"/>
    </row>
    <row r="145" spans="1:2">
      <c r="A145" s="21"/>
      <c r="B145" s="22"/>
    </row>
    <row r="146" spans="1:2">
      <c r="A146" s="21"/>
      <c r="B146" s="22"/>
    </row>
    <row r="147" spans="1:2">
      <c r="A147" s="21"/>
      <c r="B147" s="22"/>
    </row>
    <row r="148" spans="1:2">
      <c r="A148" s="21"/>
      <c r="B148" s="22"/>
    </row>
    <row r="149" spans="1:2">
      <c r="A149" s="21"/>
      <c r="B149" s="22"/>
    </row>
    <row r="150" spans="1:2">
      <c r="A150" s="21"/>
      <c r="B150" s="22"/>
    </row>
    <row r="151" spans="1:2">
      <c r="A151" s="21"/>
      <c r="B151" s="22"/>
    </row>
    <row r="152" spans="1:2">
      <c r="A152" s="21"/>
      <c r="B152" s="22"/>
    </row>
    <row r="153" spans="1:2">
      <c r="A153" s="21"/>
      <c r="B153" s="22"/>
    </row>
    <row r="154" spans="1:2">
      <c r="A154" s="21"/>
      <c r="B154" s="22"/>
    </row>
    <row r="155" spans="1:2">
      <c r="A155" s="21"/>
      <c r="B155" s="22"/>
    </row>
    <row r="156" spans="1:2">
      <c r="A156" s="21"/>
      <c r="B156" s="22"/>
    </row>
    <row r="157" spans="1:2">
      <c r="A157" s="21"/>
      <c r="B157" s="22"/>
    </row>
    <row r="158" spans="1:2">
      <c r="A158" s="21"/>
      <c r="B158" s="22"/>
    </row>
    <row r="159" spans="1:2">
      <c r="A159" s="21"/>
      <c r="B159" s="22"/>
    </row>
    <row r="160" spans="1:2">
      <c r="A160" s="21"/>
      <c r="B160" s="22"/>
    </row>
    <row r="161" spans="1:2">
      <c r="A161" s="21"/>
      <c r="B161" s="22"/>
    </row>
    <row r="162" spans="1:2">
      <c r="A162" s="21"/>
      <c r="B162" s="22"/>
    </row>
    <row r="163" spans="1:2">
      <c r="A163" s="21"/>
      <c r="B163" s="22"/>
    </row>
    <row r="164" spans="1:2">
      <c r="A164" s="21"/>
      <c r="B164" s="22"/>
    </row>
    <row r="165" spans="1:2">
      <c r="A165" s="21"/>
      <c r="B165" s="22"/>
    </row>
    <row r="166" spans="1:2">
      <c r="A166" s="21"/>
      <c r="B166" s="22"/>
    </row>
    <row r="167" spans="1:2">
      <c r="A167" s="21"/>
      <c r="B167" s="22"/>
    </row>
    <row r="168" spans="1:2">
      <c r="A168" s="21"/>
      <c r="B168" s="22"/>
    </row>
    <row r="169" spans="1:2">
      <c r="A169" s="21"/>
      <c r="B169" s="22"/>
    </row>
    <row r="170" spans="1:2">
      <c r="A170" s="21"/>
      <c r="B170" s="22"/>
    </row>
    <row r="171" spans="1:2">
      <c r="A171" s="21"/>
      <c r="B171" s="22"/>
    </row>
    <row r="172" spans="1:2">
      <c r="A172" s="21"/>
      <c r="B172" s="22"/>
    </row>
    <row r="173" spans="1:2">
      <c r="A173" s="21"/>
      <c r="B173" s="22"/>
    </row>
    <row r="174" spans="1:2">
      <c r="A174" s="21"/>
      <c r="B174" s="22"/>
    </row>
    <row r="175" spans="1:2">
      <c r="A175" s="21"/>
      <c r="B175" s="22"/>
    </row>
    <row r="176" spans="1:2">
      <c r="A176" s="21"/>
      <c r="B176" s="22"/>
    </row>
    <row r="177" spans="1:2">
      <c r="A177" s="21"/>
      <c r="B177" s="22"/>
    </row>
    <row r="178" spans="1:2">
      <c r="A178" s="21"/>
      <c r="B178" s="22"/>
    </row>
    <row r="179" spans="1:2">
      <c r="A179" s="21"/>
      <c r="B179" s="22"/>
    </row>
    <row r="180" spans="1:2">
      <c r="A180" s="21"/>
      <c r="B180" s="22"/>
    </row>
    <row r="181" spans="1:2">
      <c r="A181" s="21"/>
      <c r="B181" s="22"/>
    </row>
    <row r="182" spans="1:2">
      <c r="A182" s="21"/>
      <c r="B182" s="22"/>
    </row>
    <row r="183" spans="1:2">
      <c r="A183" s="21"/>
      <c r="B183" s="22"/>
    </row>
    <row r="184" spans="1:2">
      <c r="A184" s="21"/>
      <c r="B184" s="22"/>
    </row>
    <row r="185" spans="1:2">
      <c r="A185" s="21"/>
      <c r="B185" s="22"/>
    </row>
    <row r="186" spans="1:2">
      <c r="A186" s="21"/>
      <c r="B186" s="22"/>
    </row>
    <row r="187" spans="1:2">
      <c r="A187" s="21"/>
      <c r="B187" s="22"/>
    </row>
    <row r="188" spans="1:2">
      <c r="A188" s="21"/>
      <c r="B188" s="22"/>
    </row>
    <row r="189" spans="1:2">
      <c r="A189" s="21"/>
      <c r="B189" s="22"/>
    </row>
    <row r="190" spans="1:2">
      <c r="A190" s="21"/>
      <c r="B190" s="22"/>
    </row>
    <row r="191" spans="1:2">
      <c r="A191" s="21"/>
      <c r="B191" s="22"/>
    </row>
    <row r="192" spans="1:2">
      <c r="A192" s="21"/>
      <c r="B192" s="22"/>
    </row>
    <row r="193" spans="1:2">
      <c r="A193" s="21"/>
      <c r="B193" s="22"/>
    </row>
    <row r="194" spans="1:2">
      <c r="A194" s="21"/>
      <c r="B194" s="22"/>
    </row>
    <row r="195" spans="1:2">
      <c r="A195" s="21"/>
      <c r="B195" s="22"/>
    </row>
    <row r="196" spans="1:2">
      <c r="A196" s="21"/>
      <c r="B196" s="22"/>
    </row>
    <row r="197" spans="1:2">
      <c r="A197" s="21"/>
      <c r="B197" s="22"/>
    </row>
    <row r="198" spans="1:2">
      <c r="A198" s="21"/>
      <c r="B198" s="22"/>
    </row>
    <row r="199" spans="1:2">
      <c r="A199" s="21"/>
      <c r="B199" s="22"/>
    </row>
    <row r="200" spans="1:2">
      <c r="A200" s="21"/>
      <c r="B200" s="22"/>
    </row>
    <row r="201" spans="1:2">
      <c r="A201" s="21"/>
      <c r="B201" s="22"/>
    </row>
    <row r="202" spans="1:2">
      <c r="A202" s="21"/>
      <c r="B202" s="22"/>
    </row>
    <row r="203" spans="1:2">
      <c r="A203" s="21"/>
      <c r="B203" s="22"/>
    </row>
    <row r="204" spans="1:2">
      <c r="A204" s="21"/>
      <c r="B204" s="22"/>
    </row>
    <row r="205" spans="1:2">
      <c r="A205" s="21"/>
      <c r="B205" s="22"/>
    </row>
    <row r="206" spans="1:2">
      <c r="A206" s="21"/>
      <c r="B206" s="22"/>
    </row>
    <row r="207" spans="1:2">
      <c r="A207" s="21"/>
      <c r="B207" s="22"/>
    </row>
    <row r="208" spans="1:2">
      <c r="A208" s="21"/>
      <c r="B208" s="22"/>
    </row>
    <row r="209" spans="1:2">
      <c r="A209" s="21"/>
      <c r="B209" s="22"/>
    </row>
    <row r="210" spans="1:2">
      <c r="A210" s="21"/>
      <c r="B210" s="22"/>
    </row>
    <row r="211" spans="1:2">
      <c r="A211" s="21"/>
      <c r="B211" s="22"/>
    </row>
    <row r="212" spans="1:2">
      <c r="A212" s="21"/>
      <c r="B212" s="22"/>
    </row>
    <row r="213" spans="1:2">
      <c r="A213" s="21"/>
      <c r="B213" s="22"/>
    </row>
    <row r="214" spans="1:2">
      <c r="A214" s="21"/>
      <c r="B214" s="22"/>
    </row>
    <row r="215" spans="1:2">
      <c r="A215" s="21"/>
      <c r="B215" s="22"/>
    </row>
    <row r="216" spans="1:2">
      <c r="A216" s="21"/>
      <c r="B216" s="22"/>
    </row>
    <row r="217" spans="1:2">
      <c r="A217" s="21"/>
      <c r="B217" s="22"/>
    </row>
    <row r="218" spans="1:2">
      <c r="A218" s="21"/>
      <c r="B218" s="22"/>
    </row>
    <row r="219" spans="1:2">
      <c r="A219" s="21"/>
      <c r="B219" s="22"/>
    </row>
    <row r="220" spans="1:2">
      <c r="A220" s="21"/>
      <c r="B220" s="22"/>
    </row>
    <row r="221" spans="1:2">
      <c r="A221" s="21"/>
      <c r="B221" s="22"/>
    </row>
    <row r="222" spans="1:2">
      <c r="A222" s="21"/>
      <c r="B222" s="22"/>
    </row>
    <row r="223" spans="1:2">
      <c r="A223" s="21"/>
      <c r="B223" s="22"/>
    </row>
    <row r="224" spans="1:2">
      <c r="A224" s="21"/>
      <c r="B224" s="22"/>
    </row>
    <row r="225" spans="1:2">
      <c r="A225" s="21"/>
      <c r="B225" s="22"/>
    </row>
    <row r="226" spans="1:2">
      <c r="A226" s="21"/>
      <c r="B226" s="22"/>
    </row>
    <row r="227" spans="1:2">
      <c r="A227" s="21"/>
      <c r="B227" s="22"/>
    </row>
    <row r="228" spans="1:2">
      <c r="A228" s="21"/>
      <c r="B228" s="22"/>
    </row>
    <row r="229" spans="1:2">
      <c r="A229" s="21"/>
      <c r="B229" s="22"/>
    </row>
    <row r="230" spans="1:2">
      <c r="A230" s="21"/>
      <c r="B230" s="22"/>
    </row>
    <row r="231" spans="1:2">
      <c r="A231" s="21"/>
      <c r="B231" s="22"/>
    </row>
    <row r="232" spans="1:2">
      <c r="A232" s="21"/>
      <c r="B232" s="22"/>
    </row>
    <row r="233" spans="1:2">
      <c r="A233" s="21"/>
      <c r="B233" s="22"/>
    </row>
    <row r="234" spans="1:2">
      <c r="A234" s="21"/>
      <c r="B234" s="22"/>
    </row>
    <row r="235" spans="1:2">
      <c r="A235" s="21"/>
      <c r="B235" s="22"/>
    </row>
    <row r="236" spans="1:2">
      <c r="A236" s="21"/>
      <c r="B236" s="22"/>
    </row>
    <row r="237" spans="1:2">
      <c r="A237" s="21"/>
      <c r="B237" s="22"/>
    </row>
    <row r="238" spans="1:2">
      <c r="A238" s="21"/>
      <c r="B238" s="22"/>
    </row>
    <row r="239" spans="1:2">
      <c r="A239" s="21"/>
      <c r="B239" s="22"/>
    </row>
    <row r="240" spans="1:2">
      <c r="A240" s="21"/>
      <c r="B240" s="22"/>
    </row>
    <row r="241" spans="1:2">
      <c r="A241" s="21"/>
      <c r="B241" s="22"/>
    </row>
    <row r="242" spans="1:2">
      <c r="A242" s="21"/>
      <c r="B242" s="22"/>
    </row>
    <row r="243" spans="1:2">
      <c r="A243" s="21"/>
      <c r="B243" s="22"/>
    </row>
    <row r="244" spans="1:2">
      <c r="A244" s="21"/>
      <c r="B244" s="22"/>
    </row>
    <row r="245" spans="1:2">
      <c r="A245" s="21"/>
      <c r="B245" s="22"/>
    </row>
    <row r="246" spans="1:2">
      <c r="A246" s="21"/>
      <c r="B246" s="22"/>
    </row>
    <row r="247" spans="1:2">
      <c r="A247" s="21"/>
      <c r="B247" s="22"/>
    </row>
    <row r="248" spans="1:2">
      <c r="A248" s="21"/>
      <c r="B248" s="22"/>
    </row>
    <row r="249" spans="1:2">
      <c r="A249" s="21"/>
      <c r="B249" s="22"/>
    </row>
    <row r="250" spans="1:2">
      <c r="A250" s="21"/>
      <c r="B250" s="22"/>
    </row>
    <row r="251" spans="1:2">
      <c r="A251" s="21"/>
      <c r="B251" s="22"/>
    </row>
    <row r="252" spans="1:2">
      <c r="A252" s="21"/>
      <c r="B252" s="22"/>
    </row>
    <row r="253" spans="1:2">
      <c r="A253" s="21"/>
      <c r="B253" s="22"/>
    </row>
    <row r="254" spans="1:2">
      <c r="A254" s="21"/>
      <c r="B254" s="22"/>
    </row>
    <row r="255" spans="1:2">
      <c r="A255" s="21"/>
      <c r="B255" s="22"/>
    </row>
    <row r="256" spans="1:2">
      <c r="A256" s="21"/>
      <c r="B256" s="22"/>
    </row>
    <row r="257" spans="1:2">
      <c r="A257" s="21"/>
      <c r="B257" s="22"/>
    </row>
    <row r="258" spans="1:2">
      <c r="A258" s="21"/>
      <c r="B258" s="22"/>
    </row>
    <row r="259" spans="1:2">
      <c r="A259" s="21"/>
      <c r="B259" s="22"/>
    </row>
    <row r="260" spans="1:2">
      <c r="A260" s="21"/>
      <c r="B260" s="22"/>
    </row>
    <row r="261" spans="1:2">
      <c r="A261" s="21"/>
      <c r="B261" s="22"/>
    </row>
    <row r="262" spans="1:2">
      <c r="A262" s="21"/>
      <c r="B262" s="22"/>
    </row>
    <row r="263" spans="1:2">
      <c r="A263" s="21"/>
      <c r="B263" s="22"/>
    </row>
    <row r="264" spans="1:2">
      <c r="A264" s="21"/>
      <c r="B264" s="22"/>
    </row>
    <row r="265" spans="1:2">
      <c r="A265" s="21"/>
      <c r="B265" s="22"/>
    </row>
    <row r="266" spans="1:2">
      <c r="A266" s="21"/>
      <c r="B266" s="22"/>
    </row>
    <row r="267" spans="1:2">
      <c r="A267" s="21"/>
      <c r="B267" s="22"/>
    </row>
    <row r="268" spans="1:2">
      <c r="A268" s="21"/>
      <c r="B268" s="22"/>
    </row>
    <row r="269" spans="1:2">
      <c r="A269" s="21"/>
      <c r="B269" s="22"/>
    </row>
    <row r="270" spans="1:2">
      <c r="A270" s="21"/>
      <c r="B270" s="22"/>
    </row>
    <row r="271" spans="1:2">
      <c r="A271" s="21"/>
      <c r="B271" s="22"/>
    </row>
    <row r="272" spans="1:2">
      <c r="A272" s="21"/>
      <c r="B272" s="22"/>
    </row>
    <row r="273" spans="1:2">
      <c r="A273" s="21"/>
      <c r="B273" s="22"/>
    </row>
    <row r="274" spans="1:2">
      <c r="A274" s="21"/>
      <c r="B274" s="22"/>
    </row>
    <row r="275" spans="1:2">
      <c r="A275" s="21"/>
      <c r="B275" s="22"/>
    </row>
    <row r="276" spans="1:2">
      <c r="A276" s="21"/>
      <c r="B276" s="22"/>
    </row>
    <row r="277" spans="1:2">
      <c r="A277" s="21"/>
      <c r="B277" s="22"/>
    </row>
    <row r="278" spans="1:2">
      <c r="A278" s="21"/>
      <c r="B278" s="22"/>
    </row>
    <row r="279" spans="1:2">
      <c r="A279" s="21"/>
      <c r="B279" s="22"/>
    </row>
    <row r="280" spans="1:2">
      <c r="A280" s="21"/>
      <c r="B280" s="22"/>
    </row>
    <row r="281" spans="1:2">
      <c r="A281" s="21"/>
      <c r="B281" s="22"/>
    </row>
    <row r="282" spans="1:2">
      <c r="A282" s="21"/>
      <c r="B282" s="22"/>
    </row>
    <row r="283" spans="1:2">
      <c r="A283" s="21"/>
      <c r="B283" s="22"/>
    </row>
    <row r="284" spans="1:2">
      <c r="A284" s="21"/>
      <c r="B284" s="22"/>
    </row>
    <row r="285" spans="1:2">
      <c r="A285" s="21"/>
      <c r="B285" s="22"/>
    </row>
    <row r="286" spans="1:2">
      <c r="A286" s="21"/>
      <c r="B286" s="22"/>
    </row>
    <row r="287" spans="1:2">
      <c r="A287" s="21"/>
      <c r="B287" s="22"/>
    </row>
    <row r="288" spans="1:2">
      <c r="A288" s="21"/>
      <c r="B288" s="22"/>
    </row>
    <row r="289" spans="1:2">
      <c r="A289" s="21"/>
      <c r="B289" s="22"/>
    </row>
    <row r="290" spans="1:2">
      <c r="A290" s="21"/>
      <c r="B290" s="22"/>
    </row>
    <row r="291" spans="1:2">
      <c r="A291" s="21"/>
      <c r="B291" s="22"/>
    </row>
    <row r="292" spans="1:2">
      <c r="A292" s="21"/>
      <c r="B292" s="22"/>
    </row>
    <row r="293" spans="1:2">
      <c r="A293" s="21"/>
      <c r="B293" s="22"/>
    </row>
    <row r="294" spans="1:2">
      <c r="A294" s="21"/>
      <c r="B294" s="22"/>
    </row>
    <row r="295" spans="1:2">
      <c r="A295" s="21"/>
      <c r="B295" s="22"/>
    </row>
    <row r="296" spans="1:2">
      <c r="A296" s="21"/>
      <c r="B296" s="22"/>
    </row>
    <row r="297" spans="1:2">
      <c r="A297" s="21"/>
      <c r="B297" s="22"/>
    </row>
    <row r="298" spans="1:2">
      <c r="A298" s="21"/>
      <c r="B298" s="22"/>
    </row>
    <row r="299" spans="1:2">
      <c r="A299" s="21"/>
      <c r="B299" s="22"/>
    </row>
    <row r="300" spans="1:2">
      <c r="A300" s="21"/>
      <c r="B300" s="22"/>
    </row>
    <row r="301" spans="1:2">
      <c r="A301" s="21"/>
      <c r="B301" s="22"/>
    </row>
    <row r="302" spans="1:2">
      <c r="A302" s="21"/>
      <c r="B302" s="22"/>
    </row>
    <row r="303" spans="1:2">
      <c r="A303" s="21"/>
      <c r="B303" s="22"/>
    </row>
    <row r="304" spans="1:2">
      <c r="A304" s="21"/>
      <c r="B304" s="22"/>
    </row>
    <row r="305" spans="1:2">
      <c r="A305" s="21"/>
      <c r="B305" s="22"/>
    </row>
    <row r="306" spans="1:2">
      <c r="A306" s="21"/>
      <c r="B306" s="22"/>
    </row>
    <row r="307" spans="1:2">
      <c r="A307" s="21"/>
      <c r="B307" s="22"/>
    </row>
    <row r="308" spans="1:2">
      <c r="A308" s="21"/>
      <c r="B308" s="22"/>
    </row>
    <row r="309" spans="1:2">
      <c r="A309" s="21"/>
      <c r="B309" s="22"/>
    </row>
    <row r="310" spans="1:2">
      <c r="A310" s="21"/>
      <c r="B310" s="22"/>
    </row>
    <row r="311" spans="1:2">
      <c r="A311" s="21"/>
      <c r="B311" s="22"/>
    </row>
    <row r="312" spans="1:2">
      <c r="A312" s="21"/>
      <c r="B312" s="22"/>
    </row>
  </sheetData>
  <phoneticPr fontId="6" type="noConversion"/>
  <conditionalFormatting sqref="B1">
    <cfRule type="expression" dxfId="115" priority="1">
      <formula>$B$1="Y"</formula>
    </cfRule>
    <cfRule type="expression" dxfId="114" priority="2">
      <formula>$B$1="N"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O229"/>
  <sheetViews>
    <sheetView workbookViewId="0">
      <pane xSplit="3" ySplit="5" topLeftCell="D201" activePane="bottomRight" state="frozen"/>
      <selection pane="topRight" activeCell="D1" sqref="D1"/>
      <selection pane="bottomLeft" activeCell="A6" sqref="A6"/>
      <selection pane="bottomRight" activeCell="E208" sqref="E208"/>
    </sheetView>
  </sheetViews>
  <sheetFormatPr defaultColWidth="9" defaultRowHeight="16.5"/>
  <cols>
    <col min="1" max="1" width="9" style="2"/>
    <col min="2" max="2" width="17.5" style="2" customWidth="1"/>
    <col min="3" max="3" width="11.25" style="2" customWidth="1"/>
    <col min="4" max="15" width="11.625" style="2" customWidth="1"/>
    <col min="16" max="16384" width="9" style="2"/>
  </cols>
  <sheetData>
    <row r="1" spans="1:15">
      <c r="A1" s="1" t="s">
        <v>1107</v>
      </c>
      <c r="B1" s="1" t="s">
        <v>414</v>
      </c>
      <c r="C1" s="1" t="s">
        <v>415</v>
      </c>
      <c r="D1" s="1" t="s">
        <v>360</v>
      </c>
      <c r="E1" s="1" t="s">
        <v>416</v>
      </c>
      <c r="F1" s="1" t="s">
        <v>417</v>
      </c>
      <c r="G1" s="1" t="s">
        <v>418</v>
      </c>
      <c r="H1" s="1" t="s">
        <v>419</v>
      </c>
      <c r="I1" s="1" t="s">
        <v>420</v>
      </c>
      <c r="J1" s="1" t="s">
        <v>421</v>
      </c>
      <c r="K1" s="1" t="s">
        <v>361</v>
      </c>
      <c r="L1" s="1" t="s">
        <v>362</v>
      </c>
      <c r="M1" s="1" t="s">
        <v>422</v>
      </c>
      <c r="N1" s="1" t="s">
        <v>423</v>
      </c>
      <c r="O1" s="1" t="s">
        <v>424</v>
      </c>
    </row>
    <row r="2" spans="1:15">
      <c r="A2" s="1" t="s">
        <v>2</v>
      </c>
      <c r="B2" s="1" t="s">
        <v>3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>
      <c r="A3" s="1" t="s">
        <v>4</v>
      </c>
      <c r="B3" s="1" t="s">
        <v>5</v>
      </c>
      <c r="C3" s="1" t="s">
        <v>2720</v>
      </c>
      <c r="D3" s="1" t="s">
        <v>2721</v>
      </c>
      <c r="E3" s="1" t="s">
        <v>2722</v>
      </c>
      <c r="F3" s="1" t="s">
        <v>2723</v>
      </c>
      <c r="G3" s="1" t="s">
        <v>2724</v>
      </c>
      <c r="H3" s="1" t="s">
        <v>2725</v>
      </c>
      <c r="I3" s="1" t="s">
        <v>2726</v>
      </c>
      <c r="J3" s="1" t="s">
        <v>2727</v>
      </c>
      <c r="K3" s="1" t="s">
        <v>2728</v>
      </c>
      <c r="L3" s="1" t="s">
        <v>2729</v>
      </c>
      <c r="M3" s="1" t="s">
        <v>2730</v>
      </c>
      <c r="N3" s="1" t="s">
        <v>2731</v>
      </c>
      <c r="O3" s="1" t="s">
        <v>2732</v>
      </c>
    </row>
    <row r="5" spans="1:15" s="6" customFormat="1" ht="65.25" customHeight="1">
      <c r="A5" s="6" t="s">
        <v>6</v>
      </c>
      <c r="B5" s="6" t="s">
        <v>7</v>
      </c>
      <c r="C5" s="6" t="s">
        <v>2720</v>
      </c>
      <c r="D5" s="6" t="s">
        <v>2721</v>
      </c>
      <c r="E5" s="6" t="s">
        <v>2722</v>
      </c>
      <c r="F5" s="6" t="s">
        <v>2723</v>
      </c>
      <c r="G5" s="6" t="s">
        <v>2724</v>
      </c>
      <c r="H5" s="6" t="s">
        <v>2725</v>
      </c>
      <c r="I5" s="6" t="s">
        <v>2726</v>
      </c>
      <c r="J5" s="6" t="s">
        <v>2727</v>
      </c>
      <c r="K5" s="6" t="s">
        <v>2728</v>
      </c>
      <c r="L5" s="6" t="s">
        <v>2729</v>
      </c>
      <c r="M5" s="6" t="s">
        <v>2730</v>
      </c>
      <c r="N5" s="6" t="s">
        <v>2731</v>
      </c>
      <c r="O5" s="6" t="s">
        <v>2732</v>
      </c>
    </row>
    <row r="6" spans="1:15">
      <c r="A6" s="3" t="s">
        <v>12</v>
      </c>
      <c r="B6" s="2" t="s">
        <v>1459</v>
      </c>
      <c r="C6" s="5">
        <v>44329</v>
      </c>
      <c r="D6" s="2">
        <v>126.8</v>
      </c>
      <c r="E6" s="2">
        <v>-1.89</v>
      </c>
      <c r="F6" s="2">
        <v>-1.4685999999999999</v>
      </c>
      <c r="G6" s="2">
        <v>0.55200000000000005</v>
      </c>
      <c r="K6" s="2">
        <v>153174128</v>
      </c>
      <c r="L6" s="2">
        <v>1208000</v>
      </c>
      <c r="M6" s="2">
        <v>27500</v>
      </c>
      <c r="N6" s="2">
        <v>1208000</v>
      </c>
      <c r="O6" s="2">
        <v>27500</v>
      </c>
    </row>
    <row r="7" spans="1:15">
      <c r="A7" s="3" t="s">
        <v>13</v>
      </c>
      <c r="B7" s="2" t="s">
        <v>1460</v>
      </c>
      <c r="C7" s="5">
        <v>44329</v>
      </c>
      <c r="D7" s="2">
        <v>48.81</v>
      </c>
      <c r="E7" s="2">
        <v>-0.55000000000000004</v>
      </c>
      <c r="F7" s="2">
        <v>-1.1142000000000001</v>
      </c>
      <c r="G7" s="2">
        <v>-4.0899999999999999E-2</v>
      </c>
      <c r="K7" s="2">
        <v>512466</v>
      </c>
      <c r="L7" s="2">
        <v>10500</v>
      </c>
      <c r="M7" s="2">
        <v>0</v>
      </c>
      <c r="N7" s="2">
        <v>10500</v>
      </c>
      <c r="O7" s="2">
        <v>0</v>
      </c>
    </row>
    <row r="8" spans="1:15">
      <c r="A8" s="3" t="s">
        <v>14</v>
      </c>
      <c r="B8" s="2" t="s">
        <v>1461</v>
      </c>
      <c r="C8" s="5">
        <v>44329</v>
      </c>
      <c r="D8" s="2">
        <v>114.11</v>
      </c>
      <c r="E8" s="2">
        <v>-1.58</v>
      </c>
      <c r="F8" s="2">
        <v>-1.3656999999999999</v>
      </c>
      <c r="G8" s="2">
        <v>0.25409999999999999</v>
      </c>
      <c r="K8" s="2">
        <v>5762547</v>
      </c>
      <c r="L8" s="2">
        <v>50500</v>
      </c>
      <c r="M8" s="2">
        <v>0</v>
      </c>
      <c r="N8" s="2">
        <v>50500</v>
      </c>
      <c r="O8" s="2">
        <v>0</v>
      </c>
    </row>
    <row r="9" spans="1:15">
      <c r="A9" s="3" t="s">
        <v>15</v>
      </c>
      <c r="B9" s="2" t="s">
        <v>1462</v>
      </c>
      <c r="C9" s="5">
        <v>44329</v>
      </c>
      <c r="D9" s="2">
        <v>60.44</v>
      </c>
      <c r="E9" s="2">
        <v>-0.61</v>
      </c>
      <c r="F9" s="2">
        <v>-0.99909999999999999</v>
      </c>
      <c r="G9" s="2">
        <v>-0.72789999999999999</v>
      </c>
      <c r="K9" s="2">
        <v>331686</v>
      </c>
      <c r="L9" s="2">
        <v>5488</v>
      </c>
      <c r="M9" s="2">
        <v>0</v>
      </c>
      <c r="N9" s="2">
        <v>5488</v>
      </c>
      <c r="O9" s="2">
        <v>0</v>
      </c>
    </row>
    <row r="10" spans="1:15">
      <c r="A10" s="3" t="s">
        <v>16</v>
      </c>
      <c r="B10" s="2" t="s">
        <v>1463</v>
      </c>
      <c r="C10" s="5">
        <v>44329</v>
      </c>
      <c r="D10" s="2">
        <v>28.8</v>
      </c>
      <c r="E10" s="2">
        <v>-0.13</v>
      </c>
      <c r="F10" s="2">
        <v>-0.44929999999999998</v>
      </c>
      <c r="G10" s="2">
        <v>-0.20830000000000001</v>
      </c>
      <c r="K10" s="2">
        <v>205188</v>
      </c>
      <c r="L10" s="2">
        <v>7124</v>
      </c>
      <c r="M10" s="2">
        <v>0</v>
      </c>
      <c r="N10" s="2">
        <v>7124</v>
      </c>
      <c r="O10" s="2">
        <v>0</v>
      </c>
    </row>
    <row r="11" spans="1:15">
      <c r="A11" s="3" t="s">
        <v>17</v>
      </c>
      <c r="B11" s="2" t="s">
        <v>1464</v>
      </c>
      <c r="C11" s="5">
        <v>44329</v>
      </c>
      <c r="D11" s="2">
        <v>20.18</v>
      </c>
      <c r="E11" s="2">
        <v>-0.25</v>
      </c>
      <c r="F11" s="2">
        <v>-1.2236</v>
      </c>
      <c r="G11" s="2">
        <v>0.4955</v>
      </c>
      <c r="K11" s="2">
        <v>749804</v>
      </c>
      <c r="L11" s="2">
        <v>37154</v>
      </c>
      <c r="M11" s="2">
        <v>0</v>
      </c>
      <c r="N11" s="2">
        <v>37154</v>
      </c>
      <c r="O11" s="2">
        <v>0</v>
      </c>
    </row>
    <row r="12" spans="1:15">
      <c r="A12" s="3" t="s">
        <v>18</v>
      </c>
      <c r="B12" s="2" t="s">
        <v>1465</v>
      </c>
      <c r="C12" s="5">
        <v>44329</v>
      </c>
      <c r="D12" s="2">
        <v>33.299999999999997</v>
      </c>
      <c r="E12" s="2">
        <v>-0.13</v>
      </c>
      <c r="F12" s="2">
        <v>-0.38879999999999998</v>
      </c>
      <c r="G12" s="2">
        <v>0.30030000000000001</v>
      </c>
      <c r="K12" s="2">
        <v>71192205</v>
      </c>
      <c r="L12" s="2">
        <v>2138034</v>
      </c>
      <c r="M12" s="2">
        <v>21500</v>
      </c>
      <c r="N12" s="2">
        <v>2138034</v>
      </c>
      <c r="O12" s="2">
        <v>21500</v>
      </c>
    </row>
    <row r="13" spans="1:15">
      <c r="A13" s="3" t="s">
        <v>19</v>
      </c>
      <c r="B13" s="2" t="s">
        <v>1466</v>
      </c>
      <c r="C13" s="5">
        <v>44329</v>
      </c>
      <c r="D13" s="2">
        <v>86.51</v>
      </c>
      <c r="E13" s="2">
        <v>-1.17</v>
      </c>
      <c r="F13" s="2">
        <v>-1.3343</v>
      </c>
      <c r="G13" s="2">
        <v>-0.58950000000000002</v>
      </c>
      <c r="K13" s="2">
        <v>478152</v>
      </c>
      <c r="L13" s="2">
        <v>5527</v>
      </c>
      <c r="M13" s="2">
        <v>0</v>
      </c>
      <c r="N13" s="2">
        <v>5527</v>
      </c>
      <c r="O13" s="2">
        <v>0</v>
      </c>
    </row>
    <row r="14" spans="1:15">
      <c r="A14" s="3" t="s">
        <v>22</v>
      </c>
      <c r="B14" s="2" t="s">
        <v>1467</v>
      </c>
      <c r="C14" s="5">
        <v>44329</v>
      </c>
      <c r="D14" s="2">
        <v>23.04</v>
      </c>
      <c r="E14" s="2">
        <v>-0.35</v>
      </c>
      <c r="F14" s="2">
        <v>-1.4963</v>
      </c>
      <c r="G14" s="2">
        <v>-0.26040000000000002</v>
      </c>
      <c r="K14" s="2">
        <v>3388981</v>
      </c>
      <c r="L14" s="2">
        <v>147116</v>
      </c>
      <c r="M14" s="2">
        <v>0</v>
      </c>
      <c r="N14" s="2">
        <v>147116</v>
      </c>
      <c r="O14" s="2">
        <v>0</v>
      </c>
    </row>
    <row r="15" spans="1:15">
      <c r="A15" s="3" t="s">
        <v>23</v>
      </c>
      <c r="B15" s="2" t="s">
        <v>1468</v>
      </c>
      <c r="C15" s="5">
        <v>44329</v>
      </c>
      <c r="D15" s="2">
        <v>17.57</v>
      </c>
      <c r="E15" s="2">
        <v>0.22</v>
      </c>
      <c r="F15" s="2">
        <v>1.268</v>
      </c>
      <c r="G15" s="2">
        <v>0.39839999999999998</v>
      </c>
      <c r="K15" s="2">
        <v>245100</v>
      </c>
      <c r="L15" s="2">
        <v>13946</v>
      </c>
      <c r="M15" s="2">
        <v>0</v>
      </c>
      <c r="N15" s="2">
        <v>13946</v>
      </c>
      <c r="O15" s="2">
        <v>0</v>
      </c>
    </row>
    <row r="16" spans="1:15">
      <c r="A16" s="3" t="s">
        <v>24</v>
      </c>
      <c r="B16" s="2" t="s">
        <v>1469</v>
      </c>
      <c r="C16" s="5">
        <v>44329</v>
      </c>
      <c r="D16" s="2">
        <v>60.03</v>
      </c>
      <c r="E16" s="2">
        <v>-0.82</v>
      </c>
      <c r="F16" s="2">
        <v>-1.3474999999999999</v>
      </c>
      <c r="G16" s="2">
        <v>0.19989999999999999</v>
      </c>
      <c r="K16" s="2">
        <v>643425</v>
      </c>
      <c r="L16" s="2">
        <v>10718</v>
      </c>
      <c r="M16" s="2">
        <v>0</v>
      </c>
      <c r="N16" s="2">
        <v>10718</v>
      </c>
      <c r="O16" s="2">
        <v>0</v>
      </c>
    </row>
    <row r="17" spans="1:15">
      <c r="A17" s="3" t="s">
        <v>25</v>
      </c>
      <c r="B17" s="2" t="s">
        <v>1470</v>
      </c>
      <c r="C17" s="5">
        <v>44329</v>
      </c>
      <c r="D17" s="2">
        <v>79.67</v>
      </c>
      <c r="E17" s="2">
        <v>-1.22</v>
      </c>
      <c r="F17" s="2">
        <v>-1.5082</v>
      </c>
      <c r="G17" s="2">
        <v>1.6693</v>
      </c>
      <c r="K17" s="2">
        <v>119511</v>
      </c>
      <c r="L17" s="2">
        <v>1500</v>
      </c>
      <c r="M17" s="2">
        <v>0</v>
      </c>
      <c r="N17" s="2">
        <v>1500</v>
      </c>
      <c r="O17" s="2">
        <v>0</v>
      </c>
    </row>
    <row r="18" spans="1:15">
      <c r="A18" s="3" t="s">
        <v>26</v>
      </c>
      <c r="B18" s="2" t="s">
        <v>1471</v>
      </c>
      <c r="C18" s="5">
        <v>44329</v>
      </c>
      <c r="D18" s="2">
        <v>37.21</v>
      </c>
      <c r="E18" s="2">
        <v>-0.49</v>
      </c>
      <c r="F18" s="2">
        <v>-1.2997000000000001</v>
      </c>
      <c r="G18" s="2">
        <v>-0.16120000000000001</v>
      </c>
      <c r="K18" s="2">
        <v>5349967</v>
      </c>
      <c r="L18" s="2">
        <v>143346</v>
      </c>
      <c r="M18" s="2">
        <v>0</v>
      </c>
      <c r="N18" s="2">
        <v>143772</v>
      </c>
      <c r="O18" s="2">
        <v>0</v>
      </c>
    </row>
    <row r="19" spans="1:15">
      <c r="A19" s="3" t="s">
        <v>27</v>
      </c>
      <c r="B19" s="2" t="s">
        <v>1472</v>
      </c>
      <c r="C19" s="5">
        <v>44329</v>
      </c>
      <c r="D19" s="2">
        <v>37.32</v>
      </c>
      <c r="E19" s="2">
        <v>-0.46</v>
      </c>
      <c r="F19" s="2">
        <v>-1.2175</v>
      </c>
      <c r="G19" s="2">
        <v>-0.45550000000000002</v>
      </c>
      <c r="K19" s="2">
        <v>1484518</v>
      </c>
      <c r="L19" s="2">
        <v>39778</v>
      </c>
      <c r="M19" s="2">
        <v>0</v>
      </c>
      <c r="N19" s="2">
        <v>39778</v>
      </c>
      <c r="O19" s="2">
        <v>0</v>
      </c>
    </row>
    <row r="20" spans="1:15">
      <c r="A20" s="3" t="s">
        <v>28</v>
      </c>
      <c r="B20" s="2" t="s">
        <v>1473</v>
      </c>
      <c r="C20" s="5">
        <v>44329</v>
      </c>
      <c r="D20" s="2">
        <v>30.09</v>
      </c>
      <c r="E20" s="2">
        <v>-0.38</v>
      </c>
      <c r="F20" s="2">
        <v>-1.2471000000000001</v>
      </c>
      <c r="G20" s="2">
        <v>-0.19939999999999999</v>
      </c>
      <c r="K20" s="2">
        <v>1275461</v>
      </c>
      <c r="L20" s="2">
        <v>42392</v>
      </c>
      <c r="M20" s="2">
        <v>0</v>
      </c>
      <c r="N20" s="2">
        <v>42392</v>
      </c>
      <c r="O20" s="2">
        <v>0</v>
      </c>
    </row>
    <row r="21" spans="1:15">
      <c r="A21" s="3" t="s">
        <v>29</v>
      </c>
      <c r="B21" s="2" t="s">
        <v>1474</v>
      </c>
      <c r="C21" s="5">
        <v>44329</v>
      </c>
      <c r="D21" s="2">
        <v>72.77</v>
      </c>
      <c r="E21" s="2">
        <v>-1.0900000000000001</v>
      </c>
      <c r="F21" s="2">
        <v>-1.4757</v>
      </c>
      <c r="G21" s="2">
        <v>0.45340000000000003</v>
      </c>
      <c r="K21" s="2">
        <v>11536976</v>
      </c>
      <c r="L21" s="2">
        <v>158540</v>
      </c>
      <c r="M21" s="2">
        <v>1500</v>
      </c>
      <c r="N21" s="2">
        <v>158540</v>
      </c>
      <c r="O21" s="2">
        <v>1500</v>
      </c>
    </row>
    <row r="22" spans="1:15">
      <c r="A22" s="3" t="s">
        <v>30</v>
      </c>
      <c r="B22" s="2" t="s">
        <v>1475</v>
      </c>
      <c r="C22" s="5">
        <v>44329</v>
      </c>
      <c r="D22" s="2">
        <v>8.59</v>
      </c>
      <c r="E22" s="2">
        <v>-0.09</v>
      </c>
      <c r="F22" s="2">
        <v>-1.0367999999999999</v>
      </c>
      <c r="G22" s="2">
        <v>1.3969</v>
      </c>
      <c r="L22" s="2">
        <v>426</v>
      </c>
      <c r="M22" s="2">
        <v>0</v>
      </c>
      <c r="N22" s="2">
        <v>143772</v>
      </c>
      <c r="O22" s="2">
        <v>0</v>
      </c>
    </row>
    <row r="23" spans="1:15">
      <c r="A23" s="3" t="s">
        <v>31</v>
      </c>
      <c r="B23" s="2" t="s">
        <v>1476</v>
      </c>
      <c r="C23" s="5">
        <v>44329</v>
      </c>
      <c r="D23" s="2">
        <v>102.1</v>
      </c>
      <c r="E23" s="2">
        <v>-1.73</v>
      </c>
      <c r="F23" s="2">
        <v>-1.6660999999999999</v>
      </c>
      <c r="G23" s="2">
        <v>0.48970000000000002</v>
      </c>
      <c r="K23" s="2">
        <v>13179844</v>
      </c>
      <c r="L23" s="2">
        <v>129084</v>
      </c>
      <c r="M23" s="2">
        <v>1500</v>
      </c>
      <c r="N23" s="2">
        <v>129084</v>
      </c>
      <c r="O23" s="2">
        <v>1500</v>
      </c>
    </row>
    <row r="24" spans="1:15">
      <c r="A24" s="3" t="s">
        <v>32</v>
      </c>
      <c r="B24" s="2" t="s">
        <v>1477</v>
      </c>
      <c r="C24" s="5">
        <v>44329</v>
      </c>
      <c r="D24" s="2">
        <v>6.37</v>
      </c>
      <c r="E24" s="2">
        <v>0.05</v>
      </c>
      <c r="F24" s="2">
        <v>0.79110000000000003</v>
      </c>
      <c r="G24" s="2">
        <v>-0.31390000000000001</v>
      </c>
      <c r="K24" s="2">
        <v>65803799</v>
      </c>
      <c r="L24" s="2">
        <v>10325149</v>
      </c>
      <c r="M24" s="2">
        <v>-325000</v>
      </c>
      <c r="N24" s="2">
        <v>10325149</v>
      </c>
      <c r="O24" s="2">
        <v>-325000</v>
      </c>
    </row>
    <row r="25" spans="1:15">
      <c r="A25" s="3" t="s">
        <v>33</v>
      </c>
      <c r="B25" s="2" t="s">
        <v>1478</v>
      </c>
      <c r="C25" s="5">
        <v>44329</v>
      </c>
      <c r="D25" s="2">
        <v>63.46</v>
      </c>
      <c r="E25" s="2">
        <v>-2.2200000000000002</v>
      </c>
      <c r="F25" s="2">
        <v>-3.38</v>
      </c>
      <c r="G25" s="2">
        <v>-0.56720000000000004</v>
      </c>
      <c r="K25" s="2">
        <v>12498099</v>
      </c>
      <c r="L25" s="2">
        <v>196958</v>
      </c>
      <c r="M25" s="2">
        <v>0</v>
      </c>
      <c r="N25" s="2">
        <v>196958</v>
      </c>
      <c r="O25" s="2">
        <v>0</v>
      </c>
    </row>
    <row r="26" spans="1:15">
      <c r="A26" s="3" t="s">
        <v>34</v>
      </c>
      <c r="B26" s="2" t="s">
        <v>1453</v>
      </c>
      <c r="C26" s="5">
        <v>44329</v>
      </c>
      <c r="D26" s="2">
        <v>4</v>
      </c>
      <c r="E26" s="2">
        <v>0.06</v>
      </c>
      <c r="F26" s="2">
        <v>1.5227999999999999</v>
      </c>
      <c r="G26" s="2">
        <v>0</v>
      </c>
      <c r="K26" s="2">
        <v>453214</v>
      </c>
      <c r="L26" s="2">
        <v>113256</v>
      </c>
      <c r="M26" s="2">
        <v>-500</v>
      </c>
      <c r="N26" s="2">
        <v>113256</v>
      </c>
      <c r="O26" s="2">
        <v>-500</v>
      </c>
    </row>
    <row r="27" spans="1:15">
      <c r="A27" s="3" t="s">
        <v>35</v>
      </c>
      <c r="B27" s="2" t="s">
        <v>2500</v>
      </c>
      <c r="C27" s="5">
        <v>44329</v>
      </c>
      <c r="D27" s="2">
        <v>24.5</v>
      </c>
      <c r="E27" s="2">
        <v>0.01</v>
      </c>
      <c r="F27" s="2">
        <v>4.0800000000000003E-2</v>
      </c>
      <c r="G27" s="2">
        <v>-0.40810000000000002</v>
      </c>
    </row>
    <row r="28" spans="1:15">
      <c r="A28" s="3" t="s">
        <v>36</v>
      </c>
      <c r="B28" s="2" t="s">
        <v>1479</v>
      </c>
      <c r="C28" s="5">
        <v>44329</v>
      </c>
      <c r="D28" s="2">
        <v>26.64</v>
      </c>
      <c r="E28" s="2">
        <v>-0.3</v>
      </c>
      <c r="F28" s="2">
        <v>-1.1134999999999999</v>
      </c>
      <c r="G28" s="2">
        <v>-0.75070000000000003</v>
      </c>
      <c r="K28" s="2">
        <v>3661830</v>
      </c>
      <c r="L28" s="2">
        <v>136744</v>
      </c>
      <c r="M28" s="2">
        <v>0</v>
      </c>
      <c r="N28" s="2">
        <v>137446</v>
      </c>
      <c r="O28" s="2">
        <v>0</v>
      </c>
    </row>
    <row r="29" spans="1:15">
      <c r="A29" s="3" t="s">
        <v>37</v>
      </c>
      <c r="B29" s="2" t="s">
        <v>1480</v>
      </c>
      <c r="C29" s="5">
        <v>44329</v>
      </c>
      <c r="D29" s="2">
        <v>9.52</v>
      </c>
      <c r="E29" s="2">
        <v>-0.12</v>
      </c>
      <c r="F29" s="2">
        <v>-1.2447999999999999</v>
      </c>
      <c r="G29" s="2">
        <v>-0.21</v>
      </c>
      <c r="L29" s="2">
        <v>70</v>
      </c>
      <c r="M29" s="2">
        <v>0</v>
      </c>
      <c r="N29" s="2">
        <v>137446</v>
      </c>
      <c r="O29" s="2">
        <v>0</v>
      </c>
    </row>
    <row r="30" spans="1:15">
      <c r="A30" s="3" t="s">
        <v>38</v>
      </c>
      <c r="B30" s="2" t="s">
        <v>1481</v>
      </c>
      <c r="C30" s="5">
        <v>44329</v>
      </c>
      <c r="D30" s="2">
        <v>25.08</v>
      </c>
      <c r="E30" s="2">
        <v>-0.87</v>
      </c>
      <c r="F30" s="2">
        <v>-3.3525999999999998</v>
      </c>
      <c r="G30" s="2">
        <v>-0.3987</v>
      </c>
      <c r="K30" s="2">
        <v>24693931</v>
      </c>
      <c r="L30" s="2">
        <v>984606</v>
      </c>
      <c r="M30" s="2">
        <v>0</v>
      </c>
      <c r="N30" s="2">
        <v>984606</v>
      </c>
      <c r="O30" s="2">
        <v>0</v>
      </c>
    </row>
    <row r="31" spans="1:15">
      <c r="A31" s="3" t="s">
        <v>39</v>
      </c>
      <c r="B31" s="2" t="s">
        <v>1482</v>
      </c>
      <c r="C31" s="5">
        <v>44329</v>
      </c>
      <c r="D31" s="2">
        <v>8.06</v>
      </c>
      <c r="E31" s="2">
        <v>0.14000000000000001</v>
      </c>
      <c r="F31" s="2">
        <v>1.7676000000000001</v>
      </c>
      <c r="G31" s="2">
        <v>0.24809999999999999</v>
      </c>
      <c r="K31" s="2">
        <v>471112</v>
      </c>
      <c r="L31" s="2">
        <v>58448</v>
      </c>
      <c r="M31" s="2">
        <v>0</v>
      </c>
      <c r="N31" s="2">
        <v>58448</v>
      </c>
      <c r="O31" s="2">
        <v>0</v>
      </c>
    </row>
    <row r="32" spans="1:15">
      <c r="A32" s="3" t="s">
        <v>40</v>
      </c>
      <c r="B32" s="2" t="s">
        <v>1483</v>
      </c>
      <c r="C32" s="5">
        <v>44329</v>
      </c>
      <c r="D32" s="2">
        <v>16.25</v>
      </c>
      <c r="E32" s="2">
        <v>-0.23</v>
      </c>
      <c r="F32" s="2">
        <v>-1.3956</v>
      </c>
      <c r="G32" s="2">
        <v>-0.36919999999999997</v>
      </c>
      <c r="K32" s="2">
        <v>2184047</v>
      </c>
      <c r="L32" s="2">
        <v>134403</v>
      </c>
      <c r="M32" s="2">
        <v>0</v>
      </c>
      <c r="N32" s="2">
        <v>134403</v>
      </c>
      <c r="O32" s="2">
        <v>0</v>
      </c>
    </row>
    <row r="33" spans="1:15">
      <c r="A33" s="3" t="s">
        <v>41</v>
      </c>
      <c r="B33" s="2" t="s">
        <v>1484</v>
      </c>
      <c r="C33" s="5">
        <v>44329</v>
      </c>
      <c r="D33" s="2">
        <v>26.11</v>
      </c>
      <c r="E33" s="2">
        <v>-0.69</v>
      </c>
      <c r="F33" s="2">
        <v>-2.5746000000000002</v>
      </c>
      <c r="G33" s="2">
        <v>-0.72760000000000002</v>
      </c>
      <c r="K33" s="2">
        <v>272012</v>
      </c>
      <c r="L33" s="2">
        <v>10419</v>
      </c>
      <c r="M33" s="2">
        <v>0</v>
      </c>
      <c r="N33" s="2">
        <v>10419</v>
      </c>
      <c r="O33" s="2">
        <v>0</v>
      </c>
    </row>
    <row r="34" spans="1:15">
      <c r="A34" s="3" t="s">
        <v>42</v>
      </c>
      <c r="B34" s="2" t="s">
        <v>1485</v>
      </c>
      <c r="C34" s="5">
        <v>44329</v>
      </c>
      <c r="D34" s="2">
        <v>11.2</v>
      </c>
      <c r="E34" s="2">
        <v>0.12</v>
      </c>
      <c r="F34" s="2">
        <v>1.083</v>
      </c>
      <c r="G34" s="2">
        <v>0.53569999999999995</v>
      </c>
      <c r="K34" s="2">
        <v>294012</v>
      </c>
      <c r="L34" s="2">
        <v>26258</v>
      </c>
      <c r="M34" s="2">
        <v>0</v>
      </c>
      <c r="N34" s="2">
        <v>26258</v>
      </c>
      <c r="O34" s="2">
        <v>0</v>
      </c>
    </row>
    <row r="35" spans="1:15">
      <c r="A35" s="3" t="s">
        <v>43</v>
      </c>
      <c r="B35" s="2" t="s">
        <v>2501</v>
      </c>
      <c r="C35" s="5">
        <v>44329</v>
      </c>
      <c r="D35" s="2">
        <v>10.91</v>
      </c>
      <c r="E35" s="2">
        <v>-0.39</v>
      </c>
      <c r="F35" s="2">
        <v>-3.4512999999999998</v>
      </c>
      <c r="G35" s="2">
        <v>1.7415</v>
      </c>
    </row>
    <row r="36" spans="1:15">
      <c r="A36" s="3" t="s">
        <v>44</v>
      </c>
      <c r="B36" s="2" t="s">
        <v>1486</v>
      </c>
      <c r="C36" s="5">
        <v>44329</v>
      </c>
      <c r="D36" s="2">
        <v>17.12</v>
      </c>
      <c r="E36" s="2">
        <v>-0.17</v>
      </c>
      <c r="F36" s="2">
        <v>-0.98319999999999996</v>
      </c>
      <c r="G36" s="2">
        <v>-0.64249999999999996</v>
      </c>
      <c r="K36" s="2">
        <v>1869164</v>
      </c>
      <c r="L36" s="2">
        <v>109063</v>
      </c>
      <c r="M36" s="2">
        <v>0</v>
      </c>
      <c r="N36" s="2">
        <v>109200</v>
      </c>
      <c r="O36" s="2">
        <v>0</v>
      </c>
    </row>
    <row r="37" spans="1:15">
      <c r="A37" s="3" t="s">
        <v>45</v>
      </c>
      <c r="B37" s="2" t="s">
        <v>1487</v>
      </c>
      <c r="C37" s="5">
        <v>44329</v>
      </c>
      <c r="D37" s="2">
        <v>3.93</v>
      </c>
      <c r="E37" s="2">
        <v>-0.04</v>
      </c>
      <c r="F37" s="2">
        <v>-1.0075000000000001</v>
      </c>
      <c r="G37" s="2">
        <v>2.0356000000000001</v>
      </c>
      <c r="L37" s="2">
        <v>137</v>
      </c>
      <c r="M37" s="2">
        <v>0</v>
      </c>
      <c r="N37" s="2">
        <v>109200</v>
      </c>
      <c r="O37" s="2">
        <v>0</v>
      </c>
    </row>
    <row r="38" spans="1:15">
      <c r="A38" s="3" t="s">
        <v>46</v>
      </c>
      <c r="B38" s="2" t="s">
        <v>1488</v>
      </c>
      <c r="C38" s="5">
        <v>44329</v>
      </c>
      <c r="D38" s="2">
        <v>24.17</v>
      </c>
      <c r="E38" s="2">
        <v>-0.45</v>
      </c>
      <c r="F38" s="2">
        <v>-1.8277000000000001</v>
      </c>
      <c r="G38" s="2">
        <v>0.1241</v>
      </c>
      <c r="K38" s="2">
        <v>338269</v>
      </c>
      <c r="L38" s="2">
        <v>13997</v>
      </c>
      <c r="M38" s="2">
        <v>0</v>
      </c>
      <c r="N38" s="2">
        <v>13997</v>
      </c>
      <c r="O38" s="2">
        <v>0</v>
      </c>
    </row>
    <row r="39" spans="1:15">
      <c r="A39" s="3" t="s">
        <v>47</v>
      </c>
      <c r="B39" s="2" t="s">
        <v>1489</v>
      </c>
      <c r="C39" s="5">
        <v>44329</v>
      </c>
      <c r="D39" s="2">
        <v>35.22</v>
      </c>
      <c r="E39" s="2">
        <v>0.44</v>
      </c>
      <c r="F39" s="2">
        <v>1.2649999999999999</v>
      </c>
      <c r="G39" s="2">
        <v>-1.1924999999999999</v>
      </c>
    </row>
    <row r="40" spans="1:15">
      <c r="A40" s="3" t="s">
        <v>48</v>
      </c>
      <c r="B40" s="2" t="s">
        <v>1490</v>
      </c>
      <c r="C40" s="5">
        <v>44329</v>
      </c>
      <c r="D40" s="2">
        <v>59.76</v>
      </c>
      <c r="E40" s="2">
        <v>1.41</v>
      </c>
      <c r="F40" s="2">
        <v>2.4163999999999999</v>
      </c>
      <c r="G40" s="2">
        <v>-1.7737000000000001</v>
      </c>
    </row>
    <row r="41" spans="1:15">
      <c r="A41" s="3" t="s">
        <v>49</v>
      </c>
      <c r="B41" s="2" t="s">
        <v>1491</v>
      </c>
      <c r="C41" s="5">
        <v>44329</v>
      </c>
      <c r="D41" s="2">
        <v>7.53</v>
      </c>
      <c r="E41" s="2">
        <v>-0.09</v>
      </c>
      <c r="F41" s="2">
        <v>-1.1811</v>
      </c>
      <c r="G41" s="2">
        <v>1.1952</v>
      </c>
    </row>
    <row r="42" spans="1:15">
      <c r="A42" s="3" t="s">
        <v>51</v>
      </c>
      <c r="B42" s="2" t="s">
        <v>1492</v>
      </c>
      <c r="C42" s="5">
        <v>44329</v>
      </c>
      <c r="D42" s="2">
        <v>27.93</v>
      </c>
      <c r="E42" s="2">
        <v>-1.01</v>
      </c>
      <c r="F42" s="2">
        <v>-3.4899</v>
      </c>
      <c r="G42" s="2">
        <v>0.9667</v>
      </c>
      <c r="K42" s="2">
        <v>428319</v>
      </c>
      <c r="L42" s="2">
        <v>15338</v>
      </c>
      <c r="M42" s="2">
        <v>0</v>
      </c>
      <c r="N42" s="2">
        <v>15338</v>
      </c>
      <c r="O42" s="2">
        <v>0</v>
      </c>
    </row>
    <row r="43" spans="1:15">
      <c r="A43" s="3" t="s">
        <v>52</v>
      </c>
      <c r="B43" s="2" t="s">
        <v>1493</v>
      </c>
      <c r="C43" s="5">
        <v>44329</v>
      </c>
      <c r="D43" s="2">
        <v>7.19</v>
      </c>
      <c r="E43" s="2">
        <v>0.12</v>
      </c>
      <c r="F43" s="2">
        <v>1.6973</v>
      </c>
      <c r="G43" s="2">
        <v>-0.69540000000000002</v>
      </c>
      <c r="K43" s="2">
        <v>173956</v>
      </c>
      <c r="L43" s="2">
        <v>24192</v>
      </c>
      <c r="M43" s="2">
        <v>0</v>
      </c>
      <c r="N43" s="2">
        <v>24192</v>
      </c>
      <c r="O43" s="2">
        <v>0</v>
      </c>
    </row>
    <row r="44" spans="1:15">
      <c r="A44" s="3" t="s">
        <v>53</v>
      </c>
      <c r="B44" s="2" t="s">
        <v>1494</v>
      </c>
      <c r="C44" s="5">
        <v>44328</v>
      </c>
      <c r="D44" s="2">
        <v>25.17</v>
      </c>
      <c r="E44" s="2">
        <v>-0.24</v>
      </c>
      <c r="F44" s="2">
        <v>-0.94450000000000001</v>
      </c>
      <c r="G44" s="2">
        <v>-1.47</v>
      </c>
      <c r="K44" s="2">
        <v>529489</v>
      </c>
      <c r="L44" s="2">
        <v>21035</v>
      </c>
      <c r="M44" s="2">
        <v>0</v>
      </c>
      <c r="N44" s="2">
        <v>21035</v>
      </c>
      <c r="O44" s="2">
        <v>0</v>
      </c>
    </row>
    <row r="45" spans="1:15">
      <c r="A45" s="3" t="s">
        <v>54</v>
      </c>
      <c r="B45" s="2" t="s">
        <v>1495</v>
      </c>
      <c r="C45" s="5">
        <v>44328</v>
      </c>
      <c r="D45" s="2">
        <v>33.950000000000003</v>
      </c>
      <c r="E45" s="2">
        <v>-0.64</v>
      </c>
      <c r="F45" s="2">
        <v>-1.8502000000000001</v>
      </c>
      <c r="G45" s="2">
        <v>0.2356</v>
      </c>
      <c r="K45" s="2">
        <v>1116906</v>
      </c>
      <c r="L45" s="2">
        <v>32903</v>
      </c>
      <c r="M45" s="2">
        <v>-1500</v>
      </c>
      <c r="N45" s="2">
        <v>32903</v>
      </c>
      <c r="O45" s="2">
        <v>-1500</v>
      </c>
    </row>
    <row r="46" spans="1:15">
      <c r="A46" s="3" t="s">
        <v>55</v>
      </c>
      <c r="B46" s="2" t="s">
        <v>1496</v>
      </c>
      <c r="C46" s="5">
        <v>44328</v>
      </c>
      <c r="D46" s="2">
        <v>9.84</v>
      </c>
      <c r="E46" s="2">
        <v>0.09</v>
      </c>
      <c r="F46" s="2">
        <v>0.92300000000000004</v>
      </c>
      <c r="G46" s="2">
        <v>0.60970000000000002</v>
      </c>
      <c r="K46" s="2">
        <v>245600</v>
      </c>
      <c r="L46" s="2">
        <v>24966</v>
      </c>
      <c r="M46" s="2">
        <v>0</v>
      </c>
      <c r="N46" s="2">
        <v>24966</v>
      </c>
      <c r="O46" s="2">
        <v>0</v>
      </c>
    </row>
    <row r="47" spans="1:15">
      <c r="A47" s="3" t="s">
        <v>56</v>
      </c>
      <c r="B47" s="2" t="s">
        <v>1497</v>
      </c>
      <c r="C47" s="5">
        <v>44329</v>
      </c>
      <c r="D47" s="2">
        <v>47.69</v>
      </c>
      <c r="E47" s="2">
        <v>-1.65</v>
      </c>
      <c r="F47" s="2">
        <v>-3.3441000000000001</v>
      </c>
      <c r="G47" s="2">
        <v>-0.3145</v>
      </c>
      <c r="K47" s="2">
        <v>5792467</v>
      </c>
      <c r="L47" s="2">
        <v>121458</v>
      </c>
      <c r="M47" s="2">
        <v>0</v>
      </c>
      <c r="N47" s="2">
        <v>121458</v>
      </c>
      <c r="O47" s="2">
        <v>0</v>
      </c>
    </row>
    <row r="48" spans="1:15">
      <c r="A48" s="3" t="s">
        <v>57</v>
      </c>
      <c r="B48" s="2" t="s">
        <v>1498</v>
      </c>
      <c r="C48" s="5">
        <v>44329</v>
      </c>
      <c r="D48" s="2">
        <v>7.38</v>
      </c>
      <c r="E48" s="2">
        <v>0.12</v>
      </c>
      <c r="F48" s="2">
        <v>1.6528</v>
      </c>
      <c r="G48" s="2">
        <v>-0.40649999999999997</v>
      </c>
      <c r="K48" s="2">
        <v>190932</v>
      </c>
      <c r="L48" s="2">
        <v>25857</v>
      </c>
      <c r="M48" s="2">
        <v>0</v>
      </c>
      <c r="N48" s="2">
        <v>25857</v>
      </c>
      <c r="O48" s="2">
        <v>0</v>
      </c>
    </row>
    <row r="49" spans="1:15">
      <c r="A49" s="3" t="s">
        <v>58</v>
      </c>
      <c r="B49" s="2" t="s">
        <v>1499</v>
      </c>
      <c r="C49" s="5">
        <v>44329</v>
      </c>
      <c r="D49" s="2">
        <v>33.619999999999997</v>
      </c>
      <c r="E49" s="2">
        <v>-0.9</v>
      </c>
      <c r="F49" s="2">
        <v>-2.6071</v>
      </c>
      <c r="G49" s="2">
        <v>0.62460000000000004</v>
      </c>
      <c r="K49" s="2">
        <v>155082</v>
      </c>
      <c r="L49" s="2">
        <v>4314</v>
      </c>
      <c r="M49" s="2">
        <v>0</v>
      </c>
      <c r="N49" s="2">
        <v>4613</v>
      </c>
      <c r="O49" s="2">
        <v>0</v>
      </c>
    </row>
    <row r="50" spans="1:15">
      <c r="A50" s="3" t="s">
        <v>59</v>
      </c>
      <c r="B50" s="2" t="s">
        <v>1500</v>
      </c>
      <c r="C50" s="5">
        <v>44329</v>
      </c>
      <c r="D50" s="2">
        <v>12.01</v>
      </c>
      <c r="E50" s="2">
        <v>-0.35</v>
      </c>
      <c r="F50" s="2">
        <v>-2.8317000000000001</v>
      </c>
      <c r="G50" s="2">
        <v>0.4995</v>
      </c>
      <c r="L50" s="2">
        <v>30</v>
      </c>
      <c r="M50" s="2">
        <v>0</v>
      </c>
      <c r="N50" s="2">
        <v>4613</v>
      </c>
      <c r="O50" s="2">
        <v>0</v>
      </c>
    </row>
    <row r="51" spans="1:15">
      <c r="A51" s="3" t="s">
        <v>62</v>
      </c>
      <c r="B51" s="2" t="s">
        <v>1501</v>
      </c>
      <c r="C51" s="5">
        <v>44329</v>
      </c>
      <c r="D51" s="2">
        <v>28.36</v>
      </c>
      <c r="E51" s="2">
        <v>0.06</v>
      </c>
      <c r="F51" s="2">
        <v>0.21199999999999999</v>
      </c>
      <c r="G51" s="2">
        <v>-1.7629999999999999</v>
      </c>
    </row>
    <row r="52" spans="1:15">
      <c r="A52" s="3" t="s">
        <v>63</v>
      </c>
      <c r="B52" s="2" t="s">
        <v>1431</v>
      </c>
      <c r="C52" s="5">
        <v>44329</v>
      </c>
      <c r="D52" s="2">
        <v>34.6</v>
      </c>
      <c r="E52" s="2">
        <v>-0.82</v>
      </c>
      <c r="F52" s="2">
        <v>-2.3149999999999999</v>
      </c>
      <c r="G52" s="2">
        <v>-0.78029999999999999</v>
      </c>
      <c r="K52" s="2">
        <v>222308</v>
      </c>
      <c r="L52" s="2">
        <v>6425</v>
      </c>
      <c r="M52" s="2">
        <v>0</v>
      </c>
      <c r="N52" s="2">
        <v>6425</v>
      </c>
      <c r="O52" s="2">
        <v>0</v>
      </c>
    </row>
    <row r="53" spans="1:15">
      <c r="A53" s="3" t="s">
        <v>64</v>
      </c>
      <c r="B53" s="2" t="s">
        <v>1502</v>
      </c>
      <c r="C53" s="5">
        <v>44329</v>
      </c>
      <c r="D53" s="2">
        <v>47.15</v>
      </c>
      <c r="E53" s="2">
        <v>0.36</v>
      </c>
      <c r="F53" s="2">
        <v>0.76929999999999998</v>
      </c>
      <c r="G53" s="2">
        <v>-0.65739999999999998</v>
      </c>
      <c r="K53" s="2">
        <v>1415769</v>
      </c>
      <c r="L53" s="2">
        <v>30029</v>
      </c>
      <c r="M53" s="2">
        <v>-500</v>
      </c>
      <c r="N53" s="2">
        <v>30029</v>
      </c>
      <c r="O53" s="2">
        <v>-500</v>
      </c>
    </row>
    <row r="54" spans="1:15">
      <c r="A54" s="3" t="s">
        <v>65</v>
      </c>
      <c r="B54" s="2" t="s">
        <v>1503</v>
      </c>
      <c r="C54" s="5">
        <v>44329</v>
      </c>
      <c r="D54" s="2">
        <v>91.48</v>
      </c>
      <c r="E54" s="2">
        <v>-1.57</v>
      </c>
      <c r="F54" s="2">
        <v>-1.6872</v>
      </c>
      <c r="G54" s="2">
        <v>0.18579999999999999</v>
      </c>
      <c r="K54" s="2">
        <v>4281915</v>
      </c>
      <c r="L54" s="2">
        <v>46809</v>
      </c>
      <c r="M54" s="2">
        <v>0</v>
      </c>
      <c r="N54" s="2">
        <v>46809</v>
      </c>
      <c r="O54" s="2">
        <v>0</v>
      </c>
    </row>
    <row r="55" spans="1:15">
      <c r="A55" s="3" t="s">
        <v>66</v>
      </c>
      <c r="B55" s="2" t="s">
        <v>1504</v>
      </c>
      <c r="C55" s="5">
        <v>44329</v>
      </c>
      <c r="D55" s="2">
        <v>7.23</v>
      </c>
      <c r="E55" s="2">
        <v>0.06</v>
      </c>
      <c r="F55" s="2">
        <v>0.83679999999999999</v>
      </c>
      <c r="G55" s="2">
        <v>-0.13830000000000001</v>
      </c>
      <c r="K55" s="2">
        <v>3508298</v>
      </c>
      <c r="L55" s="2">
        <v>485075</v>
      </c>
      <c r="M55" s="2">
        <v>-10000</v>
      </c>
      <c r="N55" s="2">
        <v>485075</v>
      </c>
      <c r="O55" s="2">
        <v>-10000</v>
      </c>
    </row>
    <row r="56" spans="1:15">
      <c r="A56" s="3" t="s">
        <v>67</v>
      </c>
      <c r="B56" s="2" t="s">
        <v>1505</v>
      </c>
      <c r="C56" s="5">
        <v>44329</v>
      </c>
      <c r="D56" s="2">
        <v>22.42</v>
      </c>
      <c r="E56" s="2">
        <v>-0.85</v>
      </c>
      <c r="F56" s="2">
        <v>-3.6526999999999998</v>
      </c>
      <c r="G56" s="2">
        <v>1.2487999999999999</v>
      </c>
      <c r="K56" s="2">
        <v>346746</v>
      </c>
      <c r="L56" s="2">
        <v>15465</v>
      </c>
      <c r="M56" s="2">
        <v>0</v>
      </c>
      <c r="N56" s="2">
        <v>15465</v>
      </c>
      <c r="O56" s="2">
        <v>0</v>
      </c>
    </row>
    <row r="57" spans="1:15">
      <c r="A57" s="3" t="s">
        <v>68</v>
      </c>
      <c r="B57" s="2" t="s">
        <v>1506</v>
      </c>
      <c r="C57" s="5">
        <v>44329</v>
      </c>
      <c r="D57" s="2">
        <v>11.67</v>
      </c>
      <c r="E57" s="2">
        <v>0.2</v>
      </c>
      <c r="F57" s="2">
        <v>1.7436</v>
      </c>
      <c r="G57" s="2">
        <v>-1.8851</v>
      </c>
      <c r="K57" s="2">
        <v>112357</v>
      </c>
      <c r="L57" s="2">
        <v>9624</v>
      </c>
      <c r="M57" s="2">
        <v>0</v>
      </c>
      <c r="N57" s="2">
        <v>9624</v>
      </c>
      <c r="O57" s="2">
        <v>0</v>
      </c>
    </row>
    <row r="58" spans="1:15">
      <c r="A58" s="3" t="s">
        <v>69</v>
      </c>
      <c r="B58" s="2" t="s">
        <v>1507</v>
      </c>
      <c r="C58" s="5">
        <v>44329</v>
      </c>
      <c r="D58" s="2">
        <v>34.47</v>
      </c>
      <c r="E58" s="2">
        <v>0.51</v>
      </c>
      <c r="F58" s="2">
        <v>1.5017</v>
      </c>
      <c r="G58" s="2">
        <v>-1.4215</v>
      </c>
    </row>
    <row r="59" spans="1:15">
      <c r="A59" s="3" t="s">
        <v>70</v>
      </c>
      <c r="B59" s="2" t="s">
        <v>1508</v>
      </c>
      <c r="C59" s="5">
        <v>44329</v>
      </c>
      <c r="D59" s="2">
        <v>12.31</v>
      </c>
      <c r="E59" s="2">
        <v>0.15</v>
      </c>
      <c r="F59" s="2">
        <v>1.2335</v>
      </c>
      <c r="G59" s="2">
        <v>-1.2997000000000001</v>
      </c>
    </row>
    <row r="60" spans="1:15">
      <c r="A60" s="3" t="s">
        <v>71</v>
      </c>
      <c r="B60" s="2" t="s">
        <v>1509</v>
      </c>
      <c r="C60" s="5">
        <v>44329</v>
      </c>
      <c r="D60" s="2">
        <v>8.2100000000000009</v>
      </c>
      <c r="E60" s="2">
        <v>-0.1</v>
      </c>
      <c r="F60" s="2">
        <v>-1.2033</v>
      </c>
      <c r="G60" s="2">
        <v>1.3398000000000001</v>
      </c>
    </row>
    <row r="61" spans="1:15">
      <c r="A61" s="3" t="s">
        <v>72</v>
      </c>
      <c r="B61" s="2" t="s">
        <v>1510</v>
      </c>
      <c r="C61" s="5">
        <v>44329</v>
      </c>
      <c r="D61" s="2">
        <v>82.91</v>
      </c>
      <c r="E61" s="2">
        <v>1.21</v>
      </c>
      <c r="F61" s="2">
        <v>1.4810000000000001</v>
      </c>
      <c r="G61" s="2">
        <v>-0.97689999999999999</v>
      </c>
      <c r="K61" s="2">
        <v>1255672</v>
      </c>
      <c r="L61" s="2">
        <v>15145</v>
      </c>
      <c r="M61" s="2">
        <v>0</v>
      </c>
      <c r="N61" s="2">
        <v>15145</v>
      </c>
      <c r="O61" s="2">
        <v>0</v>
      </c>
    </row>
    <row r="62" spans="1:15">
      <c r="A62" s="3" t="s">
        <v>73</v>
      </c>
      <c r="B62" s="2" t="s">
        <v>1511</v>
      </c>
      <c r="C62" s="5">
        <v>44329</v>
      </c>
      <c r="D62" s="2">
        <v>6.21</v>
      </c>
      <c r="E62" s="2">
        <v>-0.05</v>
      </c>
      <c r="F62" s="2">
        <v>-0.79869999999999997</v>
      </c>
      <c r="G62" s="2">
        <v>0.32200000000000001</v>
      </c>
      <c r="K62" s="2">
        <v>1402364</v>
      </c>
      <c r="L62" s="2">
        <v>225884</v>
      </c>
      <c r="M62" s="2">
        <v>0</v>
      </c>
      <c r="N62" s="2">
        <v>225884</v>
      </c>
      <c r="O62" s="2">
        <v>0</v>
      </c>
    </row>
    <row r="63" spans="1:15">
      <c r="A63" s="3" t="s">
        <v>75</v>
      </c>
      <c r="B63" s="2" t="s">
        <v>2502</v>
      </c>
      <c r="C63" s="5">
        <v>44329</v>
      </c>
      <c r="D63" s="2">
        <v>17.760000000000002</v>
      </c>
      <c r="E63" s="2">
        <v>0.59</v>
      </c>
      <c r="F63" s="2">
        <v>3.4361999999999999</v>
      </c>
      <c r="G63" s="2">
        <v>-2.2522000000000002</v>
      </c>
    </row>
    <row r="64" spans="1:15">
      <c r="A64" s="3" t="s">
        <v>76</v>
      </c>
      <c r="B64" s="2" t="s">
        <v>2503</v>
      </c>
      <c r="C64" s="5">
        <v>44329</v>
      </c>
      <c r="D64" s="2">
        <v>13.13</v>
      </c>
      <c r="E64" s="2">
        <v>-0.01</v>
      </c>
      <c r="F64" s="2">
        <v>-7.6100000000000001E-2</v>
      </c>
      <c r="G64" s="2">
        <v>0.22839999999999999</v>
      </c>
    </row>
    <row r="65" spans="1:15">
      <c r="A65" s="3" t="s">
        <v>77</v>
      </c>
      <c r="B65" s="2" t="s">
        <v>1512</v>
      </c>
      <c r="C65" s="5">
        <v>44329</v>
      </c>
      <c r="D65" s="2">
        <v>39.32</v>
      </c>
      <c r="E65" s="2">
        <v>-0.67</v>
      </c>
      <c r="F65" s="2">
        <v>-1.6754</v>
      </c>
      <c r="G65" s="2">
        <v>0.40689999999999998</v>
      </c>
      <c r="K65" s="2">
        <v>3726711</v>
      </c>
      <c r="L65" s="2">
        <v>94786</v>
      </c>
      <c r="M65" s="2">
        <v>1000</v>
      </c>
      <c r="N65" s="2">
        <v>94786</v>
      </c>
      <c r="O65" s="2">
        <v>1000</v>
      </c>
    </row>
    <row r="66" spans="1:15">
      <c r="A66" s="3" t="s">
        <v>78</v>
      </c>
      <c r="B66" s="2" t="s">
        <v>1513</v>
      </c>
      <c r="C66" s="5">
        <v>44329</v>
      </c>
      <c r="D66" s="2">
        <v>3.94</v>
      </c>
      <c r="E66" s="2">
        <v>0.03</v>
      </c>
      <c r="F66" s="2">
        <v>0.76719999999999999</v>
      </c>
      <c r="G66" s="2">
        <v>0</v>
      </c>
      <c r="K66" s="2">
        <v>2670437</v>
      </c>
      <c r="L66" s="2">
        <v>677011</v>
      </c>
      <c r="M66" s="2">
        <v>0</v>
      </c>
      <c r="N66" s="2">
        <v>677011</v>
      </c>
      <c r="O66" s="2">
        <v>0</v>
      </c>
    </row>
    <row r="67" spans="1:15">
      <c r="A67" s="3" t="s">
        <v>79</v>
      </c>
      <c r="B67" s="2" t="s">
        <v>2504</v>
      </c>
      <c r="C67" s="5">
        <v>44329</v>
      </c>
      <c r="D67" s="2">
        <v>1.88</v>
      </c>
      <c r="E67" s="2">
        <v>-0.2</v>
      </c>
      <c r="F67" s="2">
        <v>-9.6152999999999995</v>
      </c>
      <c r="G67" s="2">
        <v>5.851</v>
      </c>
      <c r="K67" s="2">
        <v>5199471</v>
      </c>
      <c r="L67" s="2">
        <v>2772208</v>
      </c>
      <c r="M67" s="2">
        <v>-138500</v>
      </c>
      <c r="N67" s="2">
        <v>2772208</v>
      </c>
      <c r="O67" s="2">
        <v>-138500</v>
      </c>
    </row>
    <row r="68" spans="1:15">
      <c r="A68" s="3" t="s">
        <v>80</v>
      </c>
      <c r="B68" s="2" t="s">
        <v>1514</v>
      </c>
      <c r="C68" s="5">
        <v>44329</v>
      </c>
      <c r="D68" s="2">
        <v>26.36</v>
      </c>
      <c r="E68" s="2">
        <v>0.06</v>
      </c>
      <c r="F68" s="2">
        <v>0.2281</v>
      </c>
      <c r="G68" s="2">
        <v>-0.3034</v>
      </c>
    </row>
    <row r="69" spans="1:15">
      <c r="A69" s="3" t="s">
        <v>81</v>
      </c>
      <c r="B69" s="2" t="s">
        <v>1515</v>
      </c>
      <c r="C69" s="5">
        <v>44329</v>
      </c>
      <c r="D69" s="2">
        <v>38.815600000000003</v>
      </c>
      <c r="E69" s="2">
        <v>0.1628</v>
      </c>
      <c r="F69" s="2">
        <v>0.42109999999999997</v>
      </c>
      <c r="G69" s="2">
        <v>3.6999999999999998E-2</v>
      </c>
    </row>
    <row r="70" spans="1:15">
      <c r="A70" s="3" t="s">
        <v>82</v>
      </c>
      <c r="B70" s="2" t="s">
        <v>1516</v>
      </c>
      <c r="C70" s="5">
        <v>44329</v>
      </c>
      <c r="D70" s="2">
        <v>21.522600000000001</v>
      </c>
      <c r="E70" s="2">
        <v>0.19389999999999999</v>
      </c>
      <c r="F70" s="2">
        <v>0.90910000000000002</v>
      </c>
      <c r="G70" s="2">
        <v>-0.19789999999999999</v>
      </c>
    </row>
    <row r="71" spans="1:15">
      <c r="A71" s="3" t="s">
        <v>83</v>
      </c>
      <c r="B71" s="2" t="s">
        <v>1517</v>
      </c>
      <c r="C71" s="5">
        <v>44329</v>
      </c>
      <c r="D71" s="2">
        <v>14.5337</v>
      </c>
      <c r="E71" s="2">
        <v>-6.3200000000000006E-2</v>
      </c>
      <c r="F71" s="2">
        <v>-0.43290000000000001</v>
      </c>
      <c r="G71" s="2">
        <v>0.18090000000000001</v>
      </c>
    </row>
    <row r="72" spans="1:15">
      <c r="A72" s="3" t="s">
        <v>84</v>
      </c>
      <c r="B72" s="2" t="s">
        <v>2505</v>
      </c>
      <c r="C72" s="5">
        <v>44329</v>
      </c>
      <c r="D72" s="2">
        <v>17.989999999999998</v>
      </c>
      <c r="E72" s="2">
        <v>0.01</v>
      </c>
      <c r="F72" s="2">
        <v>5.5599999999999997E-2</v>
      </c>
      <c r="G72" s="2">
        <v>0.27789999999999998</v>
      </c>
    </row>
    <row r="73" spans="1:15">
      <c r="A73" s="3" t="s">
        <v>85</v>
      </c>
      <c r="B73" s="2" t="s">
        <v>2627</v>
      </c>
      <c r="C73" s="5">
        <v>44329</v>
      </c>
      <c r="D73" s="2">
        <v>16.66</v>
      </c>
      <c r="E73" s="2">
        <v>0.02</v>
      </c>
      <c r="F73" s="2">
        <v>0.1201</v>
      </c>
      <c r="G73" s="2">
        <v>0.30009999999999998</v>
      </c>
    </row>
    <row r="74" spans="1:15">
      <c r="A74" s="3" t="s">
        <v>86</v>
      </c>
      <c r="B74" s="2" t="s">
        <v>2628</v>
      </c>
      <c r="C74" s="5">
        <v>44329</v>
      </c>
      <c r="D74" s="2">
        <v>19.260000000000002</v>
      </c>
      <c r="E74" s="2">
        <v>-0.01</v>
      </c>
      <c r="F74" s="2">
        <v>-5.1799999999999999E-2</v>
      </c>
      <c r="G74" s="2">
        <v>-0.3634</v>
      </c>
    </row>
    <row r="75" spans="1:15">
      <c r="A75" s="3" t="s">
        <v>87</v>
      </c>
      <c r="B75" s="2" t="s">
        <v>1518</v>
      </c>
      <c r="C75" s="5">
        <v>44329</v>
      </c>
      <c r="D75" s="2">
        <v>34.61</v>
      </c>
      <c r="E75" s="2">
        <v>-0.59</v>
      </c>
      <c r="F75" s="2">
        <v>-1.6760999999999999</v>
      </c>
      <c r="G75" s="2">
        <v>0</v>
      </c>
      <c r="K75" s="2">
        <v>125932</v>
      </c>
      <c r="L75" s="2">
        <v>3639</v>
      </c>
      <c r="M75" s="2">
        <v>0</v>
      </c>
      <c r="N75" s="2">
        <v>3639</v>
      </c>
      <c r="O75" s="2">
        <v>0</v>
      </c>
    </row>
    <row r="76" spans="1:15">
      <c r="A76" s="3" t="s">
        <v>88</v>
      </c>
      <c r="B76" s="2" t="s">
        <v>1519</v>
      </c>
      <c r="C76" s="5">
        <v>44329</v>
      </c>
      <c r="D76" s="2">
        <v>4.3</v>
      </c>
      <c r="E76" s="2">
        <v>0.03</v>
      </c>
      <c r="F76" s="2">
        <v>0.70250000000000001</v>
      </c>
      <c r="G76" s="2">
        <v>0</v>
      </c>
      <c r="K76" s="2">
        <v>141092</v>
      </c>
      <c r="L76" s="2">
        <v>32776</v>
      </c>
      <c r="M76" s="2">
        <v>0</v>
      </c>
      <c r="N76" s="2">
        <v>32776</v>
      </c>
      <c r="O76" s="2">
        <v>0</v>
      </c>
    </row>
    <row r="77" spans="1:15">
      <c r="A77" s="3" t="s">
        <v>89</v>
      </c>
      <c r="B77" s="2" t="s">
        <v>1520</v>
      </c>
      <c r="C77" s="5">
        <v>44329</v>
      </c>
      <c r="D77" s="2">
        <v>40.427300000000002</v>
      </c>
      <c r="E77" s="2">
        <v>0.13789999999999999</v>
      </c>
      <c r="F77" s="2">
        <v>0.3422</v>
      </c>
      <c r="G77" s="2">
        <v>0.155</v>
      </c>
    </row>
    <row r="78" spans="1:15">
      <c r="A78" s="3" t="s">
        <v>90</v>
      </c>
      <c r="B78" s="2" t="s">
        <v>1521</v>
      </c>
      <c r="C78" s="5">
        <v>44329</v>
      </c>
      <c r="D78" s="2">
        <v>21.506799999999998</v>
      </c>
      <c r="E78" s="2">
        <v>0.2034</v>
      </c>
      <c r="F78" s="2">
        <v>0.95469999999999999</v>
      </c>
      <c r="G78" s="2">
        <v>-0.3105</v>
      </c>
    </row>
    <row r="79" spans="1:15">
      <c r="A79" s="3" t="s">
        <v>91</v>
      </c>
      <c r="B79" s="2" t="s">
        <v>1522</v>
      </c>
      <c r="C79" s="5">
        <v>44329</v>
      </c>
      <c r="D79" s="2">
        <v>15.2965</v>
      </c>
      <c r="E79" s="2">
        <v>-6.6799999999999998E-2</v>
      </c>
      <c r="F79" s="2">
        <v>-0.43480000000000002</v>
      </c>
      <c r="G79" s="2">
        <v>0.15359999999999999</v>
      </c>
    </row>
    <row r="80" spans="1:15">
      <c r="A80" s="3" t="s">
        <v>92</v>
      </c>
      <c r="B80" s="2" t="s">
        <v>1523</v>
      </c>
      <c r="C80" s="5">
        <v>44329</v>
      </c>
      <c r="D80" s="2">
        <v>30.14</v>
      </c>
      <c r="E80" s="2">
        <v>-0.46</v>
      </c>
      <c r="F80" s="2">
        <v>-1.5032000000000001</v>
      </c>
      <c r="G80" s="2">
        <v>0.19900000000000001</v>
      </c>
      <c r="K80" s="2">
        <v>371680</v>
      </c>
      <c r="L80" s="2">
        <v>12330</v>
      </c>
      <c r="M80" s="2">
        <v>0</v>
      </c>
      <c r="N80" s="2">
        <v>12330</v>
      </c>
      <c r="O80" s="2">
        <v>0</v>
      </c>
    </row>
    <row r="81" spans="1:15">
      <c r="A81" s="3" t="s">
        <v>94</v>
      </c>
      <c r="B81" s="2" t="s">
        <v>1524</v>
      </c>
      <c r="C81" s="5">
        <v>44329</v>
      </c>
      <c r="D81" s="2">
        <v>32.549999999999997</v>
      </c>
      <c r="E81" s="2">
        <v>-0.56000000000000005</v>
      </c>
      <c r="F81" s="2">
        <v>-1.6913</v>
      </c>
      <c r="G81" s="2">
        <v>0.61439999999999995</v>
      </c>
      <c r="K81" s="2">
        <v>9887268</v>
      </c>
      <c r="L81" s="2">
        <v>303780</v>
      </c>
      <c r="M81" s="2">
        <v>1000</v>
      </c>
      <c r="N81" s="2">
        <v>303780</v>
      </c>
      <c r="O81" s="2">
        <v>1000</v>
      </c>
    </row>
    <row r="82" spans="1:15">
      <c r="A82" s="3" t="s">
        <v>95</v>
      </c>
      <c r="B82" s="2" t="s">
        <v>2506</v>
      </c>
      <c r="C82" s="5">
        <v>44329</v>
      </c>
      <c r="D82" s="2">
        <v>24.12</v>
      </c>
      <c r="E82" s="2">
        <v>-0.88</v>
      </c>
      <c r="F82" s="2">
        <v>-3.52</v>
      </c>
      <c r="G82" s="2">
        <v>2.1558000000000002</v>
      </c>
    </row>
    <row r="83" spans="1:15">
      <c r="A83" s="3" t="s">
        <v>96</v>
      </c>
      <c r="B83" s="2" t="s">
        <v>1525</v>
      </c>
      <c r="C83" s="5">
        <v>44329</v>
      </c>
      <c r="D83" s="2">
        <v>37.390700000000002</v>
      </c>
      <c r="E83" s="2">
        <v>-1.77E-2</v>
      </c>
      <c r="F83" s="2">
        <v>-4.7300000000000002E-2</v>
      </c>
      <c r="G83" s="2">
        <v>0.1318</v>
      </c>
      <c r="K83" s="2">
        <v>6172307</v>
      </c>
      <c r="L83" s="2">
        <v>165076</v>
      </c>
      <c r="M83" s="2">
        <v>0</v>
      </c>
      <c r="N83" s="2">
        <v>165076</v>
      </c>
      <c r="O83" s="2">
        <v>0</v>
      </c>
    </row>
    <row r="84" spans="1:15">
      <c r="A84" s="3" t="s">
        <v>97</v>
      </c>
      <c r="B84" s="2" t="s">
        <v>1526</v>
      </c>
      <c r="C84" s="5">
        <v>44329</v>
      </c>
      <c r="D84" s="2">
        <v>36.610500000000002</v>
      </c>
      <c r="E84" s="2">
        <v>7.1300000000000002E-2</v>
      </c>
      <c r="F84" s="2">
        <v>0.1951</v>
      </c>
      <c r="G84" s="2">
        <v>0.10780000000000001</v>
      </c>
      <c r="K84" s="2">
        <v>446136</v>
      </c>
      <c r="L84" s="2">
        <v>12186</v>
      </c>
      <c r="M84" s="2">
        <v>0</v>
      </c>
      <c r="N84" s="2">
        <v>12186</v>
      </c>
      <c r="O84" s="2">
        <v>0</v>
      </c>
    </row>
    <row r="85" spans="1:15">
      <c r="A85" s="3" t="s">
        <v>98</v>
      </c>
      <c r="B85" s="2" t="s">
        <v>1527</v>
      </c>
      <c r="C85" s="5">
        <v>44329</v>
      </c>
      <c r="D85" s="2">
        <v>40.268799999999999</v>
      </c>
      <c r="E85" s="2">
        <v>0.14130000000000001</v>
      </c>
      <c r="F85" s="2">
        <v>0.35210000000000002</v>
      </c>
      <c r="G85" s="2">
        <v>0.12709999999999999</v>
      </c>
      <c r="K85" s="2">
        <v>22054473</v>
      </c>
      <c r="L85" s="2">
        <v>547681</v>
      </c>
      <c r="M85" s="2">
        <v>0</v>
      </c>
      <c r="N85" s="2">
        <v>547681</v>
      </c>
      <c r="O85" s="2">
        <v>0</v>
      </c>
    </row>
    <row r="86" spans="1:15">
      <c r="A86" s="3" t="s">
        <v>99</v>
      </c>
      <c r="B86" s="2" t="s">
        <v>1528</v>
      </c>
      <c r="C86" s="5">
        <v>44329</v>
      </c>
      <c r="D86" s="2">
        <v>39.0077</v>
      </c>
      <c r="E86" s="2">
        <v>0.1179</v>
      </c>
      <c r="F86" s="2">
        <v>0.30309999999999998</v>
      </c>
      <c r="G86" s="2">
        <v>-4.53E-2</v>
      </c>
    </row>
    <row r="87" spans="1:15">
      <c r="A87" s="3" t="s">
        <v>100</v>
      </c>
      <c r="B87" s="2" t="s">
        <v>1529</v>
      </c>
      <c r="C87" s="5">
        <v>44329</v>
      </c>
      <c r="D87" s="2">
        <v>18.399999999999999</v>
      </c>
      <c r="E87" s="2">
        <v>-0.39</v>
      </c>
      <c r="F87" s="2">
        <v>-2.0754999999999999</v>
      </c>
      <c r="G87" s="2">
        <v>0.2717</v>
      </c>
      <c r="K87" s="2">
        <v>110075</v>
      </c>
      <c r="L87" s="2">
        <v>5983</v>
      </c>
      <c r="M87" s="2">
        <v>0</v>
      </c>
      <c r="N87" s="2">
        <v>5983</v>
      </c>
      <c r="O87" s="2">
        <v>0</v>
      </c>
    </row>
    <row r="88" spans="1:15">
      <c r="A88" s="3" t="s">
        <v>101</v>
      </c>
      <c r="B88" s="2" t="s">
        <v>1530</v>
      </c>
      <c r="C88" s="5">
        <v>44329</v>
      </c>
      <c r="D88" s="2">
        <v>23.23</v>
      </c>
      <c r="E88" s="2">
        <v>-0.26</v>
      </c>
      <c r="F88" s="2">
        <v>-1.1068</v>
      </c>
      <c r="G88" s="2">
        <v>-0.12909999999999999</v>
      </c>
      <c r="K88" s="2">
        <v>4259769</v>
      </c>
      <c r="L88" s="2">
        <v>183391</v>
      </c>
      <c r="M88" s="2">
        <v>-500</v>
      </c>
      <c r="N88" s="2">
        <v>183391</v>
      </c>
      <c r="O88" s="2">
        <v>-500</v>
      </c>
    </row>
    <row r="89" spans="1:15">
      <c r="A89" s="3" t="s">
        <v>102</v>
      </c>
      <c r="B89" s="2" t="s">
        <v>1531</v>
      </c>
      <c r="C89" s="5">
        <v>44329</v>
      </c>
      <c r="D89" s="2">
        <v>20.87</v>
      </c>
      <c r="E89" s="2">
        <v>0.37</v>
      </c>
      <c r="F89" s="2">
        <v>1.8048</v>
      </c>
      <c r="G89" s="2">
        <v>-1.5811999999999999</v>
      </c>
    </row>
    <row r="90" spans="1:15">
      <c r="A90" s="3" t="s">
        <v>103</v>
      </c>
      <c r="B90" s="2" t="s">
        <v>1532</v>
      </c>
      <c r="C90" s="5">
        <v>44329</v>
      </c>
      <c r="D90" s="2">
        <v>23.34</v>
      </c>
      <c r="E90" s="2">
        <v>-0.72</v>
      </c>
      <c r="F90" s="2">
        <v>-2.9925000000000002</v>
      </c>
      <c r="G90" s="2">
        <v>1.9279999999999999</v>
      </c>
      <c r="K90" s="2">
        <v>199588</v>
      </c>
      <c r="L90" s="2">
        <v>8550</v>
      </c>
      <c r="M90" s="2">
        <v>0</v>
      </c>
      <c r="N90" s="2">
        <v>8550</v>
      </c>
      <c r="O90" s="2">
        <v>0</v>
      </c>
    </row>
    <row r="91" spans="1:15">
      <c r="A91" s="3" t="s">
        <v>104</v>
      </c>
      <c r="B91" s="2" t="s">
        <v>2507</v>
      </c>
      <c r="C91" s="5">
        <v>44329</v>
      </c>
      <c r="D91" s="2">
        <v>16.190000000000001</v>
      </c>
      <c r="E91" s="2">
        <v>0.04</v>
      </c>
      <c r="F91" s="2">
        <v>0.24759999999999999</v>
      </c>
      <c r="G91" s="2">
        <v>-0.49409999999999998</v>
      </c>
    </row>
    <row r="92" spans="1:15">
      <c r="A92" s="3" t="s">
        <v>105</v>
      </c>
      <c r="B92" s="2" t="s">
        <v>2508</v>
      </c>
      <c r="C92" s="5">
        <v>44329</v>
      </c>
      <c r="D92" s="2">
        <v>19.809999999999999</v>
      </c>
      <c r="E92" s="2">
        <v>-0.03</v>
      </c>
      <c r="F92" s="2">
        <v>-0.1512</v>
      </c>
      <c r="G92" s="2">
        <v>-0.40379999999999999</v>
      </c>
    </row>
    <row r="93" spans="1:15">
      <c r="A93" s="3" t="s">
        <v>106</v>
      </c>
      <c r="B93" s="2" t="s">
        <v>2509</v>
      </c>
      <c r="C93" s="5">
        <v>44329</v>
      </c>
      <c r="D93" s="2">
        <v>27.4</v>
      </c>
      <c r="E93" s="2">
        <v>0.04</v>
      </c>
      <c r="F93" s="2">
        <v>0.14610000000000001</v>
      </c>
      <c r="G93" s="2">
        <v>-0.72989999999999999</v>
      </c>
    </row>
    <row r="94" spans="1:15">
      <c r="A94" s="3" t="s">
        <v>107</v>
      </c>
      <c r="B94" s="2" t="s">
        <v>1533</v>
      </c>
      <c r="C94" s="5">
        <v>44329</v>
      </c>
      <c r="D94" s="2">
        <v>23.2</v>
      </c>
      <c r="E94" s="2">
        <v>-0.13</v>
      </c>
      <c r="F94" s="2">
        <v>-0.55720000000000003</v>
      </c>
      <c r="G94" s="2">
        <v>-0.3448</v>
      </c>
    </row>
    <row r="95" spans="1:15">
      <c r="A95" s="3" t="s">
        <v>108</v>
      </c>
      <c r="B95" s="2" t="s">
        <v>1534</v>
      </c>
      <c r="C95" s="5">
        <v>44329</v>
      </c>
      <c r="D95" s="2">
        <v>18.309999999999999</v>
      </c>
      <c r="E95" s="2">
        <v>0</v>
      </c>
      <c r="F95" s="2">
        <v>0</v>
      </c>
      <c r="G95" s="2">
        <v>0.21840000000000001</v>
      </c>
    </row>
    <row r="96" spans="1:15">
      <c r="A96" s="3" t="s">
        <v>109</v>
      </c>
      <c r="B96" s="2" t="s">
        <v>1535</v>
      </c>
      <c r="C96" s="5">
        <v>44329</v>
      </c>
      <c r="D96" s="2">
        <v>19.84</v>
      </c>
      <c r="E96" s="2">
        <v>-0.02</v>
      </c>
      <c r="F96" s="2">
        <v>-0.1007</v>
      </c>
      <c r="G96" s="2">
        <v>5.04E-2</v>
      </c>
    </row>
    <row r="97" spans="1:15">
      <c r="A97" s="3" t="s">
        <v>110</v>
      </c>
      <c r="B97" s="2" t="s">
        <v>1536</v>
      </c>
      <c r="C97" s="5">
        <v>44329</v>
      </c>
      <c r="D97" s="2">
        <v>13.93</v>
      </c>
      <c r="E97" s="2">
        <v>0.36</v>
      </c>
      <c r="F97" s="2">
        <v>2.6528999999999998</v>
      </c>
      <c r="G97" s="2">
        <v>-2.2254</v>
      </c>
    </row>
    <row r="98" spans="1:15">
      <c r="A98" s="3" t="s">
        <v>111</v>
      </c>
      <c r="B98" s="2" t="s">
        <v>1537</v>
      </c>
      <c r="C98" s="5">
        <v>44329</v>
      </c>
      <c r="D98" s="2">
        <v>40.880000000000003</v>
      </c>
      <c r="E98" s="2">
        <v>-0.26</v>
      </c>
      <c r="F98" s="2">
        <v>-0.63190000000000002</v>
      </c>
      <c r="G98" s="2">
        <v>-0.3669</v>
      </c>
      <c r="K98" s="2">
        <v>3454841</v>
      </c>
      <c r="L98" s="2">
        <v>84512</v>
      </c>
      <c r="M98" s="2">
        <v>0</v>
      </c>
      <c r="N98" s="2">
        <v>84512</v>
      </c>
      <c r="O98" s="2">
        <v>0</v>
      </c>
    </row>
    <row r="99" spans="1:15">
      <c r="A99" s="3" t="s">
        <v>112</v>
      </c>
      <c r="B99" s="2" t="s">
        <v>1538</v>
      </c>
      <c r="C99" s="5">
        <v>44329</v>
      </c>
      <c r="D99" s="2">
        <v>20.65</v>
      </c>
      <c r="E99" s="2">
        <v>0.31</v>
      </c>
      <c r="F99" s="2">
        <v>1.524</v>
      </c>
      <c r="G99" s="2">
        <v>-1.5980000000000001</v>
      </c>
    </row>
    <row r="100" spans="1:15">
      <c r="A100" s="3" t="s">
        <v>113</v>
      </c>
      <c r="B100" s="2" t="s">
        <v>2510</v>
      </c>
      <c r="C100" s="5">
        <v>44329</v>
      </c>
      <c r="D100" s="2">
        <v>7.25</v>
      </c>
      <c r="E100" s="2">
        <v>-0.49</v>
      </c>
      <c r="F100" s="2">
        <v>-6.3307000000000002</v>
      </c>
      <c r="G100" s="2">
        <v>2.8965000000000001</v>
      </c>
    </row>
    <row r="101" spans="1:15">
      <c r="A101" s="3" t="s">
        <v>114</v>
      </c>
      <c r="B101" s="2" t="s">
        <v>1539</v>
      </c>
      <c r="C101" s="5">
        <v>44329</v>
      </c>
      <c r="D101" s="2">
        <v>16.64</v>
      </c>
      <c r="E101" s="2">
        <v>0.06</v>
      </c>
      <c r="F101" s="2">
        <v>0.36180000000000001</v>
      </c>
      <c r="G101" s="2">
        <v>-0.96150000000000002</v>
      </c>
      <c r="K101" s="2">
        <v>5283404</v>
      </c>
      <c r="L101" s="2">
        <v>317605</v>
      </c>
      <c r="M101" s="2">
        <v>0</v>
      </c>
      <c r="N101" s="2">
        <v>317605</v>
      </c>
      <c r="O101" s="2">
        <v>0</v>
      </c>
    </row>
    <row r="102" spans="1:15">
      <c r="A102" s="3" t="s">
        <v>115</v>
      </c>
      <c r="B102" s="2" t="s">
        <v>1540</v>
      </c>
      <c r="C102" s="5">
        <v>44329</v>
      </c>
      <c r="D102" s="2">
        <v>19.681000000000001</v>
      </c>
      <c r="E102" s="2">
        <v>-5.9200000000000003E-2</v>
      </c>
      <c r="F102" s="2">
        <v>-0.29980000000000001</v>
      </c>
      <c r="G102" s="2">
        <v>-0.41149999999999998</v>
      </c>
      <c r="K102" s="2">
        <v>22859541</v>
      </c>
      <c r="L102" s="2">
        <v>1161501</v>
      </c>
      <c r="M102" s="2">
        <v>0</v>
      </c>
      <c r="N102" s="2">
        <v>1161501</v>
      </c>
      <c r="O102" s="2">
        <v>0</v>
      </c>
    </row>
    <row r="103" spans="1:15">
      <c r="A103" s="3" t="s">
        <v>116</v>
      </c>
      <c r="B103" s="2" t="s">
        <v>1541</v>
      </c>
      <c r="C103" s="5">
        <v>44329</v>
      </c>
      <c r="D103" s="2">
        <v>30.147500000000001</v>
      </c>
      <c r="E103" s="2">
        <v>1.7899999999999999E-2</v>
      </c>
      <c r="F103" s="2">
        <v>5.9400000000000001E-2</v>
      </c>
      <c r="G103" s="2">
        <v>4.1399999999999999E-2</v>
      </c>
    </row>
    <row r="104" spans="1:15">
      <c r="A104" s="3" t="s">
        <v>117</v>
      </c>
      <c r="B104" s="2" t="s">
        <v>1542</v>
      </c>
      <c r="C104" s="5">
        <v>44329</v>
      </c>
      <c r="D104" s="2">
        <v>41.7485</v>
      </c>
      <c r="E104" s="2">
        <v>0.20810000000000001</v>
      </c>
      <c r="F104" s="2">
        <v>0.50090000000000001</v>
      </c>
      <c r="G104" s="2">
        <v>-0.188</v>
      </c>
    </row>
    <row r="105" spans="1:15">
      <c r="A105" s="3" t="s">
        <v>118</v>
      </c>
      <c r="B105" s="2" t="s">
        <v>1543</v>
      </c>
      <c r="C105" s="5">
        <v>44329</v>
      </c>
      <c r="D105" s="2">
        <v>45.066699999999997</v>
      </c>
      <c r="E105" s="2">
        <v>-0.11210000000000001</v>
      </c>
      <c r="F105" s="2">
        <v>-0.24809999999999999</v>
      </c>
      <c r="G105" s="2">
        <v>0.16259999999999999</v>
      </c>
    </row>
    <row r="106" spans="1:15">
      <c r="A106" s="3" t="s">
        <v>119</v>
      </c>
      <c r="B106" s="2" t="s">
        <v>1544</v>
      </c>
      <c r="C106" s="5">
        <v>44329</v>
      </c>
      <c r="D106" s="2">
        <v>44.165900000000001</v>
      </c>
      <c r="E106" s="2">
        <v>0.29599999999999999</v>
      </c>
      <c r="F106" s="2">
        <v>0.67469999999999997</v>
      </c>
      <c r="G106" s="2">
        <v>-1.3299999999999999E-2</v>
      </c>
      <c r="K106" s="2">
        <v>38655730</v>
      </c>
      <c r="L106" s="2">
        <v>875239</v>
      </c>
      <c r="M106" s="2">
        <v>0</v>
      </c>
      <c r="N106" s="2">
        <v>875239</v>
      </c>
      <c r="O106" s="2">
        <v>0</v>
      </c>
    </row>
    <row r="107" spans="1:15">
      <c r="A107" s="3" t="s">
        <v>120</v>
      </c>
      <c r="B107" s="2" t="s">
        <v>1545</v>
      </c>
      <c r="C107" s="5">
        <v>44329</v>
      </c>
      <c r="D107" s="2">
        <v>40.044499999999999</v>
      </c>
      <c r="E107" s="2">
        <v>0.26329999999999998</v>
      </c>
      <c r="F107" s="2">
        <v>0.66180000000000005</v>
      </c>
      <c r="G107" s="2">
        <v>0.11360000000000001</v>
      </c>
      <c r="K107" s="2">
        <v>32239137</v>
      </c>
      <c r="L107" s="2">
        <v>805083</v>
      </c>
      <c r="M107" s="2">
        <v>0</v>
      </c>
      <c r="N107" s="2">
        <v>805083</v>
      </c>
      <c r="O107" s="2">
        <v>0</v>
      </c>
    </row>
    <row r="108" spans="1:15">
      <c r="A108" s="3" t="s">
        <v>121</v>
      </c>
      <c r="B108" s="2" t="s">
        <v>1546</v>
      </c>
      <c r="C108" s="5">
        <v>44329</v>
      </c>
      <c r="D108" s="2">
        <v>40.127099999999999</v>
      </c>
      <c r="E108" s="2">
        <v>0.2787</v>
      </c>
      <c r="F108" s="2">
        <v>0.69940000000000002</v>
      </c>
      <c r="G108" s="2">
        <v>-0.2918</v>
      </c>
      <c r="K108" s="2">
        <v>57854295</v>
      </c>
      <c r="L108" s="2">
        <v>1441775</v>
      </c>
      <c r="M108" s="2">
        <v>0</v>
      </c>
      <c r="N108" s="2">
        <v>1441775</v>
      </c>
      <c r="O108" s="2">
        <v>0</v>
      </c>
    </row>
    <row r="109" spans="1:15">
      <c r="A109" s="3" t="s">
        <v>122</v>
      </c>
      <c r="B109" s="2" t="s">
        <v>1547</v>
      </c>
      <c r="C109" s="5">
        <v>44329</v>
      </c>
      <c r="D109" s="2">
        <v>42.292499999999997</v>
      </c>
      <c r="E109" s="2">
        <v>0.20860000000000001</v>
      </c>
      <c r="F109" s="2">
        <v>0.49559999999999998</v>
      </c>
      <c r="G109" s="2">
        <v>-0.31319999999999998</v>
      </c>
    </row>
    <row r="110" spans="1:15">
      <c r="A110" s="3" t="s">
        <v>123</v>
      </c>
      <c r="B110" s="2" t="s">
        <v>1548</v>
      </c>
      <c r="C110" s="5">
        <v>44329</v>
      </c>
      <c r="D110" s="2">
        <v>41.346299999999999</v>
      </c>
      <c r="E110" s="2">
        <v>5.67E-2</v>
      </c>
      <c r="F110" s="2">
        <v>0.13730000000000001</v>
      </c>
      <c r="G110" s="2">
        <v>8.8999999999999999E-3</v>
      </c>
    </row>
    <row r="111" spans="1:15">
      <c r="A111" s="3" t="s">
        <v>124</v>
      </c>
      <c r="B111" s="2" t="s">
        <v>1549</v>
      </c>
      <c r="C111" s="5">
        <v>44329</v>
      </c>
      <c r="D111" s="2">
        <v>38.2378</v>
      </c>
      <c r="E111" s="2">
        <v>8.3099999999999993E-2</v>
      </c>
      <c r="F111" s="2">
        <v>0.2177</v>
      </c>
      <c r="G111" s="2">
        <v>0.26719999999999999</v>
      </c>
    </row>
    <row r="112" spans="1:15">
      <c r="A112" s="3" t="s">
        <v>125</v>
      </c>
      <c r="B112" s="2" t="s">
        <v>1550</v>
      </c>
      <c r="C112" s="5">
        <v>44329</v>
      </c>
      <c r="D112" s="2">
        <v>25.9</v>
      </c>
      <c r="E112" s="2">
        <v>-0.34</v>
      </c>
      <c r="F112" s="2">
        <v>-1.2957000000000001</v>
      </c>
      <c r="G112" s="2">
        <v>0.65629999999999999</v>
      </c>
      <c r="K112" s="2">
        <v>982062</v>
      </c>
      <c r="L112" s="2">
        <v>37923</v>
      </c>
      <c r="M112" s="2">
        <v>1000</v>
      </c>
      <c r="N112" s="2">
        <v>37923</v>
      </c>
      <c r="O112" s="2">
        <v>1000</v>
      </c>
    </row>
    <row r="113" spans="1:15">
      <c r="A113" s="3" t="s">
        <v>126</v>
      </c>
      <c r="B113" s="2" t="s">
        <v>1551</v>
      </c>
      <c r="C113" s="5">
        <v>44329</v>
      </c>
      <c r="D113" s="2">
        <v>20.309999999999999</v>
      </c>
      <c r="E113" s="2">
        <v>-7.0000000000000007E-2</v>
      </c>
      <c r="F113" s="2">
        <v>-0.34339999999999998</v>
      </c>
      <c r="G113" s="2">
        <v>-9.8400000000000001E-2</v>
      </c>
      <c r="K113" s="2">
        <v>1311012</v>
      </c>
      <c r="L113" s="2">
        <v>64544</v>
      </c>
      <c r="M113" s="2">
        <v>0</v>
      </c>
      <c r="N113" s="2">
        <v>64544</v>
      </c>
      <c r="O113" s="2">
        <v>0</v>
      </c>
    </row>
    <row r="114" spans="1:15">
      <c r="A114" s="3" t="s">
        <v>127</v>
      </c>
      <c r="B114" s="2" t="s">
        <v>1552</v>
      </c>
      <c r="C114" s="5">
        <v>44329</v>
      </c>
      <c r="D114" s="2">
        <v>55.01</v>
      </c>
      <c r="E114" s="2">
        <v>-0.47</v>
      </c>
      <c r="F114" s="2">
        <v>-0.84709999999999996</v>
      </c>
      <c r="G114" s="2">
        <v>0.61799999999999999</v>
      </c>
      <c r="K114" s="2">
        <v>170536</v>
      </c>
      <c r="L114" s="2">
        <v>3100</v>
      </c>
      <c r="M114" s="2">
        <v>0</v>
      </c>
      <c r="N114" s="2">
        <v>3100</v>
      </c>
      <c r="O114" s="2">
        <v>0</v>
      </c>
    </row>
    <row r="115" spans="1:15">
      <c r="A115" s="3" t="s">
        <v>128</v>
      </c>
      <c r="B115" s="2" t="s">
        <v>1553</v>
      </c>
      <c r="C115" s="5">
        <v>44329</v>
      </c>
      <c r="D115" s="2">
        <v>39.706800000000001</v>
      </c>
      <c r="E115" s="2">
        <v>2.18E-2</v>
      </c>
      <c r="F115" s="2">
        <v>5.4899999999999997E-2</v>
      </c>
      <c r="G115" s="2">
        <v>0.1087</v>
      </c>
    </row>
    <row r="116" spans="1:15">
      <c r="A116" s="3" t="s">
        <v>129</v>
      </c>
      <c r="B116" s="2" t="s">
        <v>1554</v>
      </c>
      <c r="C116" s="5">
        <v>44329</v>
      </c>
      <c r="D116" s="2">
        <v>37.76</v>
      </c>
      <c r="E116" s="2">
        <v>-0.68</v>
      </c>
      <c r="F116" s="2">
        <v>-1.7688999999999999</v>
      </c>
      <c r="G116" s="2">
        <v>-0.10589999999999999</v>
      </c>
      <c r="K116" s="2">
        <v>376339</v>
      </c>
      <c r="L116" s="2">
        <v>9966</v>
      </c>
      <c r="M116" s="2">
        <v>0</v>
      </c>
      <c r="N116" s="2">
        <v>9966</v>
      </c>
      <c r="O116" s="2">
        <v>0</v>
      </c>
    </row>
    <row r="117" spans="1:15">
      <c r="A117" s="3" t="s">
        <v>130</v>
      </c>
      <c r="B117" s="2" t="s">
        <v>1555</v>
      </c>
      <c r="C117" s="5">
        <v>44329</v>
      </c>
      <c r="D117" s="2">
        <v>19.309999999999999</v>
      </c>
      <c r="E117" s="2">
        <v>0.03</v>
      </c>
      <c r="F117" s="2">
        <v>0.15559999999999999</v>
      </c>
      <c r="G117" s="2">
        <v>-0.51780000000000004</v>
      </c>
      <c r="K117" s="2">
        <v>443623</v>
      </c>
      <c r="L117" s="2">
        <v>22979</v>
      </c>
      <c r="M117" s="2">
        <v>0</v>
      </c>
      <c r="N117" s="2">
        <v>22979</v>
      </c>
      <c r="O117" s="2">
        <v>0</v>
      </c>
    </row>
    <row r="118" spans="1:15">
      <c r="A118" s="3" t="s">
        <v>131</v>
      </c>
      <c r="B118" s="2" t="s">
        <v>1432</v>
      </c>
      <c r="C118" s="5">
        <v>44329</v>
      </c>
      <c r="D118" s="2">
        <v>31.22</v>
      </c>
      <c r="E118" s="2">
        <v>-0.43</v>
      </c>
      <c r="F118" s="2">
        <v>-1.3586</v>
      </c>
      <c r="G118" s="2">
        <v>1.2171000000000001</v>
      </c>
      <c r="K118" s="2">
        <v>180705</v>
      </c>
      <c r="L118" s="2">
        <v>5789</v>
      </c>
      <c r="M118" s="2">
        <v>500</v>
      </c>
      <c r="N118" s="2">
        <v>5789</v>
      </c>
      <c r="O118" s="2">
        <v>500</v>
      </c>
    </row>
    <row r="119" spans="1:15">
      <c r="A119" s="3" t="s">
        <v>132</v>
      </c>
      <c r="B119" s="2" t="s">
        <v>1556</v>
      </c>
      <c r="C119" s="5">
        <v>44329</v>
      </c>
      <c r="D119" s="2">
        <v>22.45</v>
      </c>
      <c r="E119" s="2">
        <v>-0.28999999999999998</v>
      </c>
      <c r="F119" s="2">
        <v>-1.2751999999999999</v>
      </c>
      <c r="G119" s="2">
        <v>0.44540000000000002</v>
      </c>
      <c r="K119" s="2">
        <v>184686</v>
      </c>
      <c r="L119" s="2">
        <v>8227</v>
      </c>
      <c r="M119" s="2">
        <v>0</v>
      </c>
      <c r="N119" s="2">
        <v>8227</v>
      </c>
      <c r="O119" s="2">
        <v>0</v>
      </c>
    </row>
    <row r="120" spans="1:15">
      <c r="A120" s="3" t="s">
        <v>133</v>
      </c>
      <c r="B120" s="2" t="s">
        <v>1557</v>
      </c>
      <c r="C120" s="5">
        <v>44329</v>
      </c>
      <c r="D120" s="2">
        <v>30.08</v>
      </c>
      <c r="E120" s="2">
        <v>-0.02</v>
      </c>
      <c r="F120" s="2">
        <v>-6.6400000000000001E-2</v>
      </c>
      <c r="G120" s="2">
        <v>-0.26590000000000003</v>
      </c>
    </row>
    <row r="121" spans="1:15">
      <c r="A121" s="3" t="s">
        <v>134</v>
      </c>
      <c r="B121" s="2" t="s">
        <v>2511</v>
      </c>
      <c r="C121" s="5">
        <v>44329</v>
      </c>
      <c r="D121" s="2">
        <v>27.96</v>
      </c>
      <c r="E121" s="2">
        <v>-0.19</v>
      </c>
      <c r="F121" s="2">
        <v>-0.67490000000000006</v>
      </c>
      <c r="G121" s="2">
        <v>0</v>
      </c>
    </row>
    <row r="122" spans="1:15">
      <c r="A122" s="3" t="s">
        <v>135</v>
      </c>
      <c r="B122" s="2" t="s">
        <v>1558</v>
      </c>
      <c r="C122" s="5">
        <v>44329</v>
      </c>
      <c r="D122" s="2">
        <v>27.38</v>
      </c>
      <c r="E122" s="2">
        <v>-0.33</v>
      </c>
      <c r="F122" s="2">
        <v>-1.1909000000000001</v>
      </c>
      <c r="G122" s="2">
        <v>-1.0226</v>
      </c>
      <c r="K122" s="2">
        <v>1231682</v>
      </c>
      <c r="L122" s="2">
        <v>44988</v>
      </c>
      <c r="M122" s="2">
        <v>0</v>
      </c>
      <c r="N122" s="2">
        <v>44988</v>
      </c>
      <c r="O122" s="2">
        <v>0</v>
      </c>
    </row>
    <row r="123" spans="1:15">
      <c r="A123" s="3" t="s">
        <v>136</v>
      </c>
      <c r="B123" s="2" t="s">
        <v>1559</v>
      </c>
      <c r="C123" s="5">
        <v>44329</v>
      </c>
      <c r="D123" s="2">
        <v>45.215699999999998</v>
      </c>
      <c r="E123" s="2">
        <v>0.1018</v>
      </c>
      <c r="F123" s="2">
        <v>0.22559999999999999</v>
      </c>
      <c r="G123" s="2">
        <v>-0.14530000000000001</v>
      </c>
    </row>
    <row r="124" spans="1:15">
      <c r="A124" s="3" t="s">
        <v>137</v>
      </c>
      <c r="B124" s="2" t="s">
        <v>1560</v>
      </c>
      <c r="C124" s="5">
        <v>44329</v>
      </c>
      <c r="D124" s="2">
        <v>37.316600000000001</v>
      </c>
      <c r="E124" s="2">
        <v>-2.3400000000000001E-2</v>
      </c>
      <c r="F124" s="2">
        <v>-6.2600000000000003E-2</v>
      </c>
      <c r="G124" s="2">
        <v>0.3574</v>
      </c>
    </row>
    <row r="125" spans="1:15">
      <c r="A125" s="3" t="s">
        <v>138</v>
      </c>
      <c r="B125" s="2" t="s">
        <v>1561</v>
      </c>
      <c r="C125" s="5">
        <v>44329</v>
      </c>
      <c r="D125" s="2">
        <v>21.46</v>
      </c>
      <c r="E125" s="2">
        <v>-0.2</v>
      </c>
      <c r="F125" s="2">
        <v>-0.92330000000000001</v>
      </c>
      <c r="G125" s="2">
        <v>0.65229999999999999</v>
      </c>
      <c r="K125" s="2">
        <v>388562</v>
      </c>
      <c r="L125" s="2">
        <v>18110</v>
      </c>
      <c r="M125" s="2">
        <v>0</v>
      </c>
      <c r="N125" s="2">
        <v>18110</v>
      </c>
      <c r="O125" s="2">
        <v>0</v>
      </c>
    </row>
    <row r="126" spans="1:15">
      <c r="A126" s="3" t="s">
        <v>139</v>
      </c>
      <c r="B126" s="2" t="s">
        <v>1562</v>
      </c>
      <c r="C126" s="5">
        <v>44329</v>
      </c>
      <c r="D126" s="2">
        <v>28.67</v>
      </c>
      <c r="E126" s="2">
        <v>-0.27</v>
      </c>
      <c r="F126" s="2">
        <v>-0.93289999999999995</v>
      </c>
      <c r="G126" s="2">
        <v>-0.62780000000000002</v>
      </c>
      <c r="K126" s="2">
        <v>181987</v>
      </c>
      <c r="L126" s="2">
        <v>6347</v>
      </c>
      <c r="M126" s="2">
        <v>0</v>
      </c>
      <c r="N126" s="2">
        <v>6347</v>
      </c>
      <c r="O126" s="2">
        <v>0</v>
      </c>
    </row>
    <row r="127" spans="1:15">
      <c r="A127" s="3" t="s">
        <v>140</v>
      </c>
      <c r="B127" s="2" t="s">
        <v>1563</v>
      </c>
      <c r="C127" s="5">
        <v>44329</v>
      </c>
      <c r="D127" s="2">
        <v>41.673099999999998</v>
      </c>
      <c r="E127" s="2">
        <v>2.4500000000000001E-2</v>
      </c>
      <c r="F127" s="2">
        <v>5.8799999999999998E-2</v>
      </c>
      <c r="G127" s="2">
        <v>-0.55930000000000002</v>
      </c>
    </row>
    <row r="128" spans="1:15">
      <c r="A128" s="3" t="s">
        <v>141</v>
      </c>
      <c r="B128" s="2" t="s">
        <v>1564</v>
      </c>
      <c r="C128" s="5">
        <v>44329</v>
      </c>
      <c r="D128" s="2">
        <v>40.6462</v>
      </c>
      <c r="E128" s="2">
        <v>-0.1091</v>
      </c>
      <c r="F128" s="2">
        <v>-0.2676</v>
      </c>
      <c r="G128" s="2">
        <v>-0.18740000000000001</v>
      </c>
      <c r="K128" s="2">
        <v>163235</v>
      </c>
      <c r="L128" s="2">
        <v>4016</v>
      </c>
      <c r="M128" s="2">
        <v>0</v>
      </c>
      <c r="N128" s="2">
        <v>4016</v>
      </c>
      <c r="O128" s="2">
        <v>0</v>
      </c>
    </row>
    <row r="129" spans="1:15">
      <c r="A129" s="3" t="s">
        <v>142</v>
      </c>
      <c r="B129" s="2" t="s">
        <v>1565</v>
      </c>
      <c r="C129" s="5">
        <v>44329</v>
      </c>
      <c r="D129" s="2">
        <v>42.267800000000001</v>
      </c>
      <c r="E129" s="2">
        <v>0.11169999999999999</v>
      </c>
      <c r="F129" s="2">
        <v>0.26490000000000002</v>
      </c>
      <c r="G129" s="2">
        <v>0.26540000000000002</v>
      </c>
    </row>
    <row r="130" spans="1:15">
      <c r="A130" s="3" t="s">
        <v>143</v>
      </c>
      <c r="B130" s="2" t="s">
        <v>1566</v>
      </c>
      <c r="C130" s="5">
        <v>44329</v>
      </c>
      <c r="D130" s="2">
        <v>50.692</v>
      </c>
      <c r="E130" s="2">
        <v>-0.1133</v>
      </c>
      <c r="F130" s="2">
        <v>-0.223</v>
      </c>
      <c r="G130" s="2">
        <v>0.21299999999999999</v>
      </c>
    </row>
    <row r="131" spans="1:15">
      <c r="A131" s="3" t="s">
        <v>144</v>
      </c>
      <c r="B131" s="2" t="s">
        <v>1567</v>
      </c>
      <c r="C131" s="5">
        <v>44329</v>
      </c>
      <c r="D131" s="2">
        <v>41.548099999999998</v>
      </c>
      <c r="E131" s="2">
        <v>-6.0299999999999999E-2</v>
      </c>
      <c r="F131" s="2">
        <v>-0.1449</v>
      </c>
      <c r="G131" s="2">
        <v>0.1971</v>
      </c>
      <c r="K131" s="2">
        <v>25822175</v>
      </c>
      <c r="L131" s="2">
        <v>621500</v>
      </c>
      <c r="M131" s="2">
        <v>0</v>
      </c>
      <c r="N131" s="2">
        <v>621500</v>
      </c>
      <c r="O131" s="2">
        <v>0</v>
      </c>
    </row>
    <row r="132" spans="1:15">
      <c r="A132" s="3" t="s">
        <v>145</v>
      </c>
      <c r="B132" s="2" t="s">
        <v>1568</v>
      </c>
      <c r="C132" s="5">
        <v>44329</v>
      </c>
      <c r="D132" s="2">
        <v>41.554699999999997</v>
      </c>
      <c r="E132" s="2">
        <v>3.6600000000000001E-2</v>
      </c>
      <c r="F132" s="2">
        <v>8.8099999999999998E-2</v>
      </c>
      <c r="G132" s="2">
        <v>0.1812</v>
      </c>
      <c r="K132" s="2">
        <v>39705543</v>
      </c>
      <c r="L132" s="2">
        <v>955500</v>
      </c>
      <c r="M132" s="2">
        <v>0</v>
      </c>
      <c r="N132" s="2">
        <v>955500</v>
      </c>
      <c r="O132" s="2">
        <v>0</v>
      </c>
    </row>
    <row r="133" spans="1:15">
      <c r="A133" s="3" t="s">
        <v>146</v>
      </c>
      <c r="B133" s="2" t="s">
        <v>1569</v>
      </c>
      <c r="C133" s="5">
        <v>44329</v>
      </c>
      <c r="D133" s="2">
        <v>41.229500000000002</v>
      </c>
      <c r="E133" s="2">
        <v>0.1885</v>
      </c>
      <c r="F133" s="2">
        <v>0.4592</v>
      </c>
      <c r="G133" s="2">
        <v>-2.3E-2</v>
      </c>
      <c r="K133" s="2">
        <v>2247010</v>
      </c>
      <c r="L133" s="2">
        <v>54500</v>
      </c>
      <c r="M133" s="2">
        <v>0</v>
      </c>
      <c r="N133" s="2">
        <v>54500</v>
      </c>
      <c r="O133" s="2">
        <v>0</v>
      </c>
    </row>
    <row r="134" spans="1:15">
      <c r="A134" s="3" t="s">
        <v>147</v>
      </c>
      <c r="B134" s="2" t="s">
        <v>1570</v>
      </c>
      <c r="C134" s="5">
        <v>44329</v>
      </c>
      <c r="D134" s="2">
        <v>42.393700000000003</v>
      </c>
      <c r="E134" s="2">
        <v>0.2293</v>
      </c>
      <c r="F134" s="2">
        <v>0.54379999999999995</v>
      </c>
      <c r="G134" s="2">
        <v>3.8399999999999997E-2</v>
      </c>
    </row>
    <row r="135" spans="1:15">
      <c r="A135" s="3" t="s">
        <v>148</v>
      </c>
      <c r="B135" s="2" t="s">
        <v>1571</v>
      </c>
      <c r="C135" s="5">
        <v>44329</v>
      </c>
      <c r="D135" s="2">
        <v>27.25</v>
      </c>
      <c r="E135" s="2">
        <v>-0.91</v>
      </c>
      <c r="F135" s="2">
        <v>-3.2315</v>
      </c>
      <c r="G135" s="2">
        <v>2.2018</v>
      </c>
    </row>
    <row r="136" spans="1:15">
      <c r="A136" s="3" t="s">
        <v>149</v>
      </c>
      <c r="B136" s="2" t="s">
        <v>1572</v>
      </c>
      <c r="C136" s="5">
        <v>44329</v>
      </c>
      <c r="D136" s="2">
        <v>33.18</v>
      </c>
      <c r="E136" s="2">
        <v>-0.96</v>
      </c>
      <c r="F136" s="2">
        <v>-2.8119000000000001</v>
      </c>
      <c r="G136" s="2">
        <v>2.4411999999999998</v>
      </c>
    </row>
    <row r="137" spans="1:15">
      <c r="A137" s="3" t="s">
        <v>150</v>
      </c>
      <c r="B137" s="2" t="s">
        <v>1573</v>
      </c>
      <c r="C137" s="5">
        <v>44329</v>
      </c>
      <c r="D137" s="2">
        <v>43.734299999999998</v>
      </c>
      <c r="E137" s="2">
        <v>0.25559999999999999</v>
      </c>
      <c r="F137" s="2">
        <v>0.58779999999999999</v>
      </c>
      <c r="G137" s="2">
        <v>-0.16980000000000001</v>
      </c>
      <c r="K137" s="2">
        <v>7955267</v>
      </c>
      <c r="L137" s="2">
        <v>181900</v>
      </c>
      <c r="M137" s="2">
        <v>0</v>
      </c>
      <c r="N137" s="2">
        <v>181900</v>
      </c>
      <c r="O137" s="2">
        <v>0</v>
      </c>
    </row>
    <row r="138" spans="1:15">
      <c r="A138" s="3" t="s">
        <v>151</v>
      </c>
      <c r="B138" s="2" t="s">
        <v>1574</v>
      </c>
      <c r="C138" s="5">
        <v>44329</v>
      </c>
      <c r="D138" s="2">
        <v>41.936599999999999</v>
      </c>
      <c r="E138" s="2">
        <v>0.22500000000000001</v>
      </c>
      <c r="F138" s="2">
        <v>0.53939999999999999</v>
      </c>
      <c r="G138" s="2">
        <v>0.318</v>
      </c>
      <c r="K138" s="2">
        <v>5188810</v>
      </c>
      <c r="L138" s="2">
        <v>123730</v>
      </c>
      <c r="M138" s="2">
        <v>0</v>
      </c>
      <c r="N138" s="2">
        <v>123730</v>
      </c>
      <c r="O138" s="2">
        <v>0</v>
      </c>
    </row>
    <row r="139" spans="1:15">
      <c r="A139" s="3" t="s">
        <v>152</v>
      </c>
      <c r="B139" s="2" t="s">
        <v>1575</v>
      </c>
      <c r="C139" s="5">
        <v>44329</v>
      </c>
      <c r="D139" s="2">
        <v>43.3108</v>
      </c>
      <c r="E139" s="2">
        <v>-8.3500000000000005E-2</v>
      </c>
      <c r="F139" s="2">
        <v>-0.19239999999999999</v>
      </c>
      <c r="G139" s="2">
        <v>0.48299999999999998</v>
      </c>
      <c r="K139" s="2">
        <v>48434447</v>
      </c>
      <c r="L139" s="2">
        <v>1118300</v>
      </c>
      <c r="M139" s="2">
        <v>20000</v>
      </c>
      <c r="N139" s="2">
        <v>1118300</v>
      </c>
      <c r="O139" s="2">
        <v>20000</v>
      </c>
    </row>
    <row r="140" spans="1:15">
      <c r="A140" s="3" t="s">
        <v>153</v>
      </c>
      <c r="B140" s="2" t="s">
        <v>1576</v>
      </c>
      <c r="C140" s="5">
        <v>44329</v>
      </c>
      <c r="D140" s="2">
        <v>42.77</v>
      </c>
      <c r="E140" s="2">
        <v>-0.26</v>
      </c>
      <c r="F140" s="2">
        <v>-0.60419999999999996</v>
      </c>
      <c r="G140" s="2">
        <v>0.56110000000000004</v>
      </c>
    </row>
    <row r="141" spans="1:15">
      <c r="A141" s="3" t="s">
        <v>154</v>
      </c>
      <c r="B141" s="2" t="s">
        <v>1577</v>
      </c>
      <c r="C141" s="5">
        <v>44329</v>
      </c>
      <c r="D141" s="2">
        <v>60.01</v>
      </c>
      <c r="E141" s="2">
        <v>0.13</v>
      </c>
      <c r="F141" s="2">
        <v>0.21709999999999999</v>
      </c>
      <c r="G141" s="2">
        <v>6.6600000000000006E-2</v>
      </c>
    </row>
    <row r="142" spans="1:15">
      <c r="A142" s="3" t="s">
        <v>155</v>
      </c>
      <c r="B142" s="2" t="s">
        <v>1578</v>
      </c>
      <c r="C142" s="5">
        <v>44329</v>
      </c>
      <c r="D142" s="2">
        <v>66.930000000000007</v>
      </c>
      <c r="E142" s="2">
        <v>0.18</v>
      </c>
      <c r="F142" s="2">
        <v>0.26960000000000001</v>
      </c>
      <c r="G142" s="2">
        <v>2.98E-2</v>
      </c>
    </row>
    <row r="143" spans="1:15">
      <c r="A143" s="3" t="s">
        <v>156</v>
      </c>
      <c r="B143" s="2" t="s">
        <v>1579</v>
      </c>
      <c r="C143" s="5">
        <v>44329</v>
      </c>
      <c r="D143" s="2">
        <v>63.84</v>
      </c>
      <c r="E143" s="2">
        <v>-0.1</v>
      </c>
      <c r="F143" s="2">
        <v>-0.15629999999999999</v>
      </c>
      <c r="G143" s="2">
        <v>0.64219999999999999</v>
      </c>
    </row>
    <row r="144" spans="1:15">
      <c r="A144" s="3" t="s">
        <v>157</v>
      </c>
      <c r="B144" s="2" t="s">
        <v>1580</v>
      </c>
      <c r="C144" s="5">
        <v>44329</v>
      </c>
      <c r="D144" s="2">
        <v>43.52</v>
      </c>
      <c r="E144" s="2">
        <v>0.2203</v>
      </c>
      <c r="F144" s="2">
        <v>0.50870000000000004</v>
      </c>
      <c r="G144" s="2">
        <v>-0.64329999999999998</v>
      </c>
    </row>
    <row r="145" spans="1:15">
      <c r="A145" s="3" t="s">
        <v>158</v>
      </c>
      <c r="B145" s="2" t="s">
        <v>1581</v>
      </c>
      <c r="C145" s="5">
        <v>44329</v>
      </c>
      <c r="D145" s="2">
        <v>34.700000000000003</v>
      </c>
      <c r="E145" s="2">
        <v>0.01</v>
      </c>
      <c r="F145" s="2">
        <v>2.8799999999999999E-2</v>
      </c>
      <c r="G145" s="2">
        <v>-0.28810000000000002</v>
      </c>
    </row>
    <row r="146" spans="1:15">
      <c r="A146" s="3" t="s">
        <v>159</v>
      </c>
      <c r="B146" s="2" t="s">
        <v>2512</v>
      </c>
      <c r="C146" s="5">
        <v>44329</v>
      </c>
      <c r="D146" s="2">
        <v>30.46</v>
      </c>
      <c r="E146" s="2">
        <v>-0.28000000000000003</v>
      </c>
      <c r="F146" s="2">
        <v>-0.91080000000000005</v>
      </c>
      <c r="G146" s="2">
        <v>1.0832999999999999</v>
      </c>
    </row>
    <row r="147" spans="1:15">
      <c r="A147" s="3" t="s">
        <v>160</v>
      </c>
      <c r="B147" s="2" t="s">
        <v>1582</v>
      </c>
      <c r="C147" s="5">
        <v>44329</v>
      </c>
      <c r="D147" s="2">
        <v>40.373399999999997</v>
      </c>
      <c r="E147" s="2">
        <v>0.25130000000000002</v>
      </c>
      <c r="F147" s="2">
        <v>0.62629999999999997</v>
      </c>
      <c r="G147" s="2">
        <v>-0.37990000000000002</v>
      </c>
      <c r="K147" s="2">
        <v>16532911</v>
      </c>
      <c r="L147" s="2">
        <v>409500</v>
      </c>
      <c r="M147" s="2">
        <v>26000</v>
      </c>
      <c r="N147" s="2">
        <v>409500</v>
      </c>
      <c r="O147" s="2">
        <v>26000</v>
      </c>
    </row>
    <row r="148" spans="1:15">
      <c r="A148" s="3" t="s">
        <v>161</v>
      </c>
      <c r="B148" s="2" t="s">
        <v>1583</v>
      </c>
      <c r="C148" s="5">
        <v>44329</v>
      </c>
      <c r="D148" s="2">
        <v>39.848999999999997</v>
      </c>
      <c r="E148" s="2">
        <v>1.2999999999999999E-3</v>
      </c>
      <c r="F148" s="2">
        <v>3.2000000000000002E-3</v>
      </c>
      <c r="G148" s="2">
        <v>0.17810000000000001</v>
      </c>
      <c r="K148" s="2">
        <v>119547</v>
      </c>
      <c r="L148" s="2">
        <v>3000</v>
      </c>
      <c r="M148" s="2">
        <v>0</v>
      </c>
      <c r="N148" s="2">
        <v>3000</v>
      </c>
      <c r="O148" s="2">
        <v>0</v>
      </c>
    </row>
    <row r="149" spans="1:15">
      <c r="A149" s="3" t="s">
        <v>164</v>
      </c>
      <c r="B149" s="2" t="s">
        <v>1584</v>
      </c>
      <c r="C149" s="5">
        <v>44329</v>
      </c>
      <c r="D149" s="2">
        <v>64.395600000000002</v>
      </c>
      <c r="E149" s="2">
        <v>0.10059999999999999</v>
      </c>
      <c r="F149" s="2">
        <v>0.15640000000000001</v>
      </c>
      <c r="G149" s="2">
        <v>0.31740000000000002</v>
      </c>
    </row>
    <row r="150" spans="1:15">
      <c r="A150" s="3" t="s">
        <v>166</v>
      </c>
      <c r="B150" s="2" t="s">
        <v>1585</v>
      </c>
      <c r="C150" s="5">
        <v>44329</v>
      </c>
      <c r="D150" s="2">
        <v>33.159999999999997</v>
      </c>
      <c r="E150" s="2">
        <v>0.35</v>
      </c>
      <c r="F150" s="2">
        <v>1.0667</v>
      </c>
      <c r="G150" s="2">
        <v>-0.78400000000000003</v>
      </c>
    </row>
    <row r="151" spans="1:15">
      <c r="A151" s="3" t="s">
        <v>167</v>
      </c>
      <c r="B151" s="2" t="s">
        <v>1586</v>
      </c>
      <c r="C151" s="5">
        <v>44329</v>
      </c>
      <c r="D151" s="2">
        <v>19.14</v>
      </c>
      <c r="E151" s="2">
        <v>0.06</v>
      </c>
      <c r="F151" s="2">
        <v>0.31440000000000001</v>
      </c>
      <c r="G151" s="2">
        <v>-1.0448999999999999</v>
      </c>
    </row>
    <row r="152" spans="1:15">
      <c r="A152" s="3" t="s">
        <v>168</v>
      </c>
      <c r="B152" s="2" t="s">
        <v>1587</v>
      </c>
      <c r="C152" s="5">
        <v>44329</v>
      </c>
      <c r="D152" s="2">
        <v>42.348399999999998</v>
      </c>
      <c r="E152" s="2">
        <v>0.27850000000000003</v>
      </c>
      <c r="F152" s="2">
        <v>0.66190000000000004</v>
      </c>
      <c r="G152" s="2">
        <v>-0.23230000000000001</v>
      </c>
    </row>
    <row r="153" spans="1:15">
      <c r="A153" s="3" t="s">
        <v>169</v>
      </c>
      <c r="B153" s="2" t="s">
        <v>1588</v>
      </c>
      <c r="C153" s="5">
        <v>44329</v>
      </c>
      <c r="D153" s="2">
        <v>43.106099999999998</v>
      </c>
      <c r="E153" s="2">
        <v>0.39279999999999998</v>
      </c>
      <c r="F153" s="2">
        <v>0.91959999999999997</v>
      </c>
      <c r="G153" s="2">
        <v>-0.64049999999999996</v>
      </c>
    </row>
    <row r="154" spans="1:15">
      <c r="A154" s="3" t="s">
        <v>170</v>
      </c>
      <c r="B154" s="2" t="s">
        <v>1433</v>
      </c>
      <c r="C154" s="5">
        <v>44329</v>
      </c>
      <c r="D154" s="2">
        <v>39.008400000000002</v>
      </c>
      <c r="E154" s="2">
        <v>-7.8399999999999997E-2</v>
      </c>
      <c r="F154" s="2">
        <v>-0.20050000000000001</v>
      </c>
      <c r="G154" s="2">
        <v>-2.1499999999999998E-2</v>
      </c>
      <c r="K154" s="2">
        <v>15031875</v>
      </c>
      <c r="L154" s="2">
        <v>379500</v>
      </c>
      <c r="M154" s="2">
        <v>-500</v>
      </c>
      <c r="N154" s="2">
        <v>385350</v>
      </c>
      <c r="O154" s="2">
        <v>0</v>
      </c>
    </row>
    <row r="155" spans="1:15">
      <c r="A155" s="3" t="s">
        <v>434</v>
      </c>
      <c r="B155" s="2" t="s">
        <v>1589</v>
      </c>
      <c r="C155" s="5">
        <v>44329</v>
      </c>
      <c r="D155" s="2">
        <v>8.9510000000000005</v>
      </c>
      <c r="E155" s="2">
        <v>-1.3899999999999999E-2</v>
      </c>
      <c r="F155" s="2">
        <v>-0.155</v>
      </c>
      <c r="G155" s="2">
        <v>1.7763</v>
      </c>
      <c r="L155" s="2">
        <v>5850</v>
      </c>
      <c r="M155" s="2">
        <v>500</v>
      </c>
      <c r="N155" s="2">
        <v>385350</v>
      </c>
      <c r="O155" s="2">
        <v>0</v>
      </c>
    </row>
    <row r="156" spans="1:15">
      <c r="A156" s="3" t="s">
        <v>171</v>
      </c>
      <c r="B156" s="2" t="s">
        <v>1590</v>
      </c>
      <c r="C156" s="5">
        <v>44329</v>
      </c>
      <c r="D156" s="2">
        <v>40.472700000000003</v>
      </c>
      <c r="E156" s="2">
        <v>0.1003</v>
      </c>
      <c r="F156" s="2">
        <v>0.24840000000000001</v>
      </c>
      <c r="G156" s="2">
        <v>6.7400000000000002E-2</v>
      </c>
      <c r="K156" s="2">
        <v>2149099</v>
      </c>
      <c r="L156" s="2">
        <v>53100</v>
      </c>
      <c r="M156" s="2">
        <v>0</v>
      </c>
      <c r="N156" s="2">
        <v>53100</v>
      </c>
      <c r="O156" s="2">
        <v>0</v>
      </c>
    </row>
    <row r="157" spans="1:15">
      <c r="A157" s="3" t="s">
        <v>173</v>
      </c>
      <c r="B157" s="2" t="s">
        <v>1591</v>
      </c>
      <c r="C157" s="5">
        <v>44329</v>
      </c>
      <c r="D157" s="2">
        <v>41.333599999999997</v>
      </c>
      <c r="E157" s="2">
        <v>0.1709</v>
      </c>
      <c r="F157" s="2">
        <v>0.41510000000000002</v>
      </c>
      <c r="G157" s="2">
        <v>-8.1199999999999994E-2</v>
      </c>
      <c r="K157" s="2">
        <v>24372376</v>
      </c>
      <c r="L157" s="2">
        <v>589650</v>
      </c>
      <c r="M157" s="2">
        <v>0</v>
      </c>
      <c r="N157" s="2">
        <v>589650</v>
      </c>
      <c r="O157" s="2">
        <v>0</v>
      </c>
    </row>
    <row r="158" spans="1:15">
      <c r="A158" s="3" t="s">
        <v>174</v>
      </c>
      <c r="B158" s="2" t="s">
        <v>1592</v>
      </c>
      <c r="C158" s="5">
        <v>44329</v>
      </c>
      <c r="D158" s="2">
        <v>42.796399999999998</v>
      </c>
      <c r="E158" s="2">
        <v>0.35289999999999999</v>
      </c>
      <c r="F158" s="2">
        <v>0.83140000000000003</v>
      </c>
      <c r="G158" s="2">
        <v>-0.57569999999999999</v>
      </c>
      <c r="K158" s="2">
        <v>23737050</v>
      </c>
      <c r="L158" s="2">
        <v>554650</v>
      </c>
      <c r="M158" s="2">
        <v>32500</v>
      </c>
      <c r="N158" s="2">
        <v>554650</v>
      </c>
      <c r="O158" s="2">
        <v>32500</v>
      </c>
    </row>
    <row r="159" spans="1:15">
      <c r="A159" s="3" t="s">
        <v>175</v>
      </c>
      <c r="B159" s="2" t="s">
        <v>1593</v>
      </c>
      <c r="C159" s="5">
        <v>44329</v>
      </c>
      <c r="D159" s="2">
        <v>40.426499999999997</v>
      </c>
      <c r="E159" s="2">
        <v>0.10970000000000001</v>
      </c>
      <c r="F159" s="2">
        <v>0.27200000000000002</v>
      </c>
      <c r="G159" s="2">
        <v>0.23119999999999999</v>
      </c>
      <c r="K159" s="2">
        <v>13063828</v>
      </c>
      <c r="L159" s="2">
        <v>323150</v>
      </c>
      <c r="M159" s="2">
        <v>0</v>
      </c>
      <c r="N159" s="2">
        <v>323150</v>
      </c>
      <c r="O159" s="2">
        <v>0</v>
      </c>
    </row>
    <row r="160" spans="1:15">
      <c r="A160" s="3" t="s">
        <v>176</v>
      </c>
      <c r="B160" s="2" t="s">
        <v>1594</v>
      </c>
      <c r="C160" s="5">
        <v>44329</v>
      </c>
      <c r="D160" s="2">
        <v>40.473100000000002</v>
      </c>
      <c r="E160" s="2">
        <v>0.22939999999999999</v>
      </c>
      <c r="F160" s="2">
        <v>0.56999999999999995</v>
      </c>
      <c r="G160" s="2">
        <v>-0.42759999999999998</v>
      </c>
    </row>
    <row r="161" spans="1:15">
      <c r="A161" s="3" t="s">
        <v>177</v>
      </c>
      <c r="B161" s="2" t="s">
        <v>1434</v>
      </c>
      <c r="C161" s="5">
        <v>44329</v>
      </c>
      <c r="D161" s="2">
        <v>40.306699999999999</v>
      </c>
      <c r="E161" s="2">
        <v>0.21540000000000001</v>
      </c>
      <c r="F161" s="2">
        <v>0.53720000000000001</v>
      </c>
      <c r="G161" s="2">
        <v>-0.1406</v>
      </c>
    </row>
    <row r="162" spans="1:15">
      <c r="A162" s="3" t="s">
        <v>178</v>
      </c>
      <c r="B162" s="2" t="s">
        <v>1435</v>
      </c>
      <c r="C162" s="5">
        <v>44329</v>
      </c>
      <c r="D162" s="2">
        <v>40.640599999999999</v>
      </c>
      <c r="E162" s="2">
        <v>9.6100000000000005E-2</v>
      </c>
      <c r="F162" s="2">
        <v>0.23699999999999999</v>
      </c>
      <c r="G162" s="2">
        <v>-9.9900000000000003E-2</v>
      </c>
    </row>
    <row r="163" spans="1:15">
      <c r="A163" s="3" t="s">
        <v>179</v>
      </c>
      <c r="B163" s="2" t="s">
        <v>1436</v>
      </c>
      <c r="C163" s="5">
        <v>44329</v>
      </c>
      <c r="D163" s="2">
        <v>21.98</v>
      </c>
      <c r="E163" s="2">
        <v>-0.3</v>
      </c>
      <c r="F163" s="2">
        <v>-1.3464</v>
      </c>
      <c r="G163" s="2">
        <v>-0.63690000000000002</v>
      </c>
      <c r="K163" s="2">
        <v>308405</v>
      </c>
      <c r="L163" s="2">
        <v>14031</v>
      </c>
      <c r="M163" s="2">
        <v>0</v>
      </c>
      <c r="N163" s="2">
        <v>14031</v>
      </c>
      <c r="O163" s="2">
        <v>0</v>
      </c>
    </row>
    <row r="164" spans="1:15">
      <c r="A164" s="3" t="s">
        <v>180</v>
      </c>
      <c r="B164" s="2" t="s">
        <v>1595</v>
      </c>
      <c r="C164" s="5">
        <v>44329</v>
      </c>
      <c r="D164" s="2">
        <v>37.2986</v>
      </c>
      <c r="E164" s="2">
        <v>1.46E-2</v>
      </c>
      <c r="F164" s="2">
        <v>3.9100000000000003E-2</v>
      </c>
      <c r="G164" s="2">
        <v>0.13780000000000001</v>
      </c>
    </row>
    <row r="165" spans="1:15">
      <c r="A165" s="3" t="s">
        <v>181</v>
      </c>
      <c r="B165" s="2" t="s">
        <v>1457</v>
      </c>
      <c r="C165" s="5">
        <v>44329</v>
      </c>
      <c r="D165" s="2">
        <v>41.048099999999998</v>
      </c>
      <c r="E165" s="2">
        <v>0.19159999999999999</v>
      </c>
      <c r="F165" s="2">
        <v>0.46889999999999998</v>
      </c>
      <c r="G165" s="2">
        <v>-0.19020000000000001</v>
      </c>
      <c r="K165" s="2">
        <v>13647111</v>
      </c>
      <c r="L165" s="2">
        <v>332466</v>
      </c>
      <c r="M165" s="2">
        <v>0</v>
      </c>
      <c r="N165" s="2">
        <v>332466</v>
      </c>
      <c r="O165" s="2">
        <v>0</v>
      </c>
    </row>
    <row r="166" spans="1:15">
      <c r="A166" s="3" t="s">
        <v>182</v>
      </c>
      <c r="B166" s="2" t="s">
        <v>1458</v>
      </c>
      <c r="C166" s="5">
        <v>44329</v>
      </c>
      <c r="D166" s="2">
        <v>40.221200000000003</v>
      </c>
      <c r="E166" s="2">
        <v>0.21460000000000001</v>
      </c>
      <c r="F166" s="2">
        <v>0.53639999999999999</v>
      </c>
      <c r="G166" s="2">
        <v>-0.15210000000000001</v>
      </c>
    </row>
    <row r="167" spans="1:15">
      <c r="A167" s="3" t="s">
        <v>183</v>
      </c>
      <c r="B167" s="2" t="s">
        <v>1437</v>
      </c>
      <c r="C167" s="5">
        <v>44329</v>
      </c>
      <c r="D167" s="2">
        <v>41.222700000000003</v>
      </c>
      <c r="E167" s="2">
        <v>0.19789999999999999</v>
      </c>
      <c r="F167" s="2">
        <v>0.48230000000000001</v>
      </c>
      <c r="G167" s="2">
        <v>-0.17630000000000001</v>
      </c>
    </row>
    <row r="168" spans="1:15">
      <c r="A168" s="3" t="s">
        <v>184</v>
      </c>
      <c r="B168" s="2" t="s">
        <v>1454</v>
      </c>
      <c r="C168" s="5">
        <v>44329</v>
      </c>
      <c r="D168" s="2">
        <v>38.897399999999998</v>
      </c>
      <c r="E168" s="2">
        <v>0.14860000000000001</v>
      </c>
      <c r="F168" s="2">
        <v>0.38340000000000002</v>
      </c>
      <c r="G168" s="2">
        <v>0.59789999999999999</v>
      </c>
    </row>
    <row r="169" spans="1:15">
      <c r="A169" s="3" t="s">
        <v>185</v>
      </c>
      <c r="B169" s="2" t="s">
        <v>1596</v>
      </c>
      <c r="C169" s="5">
        <v>44329</v>
      </c>
      <c r="D169" s="2">
        <v>61.8506</v>
      </c>
      <c r="E169" s="2">
        <v>0.18079999999999999</v>
      </c>
      <c r="F169" s="2">
        <v>0.29310000000000003</v>
      </c>
      <c r="G169" s="2">
        <v>-8.9999999999999998E-4</v>
      </c>
    </row>
    <row r="170" spans="1:15">
      <c r="A170" s="3" t="s">
        <v>186</v>
      </c>
      <c r="B170" s="2" t="s">
        <v>1597</v>
      </c>
      <c r="C170" s="5">
        <v>44329</v>
      </c>
      <c r="D170" s="2">
        <v>61.627000000000002</v>
      </c>
      <c r="E170" s="2">
        <v>0.21970000000000001</v>
      </c>
      <c r="F170" s="2">
        <v>0.35770000000000002</v>
      </c>
      <c r="G170" s="2">
        <v>-4.3799999999999999E-2</v>
      </c>
    </row>
    <row r="171" spans="1:15">
      <c r="A171" s="3" t="s">
        <v>187</v>
      </c>
      <c r="B171" s="2" t="s">
        <v>1598</v>
      </c>
      <c r="C171" s="5">
        <v>44329</v>
      </c>
      <c r="D171" s="2">
        <v>55.994900000000001</v>
      </c>
      <c r="E171" s="2">
        <v>2.64E-2</v>
      </c>
      <c r="F171" s="2">
        <v>4.7100000000000003E-2</v>
      </c>
      <c r="G171" s="2">
        <v>0.27689999999999998</v>
      </c>
    </row>
    <row r="172" spans="1:15">
      <c r="A172" s="3" t="s">
        <v>188</v>
      </c>
      <c r="B172" s="2" t="s">
        <v>1599</v>
      </c>
      <c r="C172" s="5">
        <v>44329</v>
      </c>
      <c r="D172" s="2">
        <v>40.447299999999998</v>
      </c>
      <c r="E172" s="2">
        <v>0.27010000000000001</v>
      </c>
      <c r="F172" s="2">
        <v>0.67220000000000002</v>
      </c>
      <c r="G172" s="2">
        <v>-1.7999999999999999E-2</v>
      </c>
      <c r="K172" s="2">
        <v>16102674</v>
      </c>
      <c r="L172" s="2">
        <v>398115</v>
      </c>
      <c r="M172" s="2">
        <v>0</v>
      </c>
      <c r="N172" s="2">
        <v>398115</v>
      </c>
      <c r="O172" s="2">
        <v>0</v>
      </c>
    </row>
    <row r="173" spans="1:15">
      <c r="A173" s="3" t="s">
        <v>189</v>
      </c>
      <c r="B173" s="2" t="s">
        <v>1600</v>
      </c>
      <c r="C173" s="5">
        <v>44329</v>
      </c>
      <c r="D173" s="2">
        <v>40.295900000000003</v>
      </c>
      <c r="E173" s="2">
        <v>0.23830000000000001</v>
      </c>
      <c r="F173" s="2">
        <v>0.5948</v>
      </c>
      <c r="G173" s="2">
        <v>-1.1065</v>
      </c>
      <c r="K173" s="2">
        <v>101787</v>
      </c>
      <c r="L173" s="2">
        <v>2526</v>
      </c>
      <c r="M173" s="2">
        <v>0</v>
      </c>
      <c r="N173" s="2">
        <v>2526</v>
      </c>
      <c r="O173" s="2">
        <v>0</v>
      </c>
    </row>
    <row r="174" spans="1:15">
      <c r="A174" s="3" t="s">
        <v>190</v>
      </c>
      <c r="B174" s="2" t="s">
        <v>1601</v>
      </c>
      <c r="C174" s="5">
        <v>44329</v>
      </c>
      <c r="D174" s="2">
        <v>39.768700000000003</v>
      </c>
      <c r="E174" s="2">
        <v>7.4999999999999997E-3</v>
      </c>
      <c r="F174" s="2">
        <v>1.8800000000000001E-2</v>
      </c>
      <c r="G174" s="2">
        <v>-4.7E-2</v>
      </c>
    </row>
    <row r="175" spans="1:15">
      <c r="A175" s="3" t="s">
        <v>191</v>
      </c>
      <c r="B175" s="2" t="s">
        <v>1438</v>
      </c>
      <c r="C175" s="5">
        <v>44329</v>
      </c>
      <c r="D175" s="2">
        <v>39.084800000000001</v>
      </c>
      <c r="E175" s="2">
        <v>0.2351</v>
      </c>
      <c r="F175" s="2">
        <v>0.60509999999999997</v>
      </c>
      <c r="G175" s="2">
        <v>-0.2681</v>
      </c>
    </row>
    <row r="176" spans="1:15">
      <c r="A176" s="3" t="s">
        <v>192</v>
      </c>
      <c r="B176" s="2" t="s">
        <v>1439</v>
      </c>
      <c r="C176" s="5">
        <v>44329</v>
      </c>
      <c r="D176" s="2">
        <v>39.427599999999998</v>
      </c>
      <c r="E176" s="2">
        <v>-1.8200000000000001E-2</v>
      </c>
      <c r="F176" s="2">
        <v>-4.6100000000000002E-2</v>
      </c>
      <c r="G176" s="2">
        <v>-9.5299999999999996E-2</v>
      </c>
    </row>
    <row r="177" spans="1:15">
      <c r="A177" s="3" t="s">
        <v>195</v>
      </c>
      <c r="B177" s="2" t="s">
        <v>1602</v>
      </c>
      <c r="C177" s="5">
        <v>44329</v>
      </c>
      <c r="D177" s="2">
        <v>40.598999999999997</v>
      </c>
      <c r="E177" s="2">
        <v>0.1447</v>
      </c>
      <c r="F177" s="2">
        <v>0.35759999999999997</v>
      </c>
      <c r="G177" s="2">
        <v>-0.73640000000000005</v>
      </c>
    </row>
    <row r="178" spans="1:15">
      <c r="A178" s="3" t="s">
        <v>196</v>
      </c>
      <c r="B178" s="2" t="s">
        <v>1440</v>
      </c>
      <c r="C178" s="5">
        <v>44329</v>
      </c>
      <c r="D178" s="2">
        <v>123.25830000000001</v>
      </c>
      <c r="E178" s="2">
        <v>-1.4397</v>
      </c>
      <c r="F178" s="2">
        <v>-1.1545000000000001</v>
      </c>
      <c r="G178" s="2">
        <v>-0.61519999999999997</v>
      </c>
      <c r="H178" s="2">
        <v>34.223300000000002</v>
      </c>
      <c r="I178" s="2">
        <v>-0.4143</v>
      </c>
      <c r="J178" s="2">
        <v>-1.2</v>
      </c>
      <c r="L178" s="2">
        <v>549</v>
      </c>
      <c r="M178" s="2">
        <v>0</v>
      </c>
      <c r="N178" s="2">
        <v>549</v>
      </c>
      <c r="O178" s="2">
        <v>0</v>
      </c>
    </row>
    <row r="179" spans="1:15">
      <c r="A179" s="3" t="s">
        <v>197</v>
      </c>
      <c r="B179" s="2" t="s">
        <v>1603</v>
      </c>
      <c r="C179" s="5">
        <v>44329</v>
      </c>
      <c r="D179" s="2">
        <v>25.6</v>
      </c>
      <c r="E179" s="2">
        <v>0.43</v>
      </c>
      <c r="F179" s="2">
        <v>1.7082999999999999</v>
      </c>
      <c r="G179" s="2">
        <v>-1.2109000000000001</v>
      </c>
    </row>
    <row r="180" spans="1:15">
      <c r="A180" s="3" t="s">
        <v>198</v>
      </c>
      <c r="B180" s="2" t="s">
        <v>1441</v>
      </c>
      <c r="C180" s="5">
        <v>44329</v>
      </c>
      <c r="D180" s="2">
        <v>36.663400000000003</v>
      </c>
      <c r="E180" s="2">
        <v>2.29E-2</v>
      </c>
      <c r="F180" s="2">
        <v>6.2399999999999997E-2</v>
      </c>
      <c r="G180" s="2">
        <v>9.98E-2</v>
      </c>
      <c r="K180" s="2">
        <v>4898227</v>
      </c>
      <c r="L180" s="2">
        <v>133600</v>
      </c>
      <c r="M180" s="2">
        <v>0</v>
      </c>
      <c r="N180" s="2">
        <v>133600</v>
      </c>
      <c r="O180" s="2">
        <v>0</v>
      </c>
    </row>
    <row r="181" spans="1:15">
      <c r="A181" s="3" t="s">
        <v>199</v>
      </c>
      <c r="B181" s="2" t="s">
        <v>1604</v>
      </c>
      <c r="C181" s="5">
        <v>44329</v>
      </c>
      <c r="D181" s="2">
        <v>39.842399999999998</v>
      </c>
      <c r="E181" s="2">
        <v>0.16259999999999999</v>
      </c>
      <c r="F181" s="2">
        <v>0.40970000000000001</v>
      </c>
      <c r="G181" s="2">
        <v>6.9199999999999998E-2</v>
      </c>
      <c r="K181" s="2">
        <v>111559</v>
      </c>
      <c r="L181" s="2">
        <v>2800</v>
      </c>
      <c r="M181" s="2">
        <v>0</v>
      </c>
      <c r="N181" s="2">
        <v>2800</v>
      </c>
      <c r="O181" s="2">
        <v>0</v>
      </c>
    </row>
    <row r="182" spans="1:15">
      <c r="A182" s="3" t="s">
        <v>201</v>
      </c>
      <c r="B182" s="2" t="s">
        <v>1455</v>
      </c>
      <c r="C182" s="5">
        <v>44329</v>
      </c>
      <c r="D182" s="2">
        <v>40.439399999999999</v>
      </c>
      <c r="E182" s="2">
        <v>0.2752</v>
      </c>
      <c r="F182" s="2">
        <v>0.68510000000000004</v>
      </c>
      <c r="G182" s="2">
        <v>-0.34470000000000001</v>
      </c>
      <c r="K182" s="2">
        <v>695476</v>
      </c>
      <c r="L182" s="2">
        <v>17198</v>
      </c>
      <c r="M182" s="2">
        <v>0</v>
      </c>
      <c r="N182" s="2">
        <v>17198</v>
      </c>
      <c r="O182" s="2">
        <v>0</v>
      </c>
    </row>
    <row r="183" spans="1:15">
      <c r="A183" s="3" t="s">
        <v>203</v>
      </c>
      <c r="B183" s="2" t="s">
        <v>1605</v>
      </c>
      <c r="C183" s="5">
        <v>44329</v>
      </c>
      <c r="D183" s="2">
        <v>37.8581</v>
      </c>
      <c r="E183" s="2">
        <v>0.1211</v>
      </c>
      <c r="F183" s="2">
        <v>0.32090000000000002</v>
      </c>
      <c r="G183" s="2">
        <v>0.1106</v>
      </c>
    </row>
    <row r="184" spans="1:15">
      <c r="A184" s="3" t="s">
        <v>205</v>
      </c>
      <c r="B184" s="2" t="s">
        <v>1606</v>
      </c>
      <c r="C184" s="5">
        <v>44329</v>
      </c>
      <c r="D184" s="2">
        <v>39.012799999999999</v>
      </c>
      <c r="E184" s="2">
        <v>-0.1212</v>
      </c>
      <c r="F184" s="2">
        <v>-0.30969999999999998</v>
      </c>
      <c r="G184" s="2">
        <v>0.2235</v>
      </c>
    </row>
    <row r="185" spans="1:15">
      <c r="A185" s="3" t="s">
        <v>206</v>
      </c>
      <c r="B185" s="2" t="s">
        <v>1442</v>
      </c>
      <c r="C185" s="5">
        <v>44329</v>
      </c>
      <c r="D185" s="2">
        <v>39.849899999999998</v>
      </c>
      <c r="E185" s="2">
        <v>0.16919999999999999</v>
      </c>
      <c r="F185" s="2">
        <v>0.4264</v>
      </c>
      <c r="G185" s="2">
        <v>2.0000000000000001E-4</v>
      </c>
      <c r="K185" s="2">
        <v>137124</v>
      </c>
      <c r="L185" s="2">
        <v>3441</v>
      </c>
      <c r="M185" s="2">
        <v>0</v>
      </c>
      <c r="N185" s="2">
        <v>3441</v>
      </c>
      <c r="O185" s="2">
        <v>0</v>
      </c>
    </row>
    <row r="186" spans="1:15">
      <c r="A186" s="3" t="s">
        <v>207</v>
      </c>
      <c r="B186" s="2" t="s">
        <v>1607</v>
      </c>
      <c r="C186" s="5">
        <v>44329</v>
      </c>
      <c r="D186" s="2">
        <v>37.954000000000001</v>
      </c>
      <c r="E186" s="2">
        <v>0.1489</v>
      </c>
      <c r="F186" s="2">
        <v>0.39379999999999998</v>
      </c>
      <c r="G186" s="2">
        <v>-8.9499999999999996E-2</v>
      </c>
      <c r="K186" s="2">
        <v>1136001</v>
      </c>
      <c r="L186" s="2">
        <v>29931</v>
      </c>
      <c r="M186" s="2">
        <v>0</v>
      </c>
      <c r="N186" s="2">
        <v>29931</v>
      </c>
      <c r="O186" s="2">
        <v>0</v>
      </c>
    </row>
    <row r="187" spans="1:15">
      <c r="A187" s="3" t="s">
        <v>208</v>
      </c>
      <c r="B187" s="2" t="s">
        <v>1608</v>
      </c>
      <c r="C187" s="5">
        <v>44329</v>
      </c>
      <c r="D187" s="2">
        <v>38.090400000000002</v>
      </c>
      <c r="E187" s="2">
        <v>0.21079999999999999</v>
      </c>
      <c r="F187" s="2">
        <v>0.55649999999999999</v>
      </c>
      <c r="G187" s="2">
        <v>-0.44729999999999998</v>
      </c>
      <c r="K187" s="2">
        <v>816657</v>
      </c>
      <c r="L187" s="2">
        <v>21440</v>
      </c>
      <c r="M187" s="2">
        <v>0</v>
      </c>
      <c r="N187" s="2">
        <v>21440</v>
      </c>
      <c r="O187" s="2">
        <v>0</v>
      </c>
    </row>
    <row r="188" spans="1:15">
      <c r="A188" s="3" t="s">
        <v>209</v>
      </c>
      <c r="B188" s="2" t="s">
        <v>1443</v>
      </c>
      <c r="C188" s="5">
        <v>44329</v>
      </c>
      <c r="D188" s="2">
        <v>39.119999999999997</v>
      </c>
      <c r="E188" s="2">
        <v>0.26</v>
      </c>
      <c r="F188" s="2">
        <v>0.66900000000000004</v>
      </c>
      <c r="G188" s="2">
        <v>-0.56230000000000002</v>
      </c>
      <c r="K188" s="2">
        <v>734164</v>
      </c>
      <c r="L188" s="2">
        <v>18767</v>
      </c>
      <c r="M188" s="2">
        <v>0</v>
      </c>
      <c r="N188" s="2">
        <v>18767</v>
      </c>
      <c r="O188" s="2">
        <v>0</v>
      </c>
    </row>
    <row r="189" spans="1:15">
      <c r="A189" s="3" t="s">
        <v>425</v>
      </c>
      <c r="B189" s="2" t="s">
        <v>1609</v>
      </c>
      <c r="C189" s="5">
        <v>44329</v>
      </c>
      <c r="D189" s="2">
        <v>39.26</v>
      </c>
      <c r="E189" s="2">
        <v>-0.01</v>
      </c>
      <c r="F189" s="2">
        <v>-2.5399999999999999E-2</v>
      </c>
      <c r="G189" s="2">
        <v>-0.22919999999999999</v>
      </c>
      <c r="K189" s="2">
        <v>216761</v>
      </c>
      <c r="L189" s="2">
        <v>5521</v>
      </c>
      <c r="M189" s="2">
        <v>0</v>
      </c>
      <c r="N189" s="2">
        <v>5521</v>
      </c>
      <c r="O189" s="2">
        <v>0</v>
      </c>
    </row>
    <row r="190" spans="1:15">
      <c r="A190" s="3" t="s">
        <v>426</v>
      </c>
      <c r="B190" s="2" t="s">
        <v>1444</v>
      </c>
      <c r="C190" s="5">
        <v>44329</v>
      </c>
      <c r="D190" s="2">
        <v>38.341299999999997</v>
      </c>
      <c r="E190" s="2">
        <v>0.2072</v>
      </c>
      <c r="F190" s="2">
        <v>0.54330000000000001</v>
      </c>
      <c r="G190" s="2">
        <v>-0.21199999999999999</v>
      </c>
      <c r="K190" s="2">
        <v>1463681</v>
      </c>
      <c r="L190" s="2">
        <v>38175</v>
      </c>
      <c r="M190" s="2">
        <v>0</v>
      </c>
      <c r="N190" s="2">
        <v>38175</v>
      </c>
      <c r="O190" s="2">
        <v>0</v>
      </c>
    </row>
    <row r="191" spans="1:15">
      <c r="A191" s="3" t="s">
        <v>427</v>
      </c>
      <c r="B191" s="2" t="s">
        <v>1445</v>
      </c>
      <c r="C191" s="5">
        <v>44329</v>
      </c>
      <c r="D191" s="2">
        <v>36.711199999999998</v>
      </c>
      <c r="E191" s="2">
        <v>-8.0299999999999996E-2</v>
      </c>
      <c r="F191" s="2">
        <v>-0.21820000000000001</v>
      </c>
      <c r="G191" s="2">
        <v>0.378</v>
      </c>
    </row>
    <row r="192" spans="1:15">
      <c r="A192" s="3" t="s">
        <v>428</v>
      </c>
      <c r="B192" s="2" t="s">
        <v>1610</v>
      </c>
      <c r="C192" s="5">
        <v>44329</v>
      </c>
      <c r="D192" s="2">
        <v>37.357799999999997</v>
      </c>
      <c r="E192" s="2">
        <v>9.9400000000000002E-2</v>
      </c>
      <c r="F192" s="2">
        <v>0.26669999999999999</v>
      </c>
      <c r="G192" s="2">
        <v>-0.82389999999999997</v>
      </c>
    </row>
    <row r="193" spans="1:15">
      <c r="A193" s="3" t="s">
        <v>435</v>
      </c>
      <c r="B193" s="2" t="s">
        <v>1611</v>
      </c>
      <c r="C193" s="5">
        <v>44329</v>
      </c>
      <c r="D193" s="2">
        <v>33.945399999999999</v>
      </c>
      <c r="E193" s="2">
        <v>0.1673</v>
      </c>
      <c r="F193" s="2">
        <v>0.49519999999999997</v>
      </c>
      <c r="G193" s="2">
        <v>-0.2515</v>
      </c>
    </row>
    <row r="194" spans="1:15">
      <c r="A194" s="3" t="s">
        <v>436</v>
      </c>
      <c r="B194" s="2" t="s">
        <v>1612</v>
      </c>
      <c r="C194" s="5">
        <v>44329</v>
      </c>
      <c r="D194" s="2">
        <v>36.8825</v>
      </c>
      <c r="E194" s="2">
        <v>-2.3099999999999999E-2</v>
      </c>
      <c r="F194" s="2">
        <v>-6.25E-2</v>
      </c>
      <c r="G194" s="2">
        <v>-6.7000000000000002E-3</v>
      </c>
    </row>
    <row r="195" spans="1:15">
      <c r="A195" s="3" t="s">
        <v>437</v>
      </c>
      <c r="B195" s="2" t="s">
        <v>1613</v>
      </c>
      <c r="C195" s="5">
        <v>44329</v>
      </c>
      <c r="D195" s="2">
        <v>36.767899999999997</v>
      </c>
      <c r="E195" s="2">
        <v>6.9199999999999998E-2</v>
      </c>
      <c r="F195" s="2">
        <v>0.1885</v>
      </c>
      <c r="G195" s="2">
        <v>-0.29339999999999999</v>
      </c>
    </row>
    <row r="196" spans="1:15">
      <c r="A196" s="3" t="s">
        <v>438</v>
      </c>
      <c r="B196" s="2" t="s">
        <v>1446</v>
      </c>
      <c r="C196" s="5">
        <v>44329</v>
      </c>
      <c r="D196" s="2">
        <v>31.6</v>
      </c>
      <c r="E196" s="2">
        <v>-0.4</v>
      </c>
      <c r="F196" s="2">
        <v>-1.25</v>
      </c>
      <c r="G196" s="2">
        <v>-0.15820000000000001</v>
      </c>
      <c r="K196" s="2">
        <v>8703155</v>
      </c>
      <c r="L196" s="2">
        <v>275444</v>
      </c>
      <c r="M196" s="2">
        <v>0</v>
      </c>
      <c r="N196" s="2">
        <v>275444</v>
      </c>
      <c r="O196" s="2">
        <v>0</v>
      </c>
    </row>
    <row r="197" spans="1:15">
      <c r="A197" s="3" t="s">
        <v>439</v>
      </c>
      <c r="B197" s="2" t="s">
        <v>1614</v>
      </c>
      <c r="C197" s="5">
        <v>44329</v>
      </c>
      <c r="D197" s="2">
        <v>28.35</v>
      </c>
      <c r="E197" s="2">
        <v>0.08</v>
      </c>
      <c r="F197" s="2">
        <v>0.28289999999999998</v>
      </c>
      <c r="G197" s="2">
        <v>-0.35270000000000001</v>
      </c>
      <c r="K197" s="2">
        <v>255830</v>
      </c>
      <c r="L197" s="2">
        <v>9025</v>
      </c>
      <c r="M197" s="2">
        <v>0</v>
      </c>
      <c r="N197" s="2">
        <v>9025</v>
      </c>
      <c r="O197" s="2">
        <v>0</v>
      </c>
    </row>
    <row r="198" spans="1:15">
      <c r="A198" s="3" t="s">
        <v>440</v>
      </c>
      <c r="B198" s="2" t="s">
        <v>1615</v>
      </c>
      <c r="C198" s="5">
        <v>44329</v>
      </c>
      <c r="D198" s="2">
        <v>20.22</v>
      </c>
      <c r="E198" s="2">
        <v>0.53</v>
      </c>
      <c r="F198" s="2">
        <v>2.6917</v>
      </c>
      <c r="G198" s="2">
        <v>-2.5716999999999999</v>
      </c>
    </row>
    <row r="199" spans="1:15">
      <c r="A199" s="3" t="s">
        <v>441</v>
      </c>
      <c r="B199" s="2" t="s">
        <v>1616</v>
      </c>
      <c r="C199" s="5">
        <v>44329</v>
      </c>
      <c r="D199" s="2">
        <v>34.355600000000003</v>
      </c>
      <c r="E199" s="2">
        <v>0.1487</v>
      </c>
      <c r="F199" s="2">
        <v>0.43469999999999998</v>
      </c>
      <c r="G199" s="2">
        <v>-0.62749999999999995</v>
      </c>
    </row>
    <row r="200" spans="1:15">
      <c r="A200" s="3" t="s">
        <v>1108</v>
      </c>
      <c r="B200" s="2" t="s">
        <v>1617</v>
      </c>
      <c r="C200" s="5">
        <v>44329</v>
      </c>
      <c r="D200" s="2">
        <v>36.505400000000002</v>
      </c>
      <c r="E200" s="2">
        <v>-1.7000000000000001E-2</v>
      </c>
      <c r="F200" s="2">
        <v>-4.65E-2</v>
      </c>
      <c r="G200" s="2">
        <v>0.1221</v>
      </c>
    </row>
    <row r="201" spans="1:15">
      <c r="A201" s="3" t="s">
        <v>1109</v>
      </c>
      <c r="B201" s="2" t="s">
        <v>1447</v>
      </c>
      <c r="C201" s="5">
        <v>44329</v>
      </c>
      <c r="D201" s="2">
        <v>34.596499999999999</v>
      </c>
      <c r="E201" s="2">
        <v>0.108</v>
      </c>
      <c r="F201" s="2">
        <v>0.31309999999999999</v>
      </c>
      <c r="G201" s="2">
        <v>0.21240000000000001</v>
      </c>
    </row>
    <row r="202" spans="1:15">
      <c r="A202" s="3" t="s">
        <v>1110</v>
      </c>
      <c r="B202" s="2" t="s">
        <v>1618</v>
      </c>
      <c r="C202" s="5">
        <v>44329</v>
      </c>
      <c r="D202" s="2">
        <v>26.3</v>
      </c>
      <c r="E202" s="2">
        <v>0.25</v>
      </c>
      <c r="F202" s="2">
        <v>0.95960000000000001</v>
      </c>
      <c r="G202" s="2">
        <v>-0.57030000000000003</v>
      </c>
    </row>
    <row r="203" spans="1:15">
      <c r="A203" s="3" t="s">
        <v>1279</v>
      </c>
      <c r="B203" s="2" t="s">
        <v>1448</v>
      </c>
      <c r="C203" s="5">
        <v>44329</v>
      </c>
      <c r="D203" s="2">
        <v>36.259599999999999</v>
      </c>
      <c r="E203" s="2">
        <v>7.8899999999999998E-2</v>
      </c>
      <c r="F203" s="2">
        <v>0.218</v>
      </c>
      <c r="G203" s="2">
        <v>-0.1643</v>
      </c>
    </row>
    <row r="204" spans="1:15">
      <c r="A204" s="3" t="s">
        <v>1280</v>
      </c>
      <c r="B204" s="2" t="s">
        <v>1619</v>
      </c>
      <c r="C204" s="5">
        <v>44329</v>
      </c>
      <c r="D204" s="2">
        <v>37.555700000000002</v>
      </c>
      <c r="E204" s="2">
        <v>0.104</v>
      </c>
      <c r="F204" s="2">
        <v>0.27760000000000001</v>
      </c>
      <c r="G204" s="2">
        <v>-0.36130000000000001</v>
      </c>
    </row>
    <row r="205" spans="1:15">
      <c r="A205" s="3" t="s">
        <v>1281</v>
      </c>
      <c r="B205" s="2" t="s">
        <v>1620</v>
      </c>
      <c r="C205" s="5">
        <v>44329</v>
      </c>
      <c r="D205" s="2">
        <v>27.41</v>
      </c>
      <c r="E205" s="2">
        <v>0.12</v>
      </c>
      <c r="F205" s="2">
        <v>0.43969999999999998</v>
      </c>
      <c r="G205" s="2">
        <v>-1.0580000000000001</v>
      </c>
    </row>
    <row r="206" spans="1:15">
      <c r="A206" s="3" t="s">
        <v>1282</v>
      </c>
      <c r="B206" s="2" t="s">
        <v>1621</v>
      </c>
      <c r="C206" s="5">
        <v>44329</v>
      </c>
      <c r="D206" s="2">
        <v>37.774900000000002</v>
      </c>
      <c r="E206" s="2">
        <v>0.25240000000000001</v>
      </c>
      <c r="F206" s="2">
        <v>0.67259999999999998</v>
      </c>
      <c r="G206" s="2">
        <v>-0.70120000000000005</v>
      </c>
    </row>
    <row r="207" spans="1:15">
      <c r="A207" s="3" t="s">
        <v>1283</v>
      </c>
      <c r="B207" s="2" t="s">
        <v>1449</v>
      </c>
      <c r="C207" s="5">
        <v>44329</v>
      </c>
      <c r="D207" s="2">
        <v>37.795099999999998</v>
      </c>
      <c r="E207" s="2">
        <v>0.24679999999999999</v>
      </c>
      <c r="F207" s="2">
        <v>0.65720000000000001</v>
      </c>
      <c r="G207" s="2">
        <v>-0.3574</v>
      </c>
    </row>
    <row r="208" spans="1:15">
      <c r="A208" s="3" t="s">
        <v>1284</v>
      </c>
      <c r="B208" s="2" t="s">
        <v>1622</v>
      </c>
      <c r="C208" s="5">
        <v>44329</v>
      </c>
      <c r="D208" s="2">
        <v>36.8598</v>
      </c>
      <c r="E208" s="2">
        <v>7.1199999999999999E-2</v>
      </c>
      <c r="F208" s="2">
        <v>0.19350000000000001</v>
      </c>
      <c r="G208" s="2">
        <v>-0.24360000000000001</v>
      </c>
    </row>
    <row r="209" spans="1:15">
      <c r="A209" s="3" t="s">
        <v>1285</v>
      </c>
      <c r="B209" s="2" t="s">
        <v>1623</v>
      </c>
      <c r="C209" s="5">
        <v>44329</v>
      </c>
      <c r="D209" s="2">
        <v>36.936999999999998</v>
      </c>
      <c r="E209" s="2">
        <v>8.0699999999999994E-2</v>
      </c>
      <c r="F209" s="2">
        <v>0.21890000000000001</v>
      </c>
      <c r="G209" s="2">
        <v>-0.9123</v>
      </c>
    </row>
    <row r="210" spans="1:15">
      <c r="A210" s="3" t="s">
        <v>1286</v>
      </c>
      <c r="B210" s="2" t="s">
        <v>1450</v>
      </c>
      <c r="C210" s="5">
        <v>44329</v>
      </c>
      <c r="D210" s="2">
        <v>37.850999999999999</v>
      </c>
      <c r="E210" s="2">
        <v>0.1762</v>
      </c>
      <c r="F210" s="2">
        <v>0.46760000000000002</v>
      </c>
      <c r="G210" s="2">
        <v>-2.5999999999999999E-3</v>
      </c>
      <c r="K210" s="2">
        <v>7140598</v>
      </c>
      <c r="L210" s="2">
        <v>188650</v>
      </c>
      <c r="M210" s="2">
        <v>0</v>
      </c>
      <c r="N210" s="2">
        <v>188650</v>
      </c>
      <c r="O210" s="2">
        <v>0</v>
      </c>
    </row>
    <row r="211" spans="1:15">
      <c r="A211" s="3" t="s">
        <v>1313</v>
      </c>
      <c r="C211" s="5"/>
    </row>
    <row r="212" spans="1:15">
      <c r="A212" s="3" t="s">
        <v>1314</v>
      </c>
      <c r="B212" s="2" t="s">
        <v>1624</v>
      </c>
      <c r="C212" s="5">
        <v>44329</v>
      </c>
      <c r="D212" s="2">
        <v>36.443600000000004</v>
      </c>
      <c r="E212" s="2">
        <v>0.14749999999999999</v>
      </c>
      <c r="F212" s="2">
        <v>0.40629999999999999</v>
      </c>
      <c r="G212" s="2">
        <v>-9.7999999999999997E-3</v>
      </c>
    </row>
    <row r="213" spans="1:15">
      <c r="A213" s="3" t="s">
        <v>1317</v>
      </c>
      <c r="B213" s="2" t="s">
        <v>1451</v>
      </c>
      <c r="C213" s="5">
        <v>44329</v>
      </c>
      <c r="D213" s="2">
        <v>36.991500000000002</v>
      </c>
      <c r="E213" s="2">
        <v>-0.1249</v>
      </c>
      <c r="F213" s="2">
        <v>-0.33650000000000002</v>
      </c>
      <c r="G213" s="2">
        <v>0.26619999999999999</v>
      </c>
    </row>
    <row r="214" spans="1:15">
      <c r="A214" s="3" t="s">
        <v>1318</v>
      </c>
      <c r="B214" s="2" t="s">
        <v>1625</v>
      </c>
      <c r="C214" s="5">
        <v>44329</v>
      </c>
      <c r="D214" s="2">
        <v>37.569400000000002</v>
      </c>
      <c r="E214" s="2">
        <v>6.4000000000000001E-2</v>
      </c>
      <c r="F214" s="2">
        <v>0.1706</v>
      </c>
      <c r="G214" s="2">
        <v>-0.1048</v>
      </c>
      <c r="K214" s="2">
        <v>154410</v>
      </c>
      <c r="L214" s="2">
        <v>4110</v>
      </c>
      <c r="M214" s="2">
        <v>0</v>
      </c>
      <c r="N214" s="2">
        <v>4110</v>
      </c>
      <c r="O214" s="2">
        <v>0</v>
      </c>
    </row>
    <row r="215" spans="1:15">
      <c r="A215" s="3" t="s">
        <v>1358</v>
      </c>
      <c r="B215" s="2" t="s">
        <v>1456</v>
      </c>
      <c r="C215" s="5">
        <v>44329</v>
      </c>
      <c r="D215" s="2">
        <v>29.33</v>
      </c>
      <c r="E215" s="2">
        <v>0.08</v>
      </c>
      <c r="F215" s="2">
        <v>0.27350000000000002</v>
      </c>
      <c r="G215" s="2">
        <v>-0.1363</v>
      </c>
    </row>
    <row r="216" spans="1:15">
      <c r="A216" s="3" t="s">
        <v>1427</v>
      </c>
      <c r="B216" s="2" t="s">
        <v>1452</v>
      </c>
      <c r="C216" s="5">
        <v>44329</v>
      </c>
      <c r="D216" s="2">
        <v>26.6</v>
      </c>
      <c r="E216" s="2">
        <v>0.02</v>
      </c>
      <c r="F216" s="2">
        <v>7.5200000000000003E-2</v>
      </c>
      <c r="G216" s="2">
        <v>-0.18790000000000001</v>
      </c>
    </row>
    <row r="217" spans="1:15">
      <c r="A217" s="3" t="s">
        <v>1429</v>
      </c>
      <c r="B217" s="2" t="s">
        <v>1626</v>
      </c>
      <c r="C217" s="5">
        <v>44329</v>
      </c>
      <c r="D217" s="2">
        <v>17.77</v>
      </c>
      <c r="E217" s="2">
        <v>-0.04</v>
      </c>
      <c r="F217" s="2">
        <v>-0.22450000000000001</v>
      </c>
      <c r="G217" s="2">
        <v>0.33760000000000001</v>
      </c>
      <c r="K217" s="2">
        <v>18820983</v>
      </c>
      <c r="L217" s="2">
        <v>1059290</v>
      </c>
      <c r="M217" s="2">
        <v>2000</v>
      </c>
      <c r="N217" s="2">
        <v>1059290</v>
      </c>
      <c r="O217" s="2">
        <v>2000</v>
      </c>
    </row>
    <row r="218" spans="1:15">
      <c r="A218" s="3" t="s">
        <v>2354</v>
      </c>
      <c r="B218" s="2" t="s">
        <v>2356</v>
      </c>
      <c r="C218" s="5">
        <v>44329</v>
      </c>
      <c r="D218" s="2">
        <v>16.14</v>
      </c>
      <c r="E218" s="2">
        <v>-0.05</v>
      </c>
      <c r="F218" s="2">
        <v>-0.30880000000000002</v>
      </c>
      <c r="G218" s="2">
        <v>0.49559999999999998</v>
      </c>
      <c r="K218" s="2">
        <v>36661846</v>
      </c>
      <c r="L218" s="2">
        <v>2271903</v>
      </c>
      <c r="M218" s="2">
        <v>17500</v>
      </c>
      <c r="N218" s="2">
        <v>2271903</v>
      </c>
      <c r="O218" s="2">
        <v>17500</v>
      </c>
    </row>
    <row r="219" spans="1:15">
      <c r="A219" s="3" t="s">
        <v>2631</v>
      </c>
      <c r="B219" s="2" t="s">
        <v>2634</v>
      </c>
      <c r="C219" s="5">
        <v>44329</v>
      </c>
      <c r="D219" s="2">
        <v>15.05</v>
      </c>
      <c r="E219" s="2">
        <v>-0.14000000000000001</v>
      </c>
      <c r="F219" s="2">
        <v>-0.92159999999999997</v>
      </c>
      <c r="G219" s="2">
        <v>1.3953</v>
      </c>
      <c r="K219" s="2">
        <v>10027502</v>
      </c>
      <c r="L219" s="2">
        <v>666238</v>
      </c>
      <c r="M219" s="2">
        <v>0</v>
      </c>
      <c r="N219" s="2">
        <v>666238</v>
      </c>
      <c r="O219" s="2">
        <v>0</v>
      </c>
    </row>
    <row r="220" spans="1:15">
      <c r="A220" s="3"/>
      <c r="C220" s="5"/>
    </row>
    <row r="221" spans="1:15">
      <c r="A221" s="3"/>
      <c r="C221" s="5"/>
    </row>
    <row r="222" spans="1:15">
      <c r="A222" s="3"/>
      <c r="C222" s="5"/>
    </row>
    <row r="223" spans="1:15">
      <c r="A223" s="3"/>
      <c r="C223" s="5"/>
    </row>
    <row r="224" spans="1:15">
      <c r="A224" s="3"/>
      <c r="C224" s="5"/>
    </row>
    <row r="225" spans="1:3">
      <c r="A225" s="3"/>
      <c r="C225" s="5"/>
    </row>
    <row r="226" spans="1:3">
      <c r="A226" s="3"/>
      <c r="C226" s="5"/>
    </row>
    <row r="227" spans="1:3">
      <c r="A227" s="3"/>
      <c r="C227" s="5"/>
    </row>
    <row r="228" spans="1:3">
      <c r="A228" s="3"/>
      <c r="C228" s="5"/>
    </row>
    <row r="229" spans="1:3">
      <c r="C229" s="5"/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"/>
  <sheetViews>
    <sheetView workbookViewId="0">
      <selection activeCell="J17" sqref="J16:J17"/>
    </sheetView>
  </sheetViews>
  <sheetFormatPr defaultRowHeight="16.5"/>
  <sheetData/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P360"/>
  <sheetViews>
    <sheetView workbookViewId="0">
      <pane xSplit="2" ySplit="5" topLeftCell="C210" activePane="bottomRight" state="frozen"/>
      <selection pane="topRight" activeCell="C1" sqref="C1"/>
      <selection pane="bottomLeft" activeCell="A6" sqref="A6"/>
      <selection pane="bottomRight" activeCell="A2" sqref="A2"/>
    </sheetView>
  </sheetViews>
  <sheetFormatPr defaultColWidth="9" defaultRowHeight="16.5"/>
  <cols>
    <col min="2" max="2" width="12.875" customWidth="1"/>
    <col min="4" max="16384" width="9" style="2"/>
  </cols>
  <sheetData>
    <row r="1" spans="1:16">
      <c r="A1" t="s">
        <v>1107</v>
      </c>
      <c r="B1" t="s">
        <v>2693</v>
      </c>
      <c r="C1" t="s">
        <v>2698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413</v>
      </c>
      <c r="P1" s="2" t="s">
        <v>695</v>
      </c>
    </row>
    <row r="2" spans="1:16">
      <c r="A2" t="s">
        <v>2691</v>
      </c>
      <c r="B2" t="s">
        <v>2694</v>
      </c>
    </row>
    <row r="3" spans="1:16">
      <c r="A3" t="s">
        <v>2692</v>
      </c>
      <c r="B3" t="s">
        <v>2695</v>
      </c>
      <c r="C3" t="s">
        <v>2733</v>
      </c>
    </row>
    <row r="5" spans="1:16">
      <c r="A5" t="s">
        <v>2696</v>
      </c>
      <c r="B5" t="s">
        <v>2697</v>
      </c>
      <c r="C5" t="s">
        <v>2733</v>
      </c>
      <c r="D5" s="2" t="s">
        <v>8</v>
      </c>
      <c r="E5" s="2" t="s">
        <v>9</v>
      </c>
      <c r="F5" s="2" t="s">
        <v>10</v>
      </c>
      <c r="G5" s="2" t="s">
        <v>11</v>
      </c>
      <c r="H5" s="2" t="s">
        <v>413</v>
      </c>
      <c r="I5" s="2" t="s">
        <v>1327</v>
      </c>
    </row>
    <row r="6" spans="1:16">
      <c r="A6" s="26" t="s">
        <v>12</v>
      </c>
      <c r="B6" t="s">
        <v>516</v>
      </c>
      <c r="C6">
        <v>128.94999999999999</v>
      </c>
      <c r="D6" s="2">
        <f xml:space="preserve"> [2]!'0050.TW-PreClose'</f>
        <v>127.5</v>
      </c>
      <c r="E6" s="2">
        <f xml:space="preserve"> [2]!'0050.TW-Price'</f>
        <v>128.94999999999999</v>
      </c>
      <c r="F6" s="2">
        <f xml:space="preserve"> [2]!'0050.TW-BestBid1'</f>
        <v>128.9</v>
      </c>
      <c r="G6" s="2">
        <f xml:space="preserve"> [2]!'0050.TW-BestAsk1'</f>
        <v>128.94999999999999</v>
      </c>
      <c r="H6" s="2">
        <f xml:space="preserve"> [2]!'0050.TW-Open'</f>
        <v>128.5</v>
      </c>
      <c r="I6" s="2">
        <f xml:space="preserve"> [2]!'0050N.TW-Price'</f>
        <v>128.80000000000001</v>
      </c>
    </row>
    <row r="7" spans="1:16">
      <c r="A7" s="26" t="s">
        <v>13</v>
      </c>
      <c r="B7" t="s">
        <v>517</v>
      </c>
      <c r="C7">
        <v>48.82</v>
      </c>
      <c r="D7" s="2">
        <f xml:space="preserve"> [2]!'0051.TW-PreClose'</f>
        <v>48.79</v>
      </c>
      <c r="E7" s="2">
        <f xml:space="preserve"> [2]!'0051.TW-Price'</f>
        <v>48.82</v>
      </c>
      <c r="F7" s="2">
        <f xml:space="preserve"> [2]!'0051.TW-BestBid1'</f>
        <v>48.82</v>
      </c>
      <c r="G7" s="2">
        <f xml:space="preserve"> [2]!'0051.TW-BestAsk1'</f>
        <v>49</v>
      </c>
      <c r="H7" s="2">
        <f xml:space="preserve"> [2]!'0051.TW-Open'</f>
        <v>49.3</v>
      </c>
      <c r="I7" s="2">
        <f xml:space="preserve"> [2]!'0051N.TW-Price'</f>
        <v>48.9</v>
      </c>
    </row>
    <row r="8" spans="1:16">
      <c r="A8" s="26" t="s">
        <v>14</v>
      </c>
      <c r="B8" t="s">
        <v>518</v>
      </c>
      <c r="C8">
        <v>116.15</v>
      </c>
      <c r="D8" s="2">
        <f xml:space="preserve"> [2]!'0052.TW-PreClose'</f>
        <v>114.4</v>
      </c>
      <c r="E8" s="2">
        <f xml:space="preserve"> [2]!'0052.TW-Price'</f>
        <v>116.15</v>
      </c>
      <c r="F8" s="2">
        <f xml:space="preserve"> [2]!'0052.TW-BestBid1'</f>
        <v>116</v>
      </c>
      <c r="G8" s="2">
        <f xml:space="preserve"> [2]!'0052.TW-BestAsk1'</f>
        <v>116.15</v>
      </c>
      <c r="H8" s="2">
        <f xml:space="preserve"> [2]!'0052.TW-Open'</f>
        <v>116.5</v>
      </c>
      <c r="I8" s="2">
        <f xml:space="preserve"> [2]!'0052N.TW-Price'</f>
        <v>115.94</v>
      </c>
    </row>
    <row r="9" spans="1:16">
      <c r="A9" s="26" t="s">
        <v>15</v>
      </c>
      <c r="B9" t="s">
        <v>519</v>
      </c>
      <c r="C9">
        <v>61.1</v>
      </c>
      <c r="D9" s="2">
        <f xml:space="preserve"> [2]!'0053.TW-PreClose'</f>
        <v>60</v>
      </c>
      <c r="E9" s="2">
        <f xml:space="preserve"> [2]!'0053.TW-Price'</f>
        <v>61.1</v>
      </c>
      <c r="F9" s="2">
        <f xml:space="preserve"> [2]!'0053.TW-BestBid1'</f>
        <v>60.85</v>
      </c>
      <c r="G9" s="2">
        <f xml:space="preserve"> [2]!'0053.TW-BestAsk1'</f>
        <v>61.2</v>
      </c>
      <c r="H9" s="2">
        <f xml:space="preserve"> [2]!'0053.TW-Open'</f>
        <v>61.3</v>
      </c>
      <c r="I9" s="2">
        <f xml:space="preserve"> [2]!'0053N.TW-Price'</f>
        <v>61.39</v>
      </c>
    </row>
    <row r="10" spans="1:16">
      <c r="A10" s="26" t="s">
        <v>16</v>
      </c>
      <c r="B10" t="s">
        <v>520</v>
      </c>
      <c r="C10">
        <v>29.12</v>
      </c>
      <c r="D10" s="2">
        <f xml:space="preserve"> [2]!'0054.TW-PreClose'</f>
        <v>28.74</v>
      </c>
      <c r="E10" s="2">
        <f xml:space="preserve"> [2]!'0054.TW-Price'</f>
        <v>29.12</v>
      </c>
      <c r="F10" s="2">
        <f xml:space="preserve"> [2]!'0054.TW-BestBid1'</f>
        <v>29.12</v>
      </c>
      <c r="G10" s="2">
        <f xml:space="preserve"> [2]!'0054.TW-BestAsk1'</f>
        <v>29.25</v>
      </c>
      <c r="H10" s="2">
        <f xml:space="preserve"> [2]!'0054.TW-Open'</f>
        <v>28.88</v>
      </c>
      <c r="I10" s="2">
        <f xml:space="preserve"> [2]!'0054N.TW-Price'</f>
        <v>29.29</v>
      </c>
    </row>
    <row r="11" spans="1:16">
      <c r="A11" s="26" t="s">
        <v>17</v>
      </c>
      <c r="B11" t="s">
        <v>521</v>
      </c>
      <c r="C11">
        <v>20.38</v>
      </c>
      <c r="D11" s="2">
        <f xml:space="preserve"> [2]!'0055.TW-PreClose'</f>
        <v>20.28</v>
      </c>
      <c r="E11" s="2">
        <f xml:space="preserve"> [2]!'0055.TW-Price'</f>
        <v>20.38</v>
      </c>
      <c r="F11" s="2">
        <f xml:space="preserve"> [2]!'0055.TW-BestBid1'</f>
        <v>20.38</v>
      </c>
      <c r="G11" s="2">
        <f xml:space="preserve"> [2]!'0055.TW-BestAsk1'</f>
        <v>20.39</v>
      </c>
      <c r="H11" s="2">
        <f xml:space="preserve"> [2]!'0055.TW-Open'</f>
        <v>20.41</v>
      </c>
      <c r="I11" s="2">
        <f xml:space="preserve"> [2]!'0055N.TW-Price'</f>
        <v>20.43</v>
      </c>
    </row>
    <row r="12" spans="1:16">
      <c r="A12" s="26" t="s">
        <v>18</v>
      </c>
      <c r="B12" t="s">
        <v>522</v>
      </c>
      <c r="C12">
        <v>33.65</v>
      </c>
      <c r="D12" s="2">
        <f xml:space="preserve"> [2]!'0056.TW-PreClose'</f>
        <v>33.4</v>
      </c>
      <c r="E12" s="2">
        <f xml:space="preserve"> [2]!'0056.TW-Price'</f>
        <v>33.65</v>
      </c>
      <c r="F12" s="2">
        <f xml:space="preserve"> [2]!'0056.TW-BestBid1'</f>
        <v>33.64</v>
      </c>
      <c r="G12" s="2">
        <f xml:space="preserve"> [2]!'0056.TW-BestAsk1'</f>
        <v>33.65</v>
      </c>
      <c r="H12" s="2">
        <f xml:space="preserve"> [2]!'0056.TW-Open'</f>
        <v>33.5</v>
      </c>
      <c r="I12" s="2">
        <f xml:space="preserve"> [2]!'0056N.TW-Price'</f>
        <v>33.549999999999997</v>
      </c>
    </row>
    <row r="13" spans="1:16">
      <c r="A13" s="26" t="s">
        <v>19</v>
      </c>
      <c r="B13" t="s">
        <v>523</v>
      </c>
      <c r="C13">
        <v>86.8</v>
      </c>
      <c r="D13" s="2">
        <f xml:space="preserve"> [2]!'0057.TW-PreClose'</f>
        <v>86</v>
      </c>
      <c r="E13" s="2">
        <f xml:space="preserve"> [2]!'0057.TW-Price'</f>
        <v>86.8</v>
      </c>
      <c r="F13" s="2">
        <f xml:space="preserve"> [2]!'0057.TW-BestBid1'</f>
        <v>86.75</v>
      </c>
      <c r="G13" s="2">
        <f xml:space="preserve"> [2]!'0057.TW-BestAsk1'</f>
        <v>87.15</v>
      </c>
      <c r="H13" s="2">
        <f xml:space="preserve"> [2]!'0057.TW-Open'</f>
        <v>87</v>
      </c>
      <c r="I13" s="2">
        <f xml:space="preserve"> [2]!'0057N.TW-Price'</f>
        <v>87.72</v>
      </c>
    </row>
    <row r="14" spans="1:16">
      <c r="A14" s="26" t="s">
        <v>22</v>
      </c>
      <c r="B14" t="s">
        <v>363</v>
      </c>
      <c r="C14">
        <v>23.37</v>
      </c>
      <c r="D14" s="2">
        <f xml:space="preserve"> [2]!'0061.TW-PreClose'</f>
        <v>22.98</v>
      </c>
      <c r="E14" s="2">
        <f xml:space="preserve"> [2]!'0061.TW-Price'</f>
        <v>23.37</v>
      </c>
      <c r="F14" s="2">
        <f xml:space="preserve"> [2]!'0061.TW-BestBid1'</f>
        <v>23.35</v>
      </c>
      <c r="G14" s="2">
        <f xml:space="preserve"> [2]!'0061.TW-BestAsk1'</f>
        <v>23.37</v>
      </c>
      <c r="H14" s="2">
        <f xml:space="preserve"> [2]!'0061.TW-Open'</f>
        <v>22.98</v>
      </c>
      <c r="I14" s="2">
        <f xml:space="preserve"> [2]!'0061N.TW-Price'</f>
        <v>23.71</v>
      </c>
    </row>
    <row r="15" spans="1:16">
      <c r="A15" s="26" t="s">
        <v>23</v>
      </c>
      <c r="B15" t="s">
        <v>526</v>
      </c>
      <c r="C15">
        <v>17.63</v>
      </c>
      <c r="D15" s="2">
        <f xml:space="preserve"> [2]!'006201.TW-PreClose'</f>
        <v>17.64</v>
      </c>
      <c r="E15" s="2">
        <f xml:space="preserve"> [2]!'006201.TW-Price'</f>
        <v>17.63</v>
      </c>
      <c r="F15" s="2">
        <f xml:space="preserve"> [2]!'006201.TW-BestBid1'</f>
        <v>17.63</v>
      </c>
      <c r="G15" s="2">
        <f xml:space="preserve"> [2]!'006201.TW-BestAsk1'</f>
        <v>17.690000000000001</v>
      </c>
      <c r="H15" s="2">
        <f xml:space="preserve"> [2]!'006201.TW-Open'</f>
        <v>17.760000000000002</v>
      </c>
      <c r="I15" s="2">
        <f xml:space="preserve"> [2]!'006201N.TW-Price'</f>
        <v>17.510000000000002</v>
      </c>
    </row>
    <row r="16" spans="1:16">
      <c r="A16" s="26" t="s">
        <v>24</v>
      </c>
      <c r="B16" t="s">
        <v>527</v>
      </c>
      <c r="C16">
        <v>60.4</v>
      </c>
      <c r="D16" s="2">
        <f xml:space="preserve"> [2]!'006203.TW-PreClose'</f>
        <v>60.15</v>
      </c>
      <c r="E16" s="2">
        <f xml:space="preserve"> [2]!'006203.TW-Price'</f>
        <v>60.4</v>
      </c>
      <c r="F16" s="2">
        <f xml:space="preserve"> [2]!'006203.TW-BestBid1'</f>
        <v>60.45</v>
      </c>
      <c r="G16" s="2">
        <f xml:space="preserve"> [2]!'006203.TW-BestAsk1'</f>
        <v>60.7</v>
      </c>
      <c r="H16" s="2">
        <f xml:space="preserve"> [2]!'006203.TW-Open'</f>
        <v>60.9</v>
      </c>
      <c r="I16" s="2">
        <f xml:space="preserve"> [2]!'006203N.TW-Price'</f>
        <v>60.87</v>
      </c>
    </row>
    <row r="17" spans="1:9">
      <c r="A17" s="26" t="s">
        <v>25</v>
      </c>
      <c r="B17" t="s">
        <v>528</v>
      </c>
      <c r="C17">
        <v>80.2</v>
      </c>
      <c r="D17" s="2">
        <f xml:space="preserve"> [2]!'006204.TW-PreClose'</f>
        <v>81</v>
      </c>
      <c r="E17" s="2">
        <f xml:space="preserve"> [2]!'006204.TW-Price'</f>
        <v>80.2</v>
      </c>
      <c r="F17" s="2">
        <f xml:space="preserve"> [2]!'006204.TW-BestBid1'</f>
        <v>80.150000000000006</v>
      </c>
      <c r="G17" s="2">
        <f xml:space="preserve"> [2]!'006204.TW-BestAsk1'</f>
        <v>80.45</v>
      </c>
      <c r="H17" s="2">
        <f xml:space="preserve"> [2]!'006204.TW-Open'</f>
        <v>81</v>
      </c>
      <c r="I17" s="2">
        <f xml:space="preserve"> [2]!'006204N.TW-Price'</f>
        <v>80.39</v>
      </c>
    </row>
    <row r="18" spans="1:9">
      <c r="A18" s="26" t="s">
        <v>26</v>
      </c>
      <c r="B18" t="s">
        <v>364</v>
      </c>
      <c r="C18">
        <v>37.950000000000003</v>
      </c>
      <c r="D18" s="2">
        <f xml:space="preserve"> [2]!'006205.TW-PreClose'</f>
        <v>37.15</v>
      </c>
      <c r="E18" s="2">
        <f xml:space="preserve"> [2]!'006205.TW-Price'</f>
        <v>37.950000000000003</v>
      </c>
      <c r="F18" s="2">
        <f xml:space="preserve"> [2]!'006205.TW-BestBid1'</f>
        <v>37.950000000000003</v>
      </c>
      <c r="G18" s="2">
        <f xml:space="preserve"> [2]!'006205.TW-BestAsk1'</f>
        <v>37.96</v>
      </c>
      <c r="H18" s="2">
        <f xml:space="preserve"> [2]!'006205.TW-Open'</f>
        <v>37.299999999999997</v>
      </c>
      <c r="I18" s="2">
        <f xml:space="preserve"> [2]!'006205N.TW-Price'</f>
        <v>38.200000000000003</v>
      </c>
    </row>
    <row r="19" spans="1:9">
      <c r="A19" s="26" t="s">
        <v>27</v>
      </c>
      <c r="B19" t="s">
        <v>365</v>
      </c>
      <c r="C19">
        <v>38.049999999999997</v>
      </c>
      <c r="D19" s="2">
        <f xml:space="preserve"> [2]!'006206.TW-PreClose'</f>
        <v>37.15</v>
      </c>
      <c r="E19" s="2">
        <f xml:space="preserve"> [2]!'006206.TW-Price'</f>
        <v>38.049999999999997</v>
      </c>
      <c r="F19" s="2">
        <f xml:space="preserve"> [2]!'006206.TW-BestBid1'</f>
        <v>38.049999999999997</v>
      </c>
      <c r="G19" s="2">
        <f xml:space="preserve"> [2]!'006206.TW-BestAsk1'</f>
        <v>38.06</v>
      </c>
      <c r="H19" s="2">
        <f xml:space="preserve"> [2]!'006206.TW-Open'</f>
        <v>37.31</v>
      </c>
      <c r="I19" s="2">
        <f xml:space="preserve"> [2]!'006206N.TW-Price'</f>
        <v>38.47</v>
      </c>
    </row>
    <row r="20" spans="1:9">
      <c r="A20" s="26" t="s">
        <v>28</v>
      </c>
      <c r="B20" t="s">
        <v>366</v>
      </c>
      <c r="C20">
        <v>30.62</v>
      </c>
      <c r="D20" s="2">
        <f xml:space="preserve"> [2]!'006207.TW-PreClose'</f>
        <v>30.03</v>
      </c>
      <c r="E20" s="2">
        <f xml:space="preserve"> [2]!'006207.TW-Price'</f>
        <v>30.62</v>
      </c>
      <c r="F20" s="2">
        <f xml:space="preserve"> [2]!'006207.TW-BestBid1'</f>
        <v>30.61</v>
      </c>
      <c r="G20" s="2">
        <f xml:space="preserve"> [2]!'006207.TW-BestAsk1'</f>
        <v>30.64</v>
      </c>
      <c r="H20" s="2">
        <f xml:space="preserve"> [2]!'006207.TW-Open'</f>
        <v>30.05</v>
      </c>
      <c r="I20" s="2">
        <f xml:space="preserve"> [2]!'006207N.TW-Price'</f>
        <v>30.94</v>
      </c>
    </row>
    <row r="21" spans="1:9">
      <c r="A21" s="26" t="s">
        <v>29</v>
      </c>
      <c r="B21" t="s">
        <v>367</v>
      </c>
      <c r="C21">
        <v>74.099999999999994</v>
      </c>
      <c r="D21" s="2">
        <f xml:space="preserve"> [2]!'006208.TW-PreClose'</f>
        <v>73.099999999999994</v>
      </c>
      <c r="E21" s="2">
        <f xml:space="preserve"> [2]!'006208.TW-Price'</f>
        <v>74.099999999999994</v>
      </c>
      <c r="F21" s="2">
        <f xml:space="preserve"> [2]!'006208.TW-BestBid1'</f>
        <v>74.05</v>
      </c>
      <c r="G21" s="2">
        <f xml:space="preserve"> [2]!'006208.TW-BestAsk1'</f>
        <v>74.099999999999994</v>
      </c>
      <c r="H21" s="2">
        <f xml:space="preserve"> [2]!'006208.TW-Open'</f>
        <v>73.5</v>
      </c>
      <c r="I21" s="2">
        <f xml:space="preserve"> [2]!'006208N.TW-Price'</f>
        <v>73.92</v>
      </c>
    </row>
    <row r="22" spans="1:9">
      <c r="A22" s="26" t="s">
        <v>30</v>
      </c>
      <c r="B22" t="s">
        <v>529</v>
      </c>
      <c r="C22">
        <v>8.7100000000000009</v>
      </c>
      <c r="D22" s="2">
        <f xml:space="preserve"> [2]!'00625K.TW-PreClose'</f>
        <v>8.7100000000000009</v>
      </c>
      <c r="E22" s="2" t="str">
        <f xml:space="preserve"> [2]!'00625K.TW-Price'</f>
        <v>--</v>
      </c>
      <c r="F22" s="2">
        <f xml:space="preserve"> [2]!'00625K.TW-BestBid1'</f>
        <v>8.69</v>
      </c>
      <c r="G22" s="2">
        <f xml:space="preserve"> [2]!'00625K.TW-BestAsk1'</f>
        <v>8.8800000000000008</v>
      </c>
      <c r="H22" s="2" t="str">
        <f xml:space="preserve"> [2]!'00625K.TW-Open'</f>
        <v>--</v>
      </c>
      <c r="I22" s="2">
        <f xml:space="preserve"> [2]!'00625KN.TW-Price'</f>
        <v>8.7899999999999991</v>
      </c>
    </row>
    <row r="23" spans="1:9">
      <c r="A23" s="26" t="s">
        <v>31</v>
      </c>
      <c r="B23" t="s">
        <v>368</v>
      </c>
      <c r="C23">
        <v>105.2</v>
      </c>
      <c r="D23" s="2">
        <f xml:space="preserve"> [2]!'00631L.TW-PreClose'</f>
        <v>102.6</v>
      </c>
      <c r="E23" s="2">
        <f xml:space="preserve"> [2]!'00631L.TW-Price'</f>
        <v>105.2</v>
      </c>
      <c r="F23" s="2">
        <f xml:space="preserve"> [2]!'00631L.TW-BestBid1'</f>
        <v>105.15</v>
      </c>
      <c r="G23" s="2">
        <f xml:space="preserve"> [2]!'00631L.TW-BestAsk1'</f>
        <v>105.2</v>
      </c>
      <c r="H23" s="2">
        <f xml:space="preserve"> [2]!'00631L.TW-Open'</f>
        <v>105.5</v>
      </c>
      <c r="I23" s="2">
        <f xml:space="preserve"> [2]!'00631LN.TW-Price'</f>
        <v>104.77</v>
      </c>
    </row>
    <row r="24" spans="1:9">
      <c r="A24" s="26" t="s">
        <v>32</v>
      </c>
      <c r="B24" t="s">
        <v>369</v>
      </c>
      <c r="C24">
        <v>6.3</v>
      </c>
      <c r="D24" s="2">
        <f xml:space="preserve"> [2]!'00632R.TW-PreClose'</f>
        <v>6.35</v>
      </c>
      <c r="E24" s="2">
        <f xml:space="preserve"> [2]!'00632R.TW-Price'</f>
        <v>6.3</v>
      </c>
      <c r="F24" s="2">
        <f xml:space="preserve"> [2]!'00632R.TW-BestBid1'</f>
        <v>6.29</v>
      </c>
      <c r="G24" s="2">
        <f xml:space="preserve"> [2]!'00632R.TW-BestAsk1'</f>
        <v>6.3</v>
      </c>
      <c r="H24" s="2">
        <f xml:space="preserve"> [2]!'00632R.TW-Open'</f>
        <v>6.26</v>
      </c>
      <c r="I24" s="2">
        <f xml:space="preserve"> [2]!'00632RN.TW-Price'</f>
        <v>6.29</v>
      </c>
    </row>
    <row r="25" spans="1:9">
      <c r="A25" s="26" t="s">
        <v>33</v>
      </c>
      <c r="B25" t="s">
        <v>370</v>
      </c>
      <c r="C25">
        <v>66.5</v>
      </c>
      <c r="D25" s="2">
        <f xml:space="preserve"> [2]!'00633L.TW-PreClose'</f>
        <v>63.1</v>
      </c>
      <c r="E25" s="2">
        <f xml:space="preserve"> [2]!'00633L.TW-Price'</f>
        <v>66.5</v>
      </c>
      <c r="F25" s="2">
        <f xml:space="preserve"> [2]!'00633L.TW-BestBid1'</f>
        <v>66.45</v>
      </c>
      <c r="G25" s="2">
        <f xml:space="preserve"> [2]!'00633L.TW-BestAsk1'</f>
        <v>66.5</v>
      </c>
      <c r="H25" s="2">
        <f xml:space="preserve"> [2]!'00633L.TW-Open'</f>
        <v>64.099999999999994</v>
      </c>
      <c r="I25" s="2">
        <f xml:space="preserve"> [2]!'00633LN.TW-Price'</f>
        <v>66.97</v>
      </c>
    </row>
    <row r="26" spans="1:9">
      <c r="A26" s="26" t="s">
        <v>34</v>
      </c>
      <c r="B26" t="s">
        <v>371</v>
      </c>
      <c r="C26">
        <v>3.9</v>
      </c>
      <c r="D26" s="2">
        <f xml:space="preserve"> [2]!'00634R.TW-PreClose'</f>
        <v>4</v>
      </c>
      <c r="E26" s="2">
        <f xml:space="preserve"> [2]!'00634R.TW-Price'</f>
        <v>3.9</v>
      </c>
      <c r="F26" s="2">
        <f xml:space="preserve"> [2]!'00634R.TW-BestBid1'</f>
        <v>3.89</v>
      </c>
      <c r="G26" s="2">
        <f xml:space="preserve"> [2]!'00634R.TW-BestAsk1'</f>
        <v>3.9</v>
      </c>
      <c r="H26" s="2">
        <f xml:space="preserve"> [2]!'00634R.TW-Open'</f>
        <v>3.96</v>
      </c>
      <c r="I26" s="2">
        <f xml:space="preserve"> [2]!'00634RN.TW-Price'</f>
        <v>3.89</v>
      </c>
    </row>
    <row r="27" spans="1:9">
      <c r="A27" s="26" t="s">
        <v>35</v>
      </c>
      <c r="B27" t="s">
        <v>2513</v>
      </c>
      <c r="C27">
        <v>24.46</v>
      </c>
      <c r="D27" s="2">
        <f xml:space="preserve"> [2]!'00635U.TW-PreClose'</f>
        <v>24.4</v>
      </c>
      <c r="E27" s="2">
        <f xml:space="preserve"> [2]!'00635U.TW-Price'</f>
        <v>24.46</v>
      </c>
      <c r="F27" s="2">
        <f xml:space="preserve"> [2]!'00635U.TW-BestBid1'</f>
        <v>24.45</v>
      </c>
      <c r="G27" s="2">
        <f xml:space="preserve"> [2]!'00635U.TW-BestAsk1'</f>
        <v>24.46</v>
      </c>
      <c r="H27" s="2">
        <f xml:space="preserve"> [2]!'00635U.TW-Open'</f>
        <v>24.48</v>
      </c>
      <c r="I27" s="2">
        <f xml:space="preserve"> [2]!'00635UN.TW-Price'</f>
        <v>24.63</v>
      </c>
    </row>
    <row r="28" spans="1:9">
      <c r="A28" s="26" t="s">
        <v>36</v>
      </c>
      <c r="B28" t="s">
        <v>372</v>
      </c>
      <c r="C28">
        <v>27.11</v>
      </c>
      <c r="D28" s="2">
        <f xml:space="preserve"> [2]!'00636.TW-PreClose'</f>
        <v>26.44</v>
      </c>
      <c r="E28" s="2">
        <f xml:space="preserve"> [2]!'00636.TW-Price'</f>
        <v>27.11</v>
      </c>
      <c r="F28" s="2">
        <f xml:space="preserve"> [2]!'00636.TW-BestBid1'</f>
        <v>27.11</v>
      </c>
      <c r="G28" s="2">
        <f xml:space="preserve"> [2]!'00636.TW-BestAsk1'</f>
        <v>27.12</v>
      </c>
      <c r="H28" s="2">
        <f xml:space="preserve"> [2]!'00636.TW-Open'</f>
        <v>26.59</v>
      </c>
      <c r="I28" s="2">
        <f xml:space="preserve"> [2]!'00636N.TW-Price'</f>
        <v>27.3</v>
      </c>
    </row>
    <row r="29" spans="1:9">
      <c r="A29" s="26" t="s">
        <v>37</v>
      </c>
      <c r="B29" t="s">
        <v>531</v>
      </c>
      <c r="C29">
        <v>9.68</v>
      </c>
      <c r="D29" s="2">
        <f xml:space="preserve"> [2]!'00636K.TW-PreClose'</f>
        <v>9.5</v>
      </c>
      <c r="E29" s="2">
        <f xml:space="preserve"> [2]!'00636K.TW-Price'</f>
        <v>9.68</v>
      </c>
      <c r="F29" s="2">
        <f xml:space="preserve"> [2]!'00636K.TW-BestBid1'</f>
        <v>9.66</v>
      </c>
      <c r="G29" s="2">
        <f xml:space="preserve"> [2]!'00636K.TW-BestAsk1'</f>
        <v>9.7200000000000006</v>
      </c>
      <c r="H29" s="2">
        <f xml:space="preserve"> [2]!'00636K.TW-Open'</f>
        <v>9.68</v>
      </c>
      <c r="I29" s="2">
        <f xml:space="preserve"> [2]!'00636KN.TW-Price'</f>
        <v>9.75</v>
      </c>
    </row>
    <row r="30" spans="1:9">
      <c r="A30" s="26" t="s">
        <v>38</v>
      </c>
      <c r="B30" t="s">
        <v>373</v>
      </c>
      <c r="C30">
        <v>26.26</v>
      </c>
      <c r="D30" s="2">
        <f xml:space="preserve"> [2]!'00637L.TW-PreClose'</f>
        <v>24.98</v>
      </c>
      <c r="E30" s="2">
        <f xml:space="preserve"> [2]!'00637L.TW-Price'</f>
        <v>26.26</v>
      </c>
      <c r="F30" s="2">
        <f xml:space="preserve"> [2]!'00637L.TW-BestBid1'</f>
        <v>26.26</v>
      </c>
      <c r="G30" s="2">
        <f xml:space="preserve"> [2]!'00637L.TW-BestAsk1'</f>
        <v>26.27</v>
      </c>
      <c r="H30" s="2">
        <f xml:space="preserve"> [2]!'00637L.TW-Open'</f>
        <v>25.36</v>
      </c>
      <c r="I30" s="2">
        <f xml:space="preserve"> [2]!'00637LN.TW-Price'</f>
        <v>26.49</v>
      </c>
    </row>
    <row r="31" spans="1:9">
      <c r="A31" s="26" t="s">
        <v>39</v>
      </c>
      <c r="B31" t="s">
        <v>374</v>
      </c>
      <c r="C31">
        <v>7.87</v>
      </c>
      <c r="D31" s="2">
        <f xml:space="preserve"> [2]!'00638R.TW-PreClose'</f>
        <v>8.08</v>
      </c>
      <c r="E31" s="2">
        <f xml:space="preserve"> [2]!'00638R.TW-Price'</f>
        <v>7.87</v>
      </c>
      <c r="F31" s="2">
        <f xml:space="preserve"> [2]!'00638R.TW-BestBid1'</f>
        <v>7.86</v>
      </c>
      <c r="G31" s="2">
        <f xml:space="preserve"> [2]!'00638R.TW-BestAsk1'</f>
        <v>7.87</v>
      </c>
      <c r="H31" s="2">
        <f xml:space="preserve"> [2]!'00638R.TW-Open'</f>
        <v>8.02</v>
      </c>
      <c r="I31" s="2">
        <f xml:space="preserve"> [2]!'00638RN.TW-Price'</f>
        <v>7.84</v>
      </c>
    </row>
    <row r="32" spans="1:9">
      <c r="A32" s="26" t="s">
        <v>40</v>
      </c>
      <c r="B32" t="s">
        <v>375</v>
      </c>
      <c r="C32">
        <v>16.57</v>
      </c>
      <c r="D32" s="2">
        <f xml:space="preserve"> [2]!'00639.TW-PreClose'</f>
        <v>16.190000000000001</v>
      </c>
      <c r="E32" s="2">
        <f xml:space="preserve"> [2]!'00639.TW-Price'</f>
        <v>16.57</v>
      </c>
      <c r="F32" s="2">
        <f xml:space="preserve"> [2]!'00639.TW-BestBid1'</f>
        <v>16.559999999999999</v>
      </c>
      <c r="G32" s="2">
        <f xml:space="preserve"> [2]!'00639.TW-BestAsk1'</f>
        <v>16.57</v>
      </c>
      <c r="H32" s="2">
        <f xml:space="preserve"> [2]!'00639.TW-Open'</f>
        <v>16.190000000000001</v>
      </c>
      <c r="I32" s="2">
        <f xml:space="preserve"> [2]!'00639N.TW-Price'</f>
        <v>16.72</v>
      </c>
    </row>
    <row r="33" spans="1:9">
      <c r="A33" s="26" t="s">
        <v>41</v>
      </c>
      <c r="B33" t="s">
        <v>376</v>
      </c>
      <c r="C33">
        <v>26.95</v>
      </c>
      <c r="D33" s="2">
        <f xml:space="preserve"> [2]!'00640L.TW-PreClose'</f>
        <v>25.92</v>
      </c>
      <c r="E33" s="2">
        <f xml:space="preserve"> [2]!'00640L.TW-Price'</f>
        <v>26.95</v>
      </c>
      <c r="F33" s="2">
        <f xml:space="preserve"> [2]!'00640L.TW-BestBid1'</f>
        <v>26.95</v>
      </c>
      <c r="G33" s="2">
        <f xml:space="preserve"> [2]!'00640L.TW-BestAsk1'</f>
        <v>27</v>
      </c>
      <c r="H33" s="2">
        <f xml:space="preserve"> [2]!'00640L.TW-Open'</f>
        <v>26.62</v>
      </c>
      <c r="I33" s="2">
        <f xml:space="preserve"> [2]!'00640LN.TW-Price'</f>
        <v>26.83</v>
      </c>
    </row>
    <row r="34" spans="1:9">
      <c r="A34" s="26" t="s">
        <v>42</v>
      </c>
      <c r="B34" t="s">
        <v>377</v>
      </c>
      <c r="C34">
        <v>11.02</v>
      </c>
      <c r="D34" s="2">
        <f xml:space="preserve"> [2]!'00641R.TW-PreClose'</f>
        <v>11.26</v>
      </c>
      <c r="E34" s="2">
        <f xml:space="preserve"> [2]!'00641R.TW-Price'</f>
        <v>11.02</v>
      </c>
      <c r="F34" s="2">
        <f xml:space="preserve"> [2]!'00641R.TW-BestBid1'</f>
        <v>11</v>
      </c>
      <c r="G34" s="2">
        <f xml:space="preserve"> [2]!'00641R.TW-BestAsk1'</f>
        <v>11.02</v>
      </c>
      <c r="H34" s="2">
        <f xml:space="preserve"> [2]!'00641R.TW-Open'</f>
        <v>11.07</v>
      </c>
      <c r="I34" s="2">
        <f xml:space="preserve"> [2]!'00641RN.TW-Price'</f>
        <v>11.04</v>
      </c>
    </row>
    <row r="35" spans="1:9">
      <c r="A35" s="26" t="s">
        <v>43</v>
      </c>
      <c r="B35" t="s">
        <v>2514</v>
      </c>
      <c r="C35">
        <v>10.87</v>
      </c>
      <c r="D35" s="2">
        <f xml:space="preserve"> [2]!'00642U.TW-PreClose'</f>
        <v>11.1</v>
      </c>
      <c r="E35" s="2">
        <f xml:space="preserve"> [2]!'00642U.TW-Price'</f>
        <v>10.87</v>
      </c>
      <c r="F35" s="2">
        <f xml:space="preserve"> [2]!'00642U.TW-BestBid1'</f>
        <v>10.87</v>
      </c>
      <c r="G35" s="2">
        <f xml:space="preserve"> [2]!'00642U.TW-BestAsk1'</f>
        <v>10.88</v>
      </c>
      <c r="H35" s="2">
        <f xml:space="preserve"> [2]!'00642U.TW-Open'</f>
        <v>10.89</v>
      </c>
      <c r="I35" s="2">
        <f xml:space="preserve"> [2]!'00642UN.TW-Price'</f>
        <v>10.92</v>
      </c>
    </row>
    <row r="36" spans="1:9">
      <c r="A36" s="26" t="s">
        <v>44</v>
      </c>
      <c r="B36" t="s">
        <v>378</v>
      </c>
      <c r="C36">
        <v>17.21</v>
      </c>
      <c r="D36" s="2">
        <f xml:space="preserve"> [2]!'00643.TW-PreClose'</f>
        <v>17.010000000000002</v>
      </c>
      <c r="E36" s="2">
        <f xml:space="preserve"> [2]!'00643.TW-Price'</f>
        <v>17.21</v>
      </c>
      <c r="F36" s="2">
        <f xml:space="preserve"> [2]!'00643.TW-BestBid1'</f>
        <v>17.21</v>
      </c>
      <c r="G36" s="2">
        <f xml:space="preserve"> [2]!'00643.TW-BestAsk1'</f>
        <v>17.22</v>
      </c>
      <c r="H36" s="2">
        <f xml:space="preserve"> [2]!'00643.TW-Open'</f>
        <v>16.989999999999998</v>
      </c>
      <c r="I36" s="2">
        <f xml:space="preserve"> [2]!'00643N.TW-Price'</f>
        <v>17.43</v>
      </c>
    </row>
    <row r="37" spans="1:9">
      <c r="A37" s="26" t="s">
        <v>45</v>
      </c>
      <c r="B37" t="s">
        <v>533</v>
      </c>
      <c r="C37">
        <v>4.0199999999999996</v>
      </c>
      <c r="D37" s="2">
        <f xml:space="preserve"> [2]!'00643K.TW-PreClose'</f>
        <v>4.01</v>
      </c>
      <c r="E37" s="2" t="str">
        <f xml:space="preserve"> [2]!'00643K.TW-Price'</f>
        <v>--</v>
      </c>
      <c r="F37" s="2">
        <f xml:space="preserve"> [2]!'00643K.TW-BestBid1'</f>
        <v>4.0199999999999996</v>
      </c>
      <c r="G37" s="2">
        <f xml:space="preserve"> [2]!'00643K.TW-BestAsk1'</f>
        <v>4.09</v>
      </c>
      <c r="H37" s="2" t="str">
        <f xml:space="preserve"> [2]!'00643K.TW-Open'</f>
        <v>--</v>
      </c>
      <c r="I37" s="2">
        <f xml:space="preserve"> [2]!'00643KN.TW-Price'</f>
        <v>4.01</v>
      </c>
    </row>
    <row r="38" spans="1:9">
      <c r="A38" s="26" t="s">
        <v>46</v>
      </c>
      <c r="B38" t="s">
        <v>379</v>
      </c>
      <c r="C38">
        <v>24.56</v>
      </c>
      <c r="D38" s="2">
        <f xml:space="preserve"> [2]!'00645.TW-PreClose'</f>
        <v>24.2</v>
      </c>
      <c r="E38" s="2">
        <f xml:space="preserve"> [2]!'00645.TW-Price'</f>
        <v>24.56</v>
      </c>
      <c r="F38" s="2">
        <f xml:space="preserve"> [2]!'00645.TW-BestBid1'</f>
        <v>24.57</v>
      </c>
      <c r="G38" s="2">
        <f xml:space="preserve"> [2]!'00645.TW-BestAsk1'</f>
        <v>24.6</v>
      </c>
      <c r="H38" s="2">
        <f xml:space="preserve"> [2]!'00645.TW-Open'</f>
        <v>24.43</v>
      </c>
      <c r="I38" s="2">
        <f xml:space="preserve"> [2]!'00645N.TW-Price'</f>
        <v>24.63</v>
      </c>
    </row>
    <row r="39" spans="1:9">
      <c r="A39" s="26" t="s">
        <v>47</v>
      </c>
      <c r="B39" t="s">
        <v>380</v>
      </c>
      <c r="C39">
        <v>35.340000000000003</v>
      </c>
      <c r="D39" s="2">
        <f xml:space="preserve"> [2]!'00646.TW-PreClose'</f>
        <v>34.799999999999997</v>
      </c>
      <c r="E39" s="2">
        <f xml:space="preserve"> [2]!'00646.TW-Price'</f>
        <v>35.340000000000003</v>
      </c>
      <c r="F39" s="2">
        <f xml:space="preserve"> [2]!'00646.TW-BestBid1'</f>
        <v>35.340000000000003</v>
      </c>
      <c r="G39" s="2">
        <f xml:space="preserve"> [2]!'00646.TW-BestAsk1'</f>
        <v>35.35</v>
      </c>
      <c r="H39" s="2">
        <f xml:space="preserve"> [2]!'00646.TW-Open'</f>
        <v>35.25</v>
      </c>
      <c r="I39" s="2">
        <f xml:space="preserve"> [2]!'00646N.TW-Price'</f>
        <v>35.26</v>
      </c>
    </row>
    <row r="40" spans="1:9">
      <c r="A40" s="26" t="s">
        <v>48</v>
      </c>
      <c r="B40" t="s">
        <v>381</v>
      </c>
      <c r="C40">
        <v>60.35</v>
      </c>
      <c r="D40" s="2">
        <f xml:space="preserve"> [2]!'00647L.TW-PreClose'</f>
        <v>58.7</v>
      </c>
      <c r="E40" s="2">
        <f xml:space="preserve"> [2]!'00647L.TW-Price'</f>
        <v>60.35</v>
      </c>
      <c r="F40" s="2">
        <f xml:space="preserve"> [2]!'00647L.TW-BestBid1'</f>
        <v>60.35</v>
      </c>
      <c r="G40" s="2">
        <f xml:space="preserve"> [2]!'00647L.TW-BestAsk1'</f>
        <v>60.4</v>
      </c>
      <c r="H40" s="2">
        <f xml:space="preserve"> [2]!'00647L.TW-Open'</f>
        <v>60.1</v>
      </c>
      <c r="I40" s="2">
        <f xml:space="preserve"> [2]!'00647LN.TW-Price'</f>
        <v>60.45</v>
      </c>
    </row>
    <row r="41" spans="1:9">
      <c r="A41" s="26" t="s">
        <v>49</v>
      </c>
      <c r="B41" t="s">
        <v>382</v>
      </c>
      <c r="C41">
        <v>7.5</v>
      </c>
      <c r="D41" s="2">
        <f xml:space="preserve"> [2]!'00648R.TW-PreClose'</f>
        <v>7.62</v>
      </c>
      <c r="E41" s="2">
        <f xml:space="preserve"> [2]!'00648R.TW-Price'</f>
        <v>7.5</v>
      </c>
      <c r="F41" s="2">
        <f xml:space="preserve"> [2]!'00648R.TW-BestBid1'</f>
        <v>7.5</v>
      </c>
      <c r="G41" s="2">
        <f xml:space="preserve"> [2]!'00648R.TW-BestAsk1'</f>
        <v>7.51</v>
      </c>
      <c r="H41" s="2">
        <f xml:space="preserve"> [2]!'00648R.TW-Open'</f>
        <v>7.52</v>
      </c>
      <c r="I41" s="2">
        <f xml:space="preserve"> [2]!'00648RN.TW-Price'</f>
        <v>7.49</v>
      </c>
    </row>
    <row r="42" spans="1:9">
      <c r="A42" s="26" t="s">
        <v>51</v>
      </c>
      <c r="B42" t="s">
        <v>384</v>
      </c>
      <c r="C42">
        <v>28.44</v>
      </c>
      <c r="D42" s="2">
        <f xml:space="preserve"> [2]!'00650L.TW-PreClose'</f>
        <v>28.2</v>
      </c>
      <c r="E42" s="2">
        <f xml:space="preserve"> [2]!'00650L.TW-Price'</f>
        <v>28.44</v>
      </c>
      <c r="F42" s="2">
        <f xml:space="preserve"> [2]!'00650L.TW-BestBid1'</f>
        <v>28.44</v>
      </c>
      <c r="G42" s="2">
        <f xml:space="preserve"> [2]!'00650L.TW-BestAsk1'</f>
        <v>28.51</v>
      </c>
      <c r="H42" s="2">
        <f xml:space="preserve"> [2]!'00650L.TW-Open'</f>
        <v>28.21</v>
      </c>
      <c r="I42" s="2">
        <f xml:space="preserve"> [2]!'00650LN.TW-Price'</f>
        <v>28.68</v>
      </c>
    </row>
    <row r="43" spans="1:9">
      <c r="A43" s="26" t="s">
        <v>52</v>
      </c>
      <c r="B43" t="s">
        <v>385</v>
      </c>
      <c r="C43">
        <v>7.08</v>
      </c>
      <c r="D43" s="2">
        <f xml:space="preserve"> [2]!'00651R.TW-PreClose'</f>
        <v>7.14</v>
      </c>
      <c r="E43" s="2">
        <f xml:space="preserve"> [2]!'00651R.TW-Price'</f>
        <v>7.08</v>
      </c>
      <c r="F43" s="2">
        <f xml:space="preserve"> [2]!'00651R.TW-BestBid1'</f>
        <v>7.07</v>
      </c>
      <c r="G43" s="2">
        <f xml:space="preserve"> [2]!'00651R.TW-BestAsk1'</f>
        <v>7.09</v>
      </c>
      <c r="H43" s="2">
        <f xml:space="preserve"> [2]!'00651R.TW-Open'</f>
        <v>7.13</v>
      </c>
      <c r="I43" s="2">
        <f xml:space="preserve"> [2]!'00651RN.TW-Price'</f>
        <v>7.09</v>
      </c>
    </row>
    <row r="44" spans="1:9">
      <c r="A44" s="26" t="s">
        <v>53</v>
      </c>
      <c r="B44" t="s">
        <v>386</v>
      </c>
      <c r="C44">
        <v>24.76</v>
      </c>
      <c r="D44" s="2">
        <f xml:space="preserve"> [2]!'00652.TW-PreClose'</f>
        <v>24.31</v>
      </c>
      <c r="E44" s="2">
        <f xml:space="preserve"> [2]!'00652.TW-Price'</f>
        <v>24.76</v>
      </c>
      <c r="F44" s="2">
        <f xml:space="preserve"> [2]!'00652.TW-BestBid1'</f>
        <v>24.74</v>
      </c>
      <c r="G44" s="2">
        <f xml:space="preserve"> [2]!'00652.TW-BestAsk1'</f>
        <v>24.76</v>
      </c>
      <c r="H44" s="2">
        <f xml:space="preserve"> [2]!'00652.TW-Open'</f>
        <v>24.4</v>
      </c>
      <c r="I44" s="2">
        <f xml:space="preserve"> [2]!'00652N.TW-Price'</f>
        <v>25.14</v>
      </c>
    </row>
    <row r="45" spans="1:9">
      <c r="A45" s="26" t="s">
        <v>54</v>
      </c>
      <c r="B45" t="s">
        <v>387</v>
      </c>
      <c r="C45">
        <v>33.83</v>
      </c>
      <c r="D45" s="2">
        <f xml:space="preserve"> [2]!'00653L.TW-PreClose'</f>
        <v>32.950000000000003</v>
      </c>
      <c r="E45" s="2">
        <f xml:space="preserve"> [2]!'00653L.TW-Price'</f>
        <v>33.83</v>
      </c>
      <c r="F45" s="2">
        <f xml:space="preserve"> [2]!'00653L.TW-BestBid1'</f>
        <v>33.83</v>
      </c>
      <c r="G45" s="2">
        <f xml:space="preserve"> [2]!'00653L.TW-BestAsk1'</f>
        <v>33.85</v>
      </c>
      <c r="H45" s="2">
        <f xml:space="preserve"> [2]!'00653L.TW-Open'</f>
        <v>33.590000000000003</v>
      </c>
      <c r="I45" s="2">
        <f xml:space="preserve"> [2]!'00653LN.TW-Price'</f>
        <v>33.79</v>
      </c>
    </row>
    <row r="46" spans="1:9">
      <c r="A46" s="26" t="s">
        <v>55</v>
      </c>
      <c r="B46" t="s">
        <v>388</v>
      </c>
      <c r="C46">
        <v>9.86</v>
      </c>
      <c r="D46" s="2">
        <f xml:space="preserve"> [2]!'00654R.TW-PreClose'</f>
        <v>10.02</v>
      </c>
      <c r="E46" s="2">
        <f xml:space="preserve"> [2]!'00654R.TW-Price'</f>
        <v>9.86</v>
      </c>
      <c r="F46" s="2">
        <f xml:space="preserve"> [2]!'00654R.TW-BestBid1'</f>
        <v>9.86</v>
      </c>
      <c r="G46" s="2">
        <f xml:space="preserve"> [2]!'00654R.TW-BestAsk1'</f>
        <v>9.8800000000000008</v>
      </c>
      <c r="H46" s="2">
        <f xml:space="preserve"> [2]!'00654R.TW-Open'</f>
        <v>9.9600000000000009</v>
      </c>
      <c r="I46" s="2">
        <f xml:space="preserve"> [2]!'00654RN.TW-Price'</f>
        <v>9.86</v>
      </c>
    </row>
    <row r="47" spans="1:9">
      <c r="A47" s="26" t="s">
        <v>56</v>
      </c>
      <c r="B47" t="s">
        <v>389</v>
      </c>
      <c r="C47">
        <v>49.97</v>
      </c>
      <c r="D47" s="2">
        <f xml:space="preserve"> [2]!'00655L.TW-PreClose'</f>
        <v>47.54</v>
      </c>
      <c r="E47" s="2">
        <f xml:space="preserve"> [2]!'00655L.TW-Price'</f>
        <v>49.97</v>
      </c>
      <c r="F47" s="2">
        <f xml:space="preserve"> [2]!'00655L.TW-BestBid1'</f>
        <v>49.97</v>
      </c>
      <c r="G47" s="2">
        <f xml:space="preserve"> [2]!'00655L.TW-BestAsk1'</f>
        <v>49.99</v>
      </c>
      <c r="H47" s="2">
        <f xml:space="preserve"> [2]!'00655L.TW-Open'</f>
        <v>48.4</v>
      </c>
      <c r="I47" s="2">
        <f xml:space="preserve"> [2]!'00655LN.TW-Price'</f>
        <v>50.3</v>
      </c>
    </row>
    <row r="48" spans="1:9">
      <c r="A48" s="26" t="s">
        <v>57</v>
      </c>
      <c r="B48" t="s">
        <v>390</v>
      </c>
      <c r="C48">
        <v>7.19</v>
      </c>
      <c r="D48" s="2">
        <f xml:space="preserve"> [2]!'00656R.TW-PreClose'</f>
        <v>7.35</v>
      </c>
      <c r="E48" s="2">
        <f xml:space="preserve"> [2]!'00656R.TW-Price'</f>
        <v>7.19</v>
      </c>
      <c r="F48" s="2">
        <f xml:space="preserve"> [2]!'00656R.TW-BestBid1'</f>
        <v>7.19</v>
      </c>
      <c r="G48" s="2">
        <f xml:space="preserve"> [2]!'00656R.TW-BestAsk1'</f>
        <v>7.2</v>
      </c>
      <c r="H48" s="2">
        <f xml:space="preserve"> [2]!'00656R.TW-Open'</f>
        <v>7.32</v>
      </c>
      <c r="I48" s="2">
        <f xml:space="preserve"> [2]!'00656RN.TW-Price'</f>
        <v>7.18</v>
      </c>
    </row>
    <row r="49" spans="1:9">
      <c r="A49" s="26" t="s">
        <v>58</v>
      </c>
      <c r="B49" t="s">
        <v>391</v>
      </c>
      <c r="C49">
        <v>34.380000000000003</v>
      </c>
      <c r="D49" s="2">
        <f xml:space="preserve"> [2]!'00657.TW-PreClose'</f>
        <v>33.83</v>
      </c>
      <c r="E49" s="2">
        <f xml:space="preserve"> [2]!'00657.TW-Price'</f>
        <v>34.380000000000003</v>
      </c>
      <c r="F49" s="2">
        <f xml:space="preserve"> [2]!'00657.TW-BestBid1'</f>
        <v>34.380000000000003</v>
      </c>
      <c r="G49" s="2">
        <f xml:space="preserve"> [2]!'00657.TW-BestAsk1'</f>
        <v>34.46</v>
      </c>
      <c r="H49" s="2">
        <f xml:space="preserve"> [2]!'00657.TW-Open'</f>
        <v>34.15</v>
      </c>
      <c r="I49" s="2">
        <f xml:space="preserve"> [2]!'00657N.TW-Price'</f>
        <v>34.39</v>
      </c>
    </row>
    <row r="50" spans="1:9">
      <c r="A50" s="26" t="s">
        <v>59</v>
      </c>
      <c r="B50" t="s">
        <v>534</v>
      </c>
      <c r="C50">
        <v>12.3</v>
      </c>
      <c r="D50" s="2">
        <f xml:space="preserve"> [2]!'00657K.TW-PreClose'</f>
        <v>12.07</v>
      </c>
      <c r="E50" s="2">
        <f xml:space="preserve"> [2]!'00657K.TW-Price'</f>
        <v>12.3</v>
      </c>
      <c r="F50" s="2">
        <f xml:space="preserve"> [2]!'00657K.TW-BestBid1'</f>
        <v>12.26</v>
      </c>
      <c r="G50" s="2">
        <f xml:space="preserve"> [2]!'00657K.TW-BestAsk1'</f>
        <v>12.33</v>
      </c>
      <c r="H50" s="2">
        <f xml:space="preserve"> [2]!'00657K.TW-Open'</f>
        <v>12.3</v>
      </c>
      <c r="I50" s="2">
        <f xml:space="preserve"> [2]!'00657KN.TW-Price'</f>
        <v>12.28</v>
      </c>
    </row>
    <row r="51" spans="1:9">
      <c r="A51" s="26" t="s">
        <v>62</v>
      </c>
      <c r="B51" t="s">
        <v>394</v>
      </c>
      <c r="C51">
        <v>28.32</v>
      </c>
      <c r="D51" s="2">
        <f xml:space="preserve"> [2]!'00660.TW-PreClose'</f>
        <v>27.86</v>
      </c>
      <c r="E51" s="2">
        <f xml:space="preserve"> [2]!'00660.TW-Price'</f>
        <v>28.32</v>
      </c>
      <c r="F51" s="2">
        <f xml:space="preserve"> [2]!'00660.TW-BestBid1'</f>
        <v>28.3</v>
      </c>
      <c r="G51" s="2">
        <f xml:space="preserve"> [2]!'00660.TW-BestAsk1'</f>
        <v>28.35</v>
      </c>
      <c r="H51" s="2">
        <f xml:space="preserve"> [2]!'00660.TW-Open'</f>
        <v>28.25</v>
      </c>
      <c r="I51" s="2">
        <f xml:space="preserve"> [2]!'00660N.TW-Price'</f>
        <v>28.55</v>
      </c>
    </row>
    <row r="52" spans="1:9">
      <c r="A52" s="26" t="s">
        <v>63</v>
      </c>
      <c r="B52" t="s">
        <v>395</v>
      </c>
      <c r="C52">
        <v>34.65</v>
      </c>
      <c r="D52" s="2">
        <f xml:space="preserve"> [2]!'00661.TW-PreClose'</f>
        <v>34.33</v>
      </c>
      <c r="E52" s="2">
        <f xml:space="preserve"> [2]!'00661.TW-Price'</f>
        <v>34.65</v>
      </c>
      <c r="F52" s="2">
        <f xml:space="preserve"> [2]!'00661.TW-BestBid1'</f>
        <v>34.65</v>
      </c>
      <c r="G52" s="2">
        <f xml:space="preserve"> [2]!'00661.TW-BestAsk1'</f>
        <v>34.67</v>
      </c>
      <c r="H52" s="2">
        <f xml:space="preserve"> [2]!'00661.TW-Open'</f>
        <v>34.51</v>
      </c>
      <c r="I52" s="2">
        <f xml:space="preserve"> [2]!'00661N.TW-Price'</f>
        <v>35.369999999999997</v>
      </c>
    </row>
    <row r="53" spans="1:9">
      <c r="A53" s="26" t="s">
        <v>64</v>
      </c>
      <c r="B53" t="s">
        <v>396</v>
      </c>
      <c r="C53">
        <v>47.46</v>
      </c>
      <c r="D53" s="2">
        <f xml:space="preserve"> [2]!'00662.TW-PreClose'</f>
        <v>46.84</v>
      </c>
      <c r="E53" s="2">
        <f xml:space="preserve"> [2]!'00662.TW-Price'</f>
        <v>47.46</v>
      </c>
      <c r="F53" s="2">
        <f xml:space="preserve"> [2]!'00662.TW-BestBid1'</f>
        <v>47.45</v>
      </c>
      <c r="G53" s="2">
        <f xml:space="preserve"> [2]!'00662.TW-BestAsk1'</f>
        <v>47.46</v>
      </c>
      <c r="H53" s="2">
        <f xml:space="preserve"> [2]!'00662.TW-Open'</f>
        <v>47.08</v>
      </c>
      <c r="I53" s="2">
        <f xml:space="preserve"> [2]!'00662N.TW-Price'</f>
        <v>47.19</v>
      </c>
    </row>
    <row r="54" spans="1:9">
      <c r="A54" s="26" t="s">
        <v>65</v>
      </c>
      <c r="B54" t="s">
        <v>397</v>
      </c>
      <c r="C54">
        <v>93.9</v>
      </c>
      <c r="D54" s="2">
        <f xml:space="preserve"> [2]!'00663L.TW-PreClose'</f>
        <v>91.65</v>
      </c>
      <c r="E54" s="2">
        <f xml:space="preserve"> [2]!'00663L.TW-Price'</f>
        <v>93.9</v>
      </c>
      <c r="F54" s="2">
        <f xml:space="preserve"> [2]!'00663L.TW-BestBid1'</f>
        <v>93.9</v>
      </c>
      <c r="G54" s="2">
        <f xml:space="preserve"> [2]!'00663L.TW-BestAsk1'</f>
        <v>94.1</v>
      </c>
      <c r="H54" s="2">
        <f xml:space="preserve"> [2]!'00663L.TW-Open'</f>
        <v>94.65</v>
      </c>
      <c r="I54" s="2">
        <f xml:space="preserve"> [2]!'00663LN.TW-Price'</f>
        <v>93.88</v>
      </c>
    </row>
    <row r="55" spans="1:9">
      <c r="A55" s="26" t="s">
        <v>66</v>
      </c>
      <c r="B55" t="s">
        <v>398</v>
      </c>
      <c r="C55">
        <v>7.15</v>
      </c>
      <c r="D55" s="2">
        <f xml:space="preserve"> [2]!'00664R.TW-PreClose'</f>
        <v>7.22</v>
      </c>
      <c r="E55" s="2">
        <f xml:space="preserve"> [2]!'00664R.TW-Price'</f>
        <v>7.15</v>
      </c>
      <c r="F55" s="2">
        <f xml:space="preserve"> [2]!'00664R.TW-BestBid1'</f>
        <v>7.14</v>
      </c>
      <c r="G55" s="2">
        <f xml:space="preserve"> [2]!'00664R.TW-BestAsk1'</f>
        <v>7.15</v>
      </c>
      <c r="H55" s="2">
        <f xml:space="preserve"> [2]!'00664R.TW-Open'</f>
        <v>7.11</v>
      </c>
      <c r="I55" s="2">
        <f xml:space="preserve"> [2]!'00664RN.TW-Price'</f>
        <v>7.14</v>
      </c>
    </row>
    <row r="56" spans="1:9">
      <c r="A56" s="26" t="s">
        <v>67</v>
      </c>
      <c r="B56" t="s">
        <v>535</v>
      </c>
      <c r="C56">
        <v>22.69</v>
      </c>
      <c r="D56" s="2">
        <f xml:space="preserve"> [2]!'00665L.TW-PreClose'</f>
        <v>22.7</v>
      </c>
      <c r="E56" s="2">
        <f xml:space="preserve"> [2]!'00665L.TW-Price'</f>
        <v>22.69</v>
      </c>
      <c r="F56" s="2">
        <f xml:space="preserve"> [2]!'00665L.TW-BestBid1'</f>
        <v>22.59</v>
      </c>
      <c r="G56" s="2">
        <f xml:space="preserve"> [2]!'00665L.TW-BestAsk1'</f>
        <v>22.7</v>
      </c>
      <c r="H56" s="2">
        <f xml:space="preserve"> [2]!'00665L.TW-Open'</f>
        <v>22.71</v>
      </c>
      <c r="I56" s="2">
        <f xml:space="preserve"> [2]!'00665LN.TW-Price'</f>
        <v>22.78</v>
      </c>
    </row>
    <row r="57" spans="1:9">
      <c r="A57" s="26" t="s">
        <v>68</v>
      </c>
      <c r="B57" t="s">
        <v>536</v>
      </c>
      <c r="C57">
        <v>11.49</v>
      </c>
      <c r="D57" s="2">
        <f xml:space="preserve"> [2]!'00666R.TW-PreClose'</f>
        <v>11.45</v>
      </c>
      <c r="E57" s="2">
        <f xml:space="preserve"> [2]!'00666R.TW-Price'</f>
        <v>11.49</v>
      </c>
      <c r="F57" s="2">
        <f xml:space="preserve"> [2]!'00666R.TW-BestBid1'</f>
        <v>11.46</v>
      </c>
      <c r="G57" s="2">
        <f xml:space="preserve"> [2]!'00666R.TW-BestAsk1'</f>
        <v>11.51</v>
      </c>
      <c r="H57" s="2">
        <f xml:space="preserve"> [2]!'00666R.TW-Open'</f>
        <v>11.48</v>
      </c>
      <c r="I57" s="2">
        <f xml:space="preserve"> [2]!'00666RN.TW-Price'</f>
        <v>11.59</v>
      </c>
    </row>
    <row r="58" spans="1:9">
      <c r="A58" s="26" t="s">
        <v>69</v>
      </c>
      <c r="B58" t="s">
        <v>399</v>
      </c>
      <c r="C58">
        <v>34.549999999999997</v>
      </c>
      <c r="D58" s="2">
        <f xml:space="preserve"> [2]!'00668.TW-PreClose'</f>
        <v>33.979999999999997</v>
      </c>
      <c r="E58" s="2">
        <f xml:space="preserve"> [2]!'00668.TW-Price'</f>
        <v>34.549999999999997</v>
      </c>
      <c r="F58" s="2">
        <f xml:space="preserve"> [2]!'00668.TW-BestBid1'</f>
        <v>34.46</v>
      </c>
      <c r="G58" s="2">
        <f xml:space="preserve"> [2]!'00668.TW-BestAsk1'</f>
        <v>34.549999999999997</v>
      </c>
      <c r="H58" s="2">
        <f xml:space="preserve"> [2]!'00668.TW-Open'</f>
        <v>34.4</v>
      </c>
      <c r="I58" s="2">
        <f xml:space="preserve"> [2]!'00668N.TW-Price'</f>
        <v>34.46</v>
      </c>
    </row>
    <row r="59" spans="1:9">
      <c r="A59" s="26" t="s">
        <v>70</v>
      </c>
      <c r="B59" t="s">
        <v>537</v>
      </c>
      <c r="C59">
        <v>12.3</v>
      </c>
      <c r="D59" s="2">
        <f xml:space="preserve"> [2]!'00668K.TW-PreClose'</f>
        <v>12.15</v>
      </c>
      <c r="E59" s="2">
        <f xml:space="preserve"> [2]!'00668K.TW-Price'</f>
        <v>12.3</v>
      </c>
      <c r="F59" s="2">
        <f xml:space="preserve"> [2]!'00668K.TW-BestBid1'</f>
        <v>12.27</v>
      </c>
      <c r="G59" s="2">
        <f xml:space="preserve"> [2]!'00668K.TW-BestAsk1'</f>
        <v>12.37</v>
      </c>
      <c r="H59" s="2">
        <f xml:space="preserve"> [2]!'00668K.TW-Open'</f>
        <v>12.3</v>
      </c>
      <c r="I59" s="2">
        <f xml:space="preserve"> [2]!'00668KN.TW-Price'</f>
        <v>12.31</v>
      </c>
    </row>
    <row r="60" spans="1:9">
      <c r="A60" s="26" t="s">
        <v>71</v>
      </c>
      <c r="B60" t="s">
        <v>400</v>
      </c>
      <c r="C60">
        <v>8.17</v>
      </c>
      <c r="D60" s="2">
        <f xml:space="preserve"> [2]!'00669R.TW-PreClose'</f>
        <v>8.32</v>
      </c>
      <c r="E60" s="2">
        <f xml:space="preserve"> [2]!'00669R.TW-Price'</f>
        <v>8.17</v>
      </c>
      <c r="F60" s="2">
        <f xml:space="preserve"> [2]!'00669R.TW-BestBid1'</f>
        <v>8.17</v>
      </c>
      <c r="G60" s="2">
        <f xml:space="preserve"> [2]!'00669R.TW-BestAsk1'</f>
        <v>8.18</v>
      </c>
      <c r="H60" s="2">
        <f xml:space="preserve"> [2]!'00669R.TW-Open'</f>
        <v>8.19</v>
      </c>
      <c r="I60" s="2">
        <f xml:space="preserve"> [2]!'00669RN.TW-Price'</f>
        <v>8.17</v>
      </c>
    </row>
    <row r="61" spans="1:9">
      <c r="A61" s="26" t="s">
        <v>72</v>
      </c>
      <c r="B61" t="s">
        <v>401</v>
      </c>
      <c r="C61">
        <v>84.05</v>
      </c>
      <c r="D61" s="2">
        <f xml:space="preserve"> [2]!'00670L.TW-PreClose'</f>
        <v>82.1</v>
      </c>
      <c r="E61" s="2">
        <f xml:space="preserve"> [2]!'00670L.TW-Price'</f>
        <v>84.05</v>
      </c>
      <c r="F61" s="2">
        <f xml:space="preserve"> [2]!'00670L.TW-BestBid1'</f>
        <v>84</v>
      </c>
      <c r="G61" s="2">
        <f xml:space="preserve"> [2]!'00670L.TW-BestAsk1'</f>
        <v>84.05</v>
      </c>
      <c r="H61" s="2">
        <f xml:space="preserve"> [2]!'00670L.TW-Open'</f>
        <v>83.5</v>
      </c>
      <c r="I61" s="2">
        <f xml:space="preserve"> [2]!'00670LN.TW-Price'</f>
        <v>84.18</v>
      </c>
    </row>
    <row r="62" spans="1:9">
      <c r="A62" s="26" t="s">
        <v>73</v>
      </c>
      <c r="B62" t="s">
        <v>402</v>
      </c>
      <c r="C62">
        <v>6.17</v>
      </c>
      <c r="D62" s="2">
        <f xml:space="preserve"> [2]!'00671R.TW-PreClose'</f>
        <v>6.23</v>
      </c>
      <c r="E62" s="2">
        <f xml:space="preserve"> [2]!'00671R.TW-Price'</f>
        <v>6.17</v>
      </c>
      <c r="F62" s="2">
        <f xml:space="preserve"> [2]!'00671R.TW-BestBid1'</f>
        <v>6.16</v>
      </c>
      <c r="G62" s="2">
        <f xml:space="preserve"> [2]!'00671R.TW-BestAsk1'</f>
        <v>6.17</v>
      </c>
      <c r="H62" s="2">
        <f xml:space="preserve"> [2]!'00671R.TW-Open'</f>
        <v>6.17</v>
      </c>
      <c r="I62" s="2">
        <f xml:space="preserve"> [2]!'00671RN.TW-Price'</f>
        <v>6.16</v>
      </c>
    </row>
    <row r="63" spans="1:9">
      <c r="A63" s="26" t="s">
        <v>75</v>
      </c>
      <c r="B63" t="s">
        <v>2515</v>
      </c>
      <c r="C63">
        <v>17.739999999999998</v>
      </c>
      <c r="D63" s="2">
        <f xml:space="preserve"> [2]!'00673R.TW-PreClose'</f>
        <v>17.36</v>
      </c>
      <c r="E63" s="2">
        <f xml:space="preserve"> [2]!'00673R.TW-Price'</f>
        <v>17.739999999999998</v>
      </c>
      <c r="F63" s="2">
        <f xml:space="preserve"> [2]!'00673R.TW-BestBid1'</f>
        <v>17.73</v>
      </c>
      <c r="G63" s="2">
        <f xml:space="preserve"> [2]!'00673R.TW-BestAsk1'</f>
        <v>17.739999999999998</v>
      </c>
      <c r="H63" s="2">
        <f xml:space="preserve"> [2]!'00673R.TW-Open'</f>
        <v>17.73</v>
      </c>
      <c r="I63" s="2">
        <f xml:space="preserve"> [2]!'00673RN.TW-Price'</f>
        <v>17.75</v>
      </c>
    </row>
    <row r="64" spans="1:9">
      <c r="A64" s="26" t="s">
        <v>76</v>
      </c>
      <c r="B64" t="s">
        <v>2516</v>
      </c>
      <c r="C64">
        <v>13.14</v>
      </c>
      <c r="D64" s="2">
        <f xml:space="preserve"> [2]!'00674R.TW-PreClose'</f>
        <v>13.16</v>
      </c>
      <c r="E64" s="2">
        <f xml:space="preserve"> [2]!'00674R.TW-Price'</f>
        <v>13.14</v>
      </c>
      <c r="F64" s="2">
        <f xml:space="preserve"> [2]!'00674R.TW-BestBid1'</f>
        <v>13.13</v>
      </c>
      <c r="G64" s="2">
        <f xml:space="preserve"> [2]!'00674R.TW-BestAsk1'</f>
        <v>13.14</v>
      </c>
      <c r="H64" s="2">
        <f xml:space="preserve"> [2]!'00674R.TW-Open'</f>
        <v>13.11</v>
      </c>
      <c r="I64" s="2">
        <f xml:space="preserve"> [2]!'00674RN.TW-Price'</f>
        <v>13.06</v>
      </c>
    </row>
    <row r="65" spans="1:9">
      <c r="A65" s="26" t="s">
        <v>77</v>
      </c>
      <c r="B65" t="s">
        <v>403</v>
      </c>
      <c r="C65">
        <v>40.44</v>
      </c>
      <c r="D65" s="2">
        <f xml:space="preserve"> [2]!'00675L.TW-PreClose'</f>
        <v>39.479999999999997</v>
      </c>
      <c r="E65" s="2">
        <f xml:space="preserve"> [2]!'00675L.TW-Price'</f>
        <v>40.44</v>
      </c>
      <c r="F65" s="2">
        <f xml:space="preserve"> [2]!'00675L.TW-BestBid1'</f>
        <v>40.4</v>
      </c>
      <c r="G65" s="2">
        <f xml:space="preserve"> [2]!'00675L.TW-BestAsk1'</f>
        <v>40.44</v>
      </c>
      <c r="H65" s="2">
        <f xml:space="preserve"> [2]!'00675L.TW-Open'</f>
        <v>40.659999999999997</v>
      </c>
      <c r="I65" s="2">
        <f xml:space="preserve"> [2]!'00675LN.TW-Price'</f>
        <v>40.32</v>
      </c>
    </row>
    <row r="66" spans="1:9">
      <c r="A66" s="26" t="s">
        <v>78</v>
      </c>
      <c r="B66" t="s">
        <v>404</v>
      </c>
      <c r="C66">
        <v>3.9</v>
      </c>
      <c r="D66" s="2">
        <f xml:space="preserve"> [2]!'00676R.TW-PreClose'</f>
        <v>3.94</v>
      </c>
      <c r="E66" s="2">
        <f xml:space="preserve"> [2]!'00676R.TW-Price'</f>
        <v>3.9</v>
      </c>
      <c r="F66" s="2">
        <f xml:space="preserve"> [2]!'00676R.TW-BestBid1'</f>
        <v>3.89</v>
      </c>
      <c r="G66" s="2">
        <f xml:space="preserve"> [2]!'00676R.TW-BestAsk1'</f>
        <v>3.9</v>
      </c>
      <c r="H66" s="2">
        <f xml:space="preserve"> [2]!'00676R.TW-Open'</f>
        <v>3.88</v>
      </c>
      <c r="I66" s="2">
        <f xml:space="preserve"> [2]!'00676RN.TW-Price'</f>
        <v>3.89</v>
      </c>
    </row>
    <row r="67" spans="1:9">
      <c r="A67" s="26" t="s">
        <v>79</v>
      </c>
      <c r="B67" t="s">
        <v>2517</v>
      </c>
      <c r="C67">
        <v>1.83</v>
      </c>
      <c r="D67" s="2">
        <f xml:space="preserve"> [2]!'00677U.TW-PreClose'</f>
        <v>1.99</v>
      </c>
      <c r="E67" s="2">
        <f xml:space="preserve"> [2]!'00677U.TW-Price'</f>
        <v>1.83</v>
      </c>
      <c r="F67" s="2">
        <f xml:space="preserve"> [2]!'00677U.TW-BestBid1'</f>
        <v>1.83</v>
      </c>
      <c r="G67" s="2">
        <f xml:space="preserve"> [2]!'00677U.TW-BestAsk1'</f>
        <v>1.84</v>
      </c>
      <c r="H67" s="2">
        <f xml:space="preserve"> [2]!'00677U.TW-Open'</f>
        <v>1.85</v>
      </c>
      <c r="I67" s="2">
        <f xml:space="preserve"> [2]!'00677UN.TW-Price'</f>
        <v>1.83</v>
      </c>
    </row>
    <row r="68" spans="1:9">
      <c r="A68" s="26" t="s">
        <v>80</v>
      </c>
      <c r="B68" t="s">
        <v>406</v>
      </c>
      <c r="C68">
        <v>26.39</v>
      </c>
      <c r="D68" s="2">
        <f xml:space="preserve"> [2]!'00678.TW-PreClose'</f>
        <v>26.28</v>
      </c>
      <c r="E68" s="2">
        <f xml:space="preserve"> [2]!'00678.TW-Price'</f>
        <v>26.39</v>
      </c>
      <c r="F68" s="2">
        <f xml:space="preserve"> [2]!'00678.TW-BestBid1'</f>
        <v>26.34</v>
      </c>
      <c r="G68" s="2">
        <f xml:space="preserve"> [2]!'00678.TW-BestAsk1'</f>
        <v>26.43</v>
      </c>
      <c r="H68" s="2">
        <f xml:space="preserve"> [2]!'00678.TW-Open'</f>
        <v>26.39</v>
      </c>
      <c r="I68" s="2">
        <f xml:space="preserve"> [2]!'00678N.TW-Price'</f>
        <v>26.36</v>
      </c>
    </row>
    <row r="69" spans="1:9">
      <c r="A69" s="26" t="s">
        <v>81</v>
      </c>
      <c r="B69" t="s">
        <v>541</v>
      </c>
      <c r="C69">
        <v>38.880000000000003</v>
      </c>
      <c r="D69" s="2">
        <f xml:space="preserve"> [2]!'00679B.TW-PreClose'</f>
        <v>38.83</v>
      </c>
      <c r="E69" s="2">
        <f xml:space="preserve"> [2]!'00679B.TW-Price'</f>
        <v>38.880000000000003</v>
      </c>
      <c r="F69" s="2">
        <f xml:space="preserve"> [2]!'00679B.TW-BestBid1'</f>
        <v>38.880000000000003</v>
      </c>
      <c r="G69" s="2">
        <f xml:space="preserve"> [2]!'00679B.TW-BestAsk1'</f>
        <v>38.89</v>
      </c>
      <c r="H69" s="2">
        <f xml:space="preserve"> [2]!'00679B.TW-Open'</f>
        <v>38.83</v>
      </c>
      <c r="I69" s="2">
        <f xml:space="preserve"> [2]!'00679BN.TW-Price'</f>
        <v>38.86</v>
      </c>
    </row>
    <row r="70" spans="1:9">
      <c r="A70" s="26" t="s">
        <v>82</v>
      </c>
      <c r="B70" t="s">
        <v>542</v>
      </c>
      <c r="C70">
        <v>21.55</v>
      </c>
      <c r="D70" s="2">
        <f xml:space="preserve"> [2]!'00680L.TW-PreClose'</f>
        <v>21.48</v>
      </c>
      <c r="E70" s="2">
        <f xml:space="preserve"> [2]!'00680L.TW-Price'</f>
        <v>21.55</v>
      </c>
      <c r="F70" s="2">
        <f xml:space="preserve"> [2]!'00680L.TW-BestBid1'</f>
        <v>21.52</v>
      </c>
      <c r="G70" s="2">
        <f xml:space="preserve"> [2]!'00680L.TW-BestAsk1'</f>
        <v>21.59</v>
      </c>
      <c r="H70" s="2">
        <f xml:space="preserve"> [2]!'00680L.TW-Open'</f>
        <v>21.52</v>
      </c>
      <c r="I70" s="2">
        <f xml:space="preserve"> [2]!'00680LN.TW-Price'</f>
        <v>21.51</v>
      </c>
    </row>
    <row r="71" spans="1:9">
      <c r="A71" s="26" t="s">
        <v>83</v>
      </c>
      <c r="B71" t="s">
        <v>543</v>
      </c>
      <c r="C71">
        <v>14.55</v>
      </c>
      <c r="D71" s="2">
        <f xml:space="preserve"> [2]!'00681R.TW-PreClose'</f>
        <v>14.56</v>
      </c>
      <c r="E71" s="2">
        <f xml:space="preserve"> [2]!'00681R.TW-Price'</f>
        <v>14.55</v>
      </c>
      <c r="F71" s="2">
        <f xml:space="preserve"> [2]!'00681R.TW-BestBid1'</f>
        <v>14.51</v>
      </c>
      <c r="G71" s="2">
        <f xml:space="preserve"> [2]!'00681R.TW-BestAsk1'</f>
        <v>14.55</v>
      </c>
      <c r="H71" s="2">
        <f xml:space="preserve"> [2]!'00681R.TW-Open'</f>
        <v>14.56</v>
      </c>
      <c r="I71" s="2">
        <f xml:space="preserve"> [2]!'00681RN.TW-Price'</f>
        <v>14.53</v>
      </c>
    </row>
    <row r="72" spans="1:9">
      <c r="A72" s="26" t="s">
        <v>84</v>
      </c>
      <c r="B72" t="s">
        <v>2518</v>
      </c>
      <c r="C72">
        <v>18.03</v>
      </c>
      <c r="D72" s="2">
        <f xml:space="preserve"> [2]!'00682U.TW-PreClose'</f>
        <v>18.04</v>
      </c>
      <c r="E72" s="2">
        <f xml:space="preserve"> [2]!'00682U.TW-Price'</f>
        <v>18.03</v>
      </c>
      <c r="F72" s="2">
        <f xml:space="preserve"> [2]!'00682U.TW-BestBid1'</f>
        <v>18.03</v>
      </c>
      <c r="G72" s="2">
        <f xml:space="preserve"> [2]!'00682U.TW-BestAsk1'</f>
        <v>18.04</v>
      </c>
      <c r="H72" s="2">
        <f xml:space="preserve"> [2]!'00682U.TW-Open'</f>
        <v>18.05</v>
      </c>
      <c r="I72" s="2">
        <f xml:space="preserve"> [2]!'00682UN.TW-Price'</f>
        <v>17.95</v>
      </c>
    </row>
    <row r="73" spans="1:9">
      <c r="A73" s="26" t="s">
        <v>85</v>
      </c>
      <c r="B73" t="s">
        <v>2629</v>
      </c>
      <c r="C73">
        <v>16.7</v>
      </c>
      <c r="D73" s="2">
        <f xml:space="preserve"> [2]!'00683L.TW-PreClose'</f>
        <v>16.71</v>
      </c>
      <c r="E73" s="2">
        <f xml:space="preserve"> [2]!'00683L.TW-Price'</f>
        <v>16.7</v>
      </c>
      <c r="F73" s="2">
        <f xml:space="preserve"> [2]!'00683L.TW-BestBid1'</f>
        <v>16.690000000000001</v>
      </c>
      <c r="G73" s="2">
        <f xml:space="preserve"> [2]!'00683L.TW-BestAsk1'</f>
        <v>16.7</v>
      </c>
      <c r="H73" s="2">
        <f xml:space="preserve"> [2]!'00683L.TW-Open'</f>
        <v>16.7</v>
      </c>
      <c r="I73" s="2">
        <f xml:space="preserve"> [2]!'00683LN.TW-Price'</f>
        <v>16.579999999999998</v>
      </c>
    </row>
    <row r="74" spans="1:9">
      <c r="A74" s="26" t="s">
        <v>86</v>
      </c>
      <c r="B74" t="s">
        <v>2630</v>
      </c>
      <c r="C74">
        <v>19.2</v>
      </c>
      <c r="D74" s="2">
        <f xml:space="preserve"> [2]!'00684R.TW-PreClose'</f>
        <v>19.190000000000001</v>
      </c>
      <c r="E74" s="2" t="str">
        <f xml:space="preserve"> [2]!'00684R.TW-Price'</f>
        <v>--</v>
      </c>
      <c r="F74" s="2">
        <f xml:space="preserve"> [2]!'00684R.TW-BestBid1'</f>
        <v>19.2</v>
      </c>
      <c r="G74" s="2">
        <f xml:space="preserve"> [2]!'00684R.TW-BestAsk1'</f>
        <v>19.260000000000002</v>
      </c>
      <c r="H74" s="2" t="str">
        <f xml:space="preserve"> [2]!'00684R.TW-Open'</f>
        <v>--</v>
      </c>
      <c r="I74" s="2">
        <f xml:space="preserve"> [2]!'00684RN.TW-Price'</f>
        <v>19.309999999999999</v>
      </c>
    </row>
    <row r="75" spans="1:9">
      <c r="A75" s="26" t="s">
        <v>87</v>
      </c>
      <c r="B75" t="s">
        <v>407</v>
      </c>
      <c r="C75">
        <v>35.200000000000003</v>
      </c>
      <c r="D75" s="2">
        <f xml:space="preserve"> [2]!'00685L.TW-PreClose'</f>
        <v>34.61</v>
      </c>
      <c r="E75" s="2">
        <f xml:space="preserve"> [2]!'00685L.TW-Price'</f>
        <v>35.200000000000003</v>
      </c>
      <c r="F75" s="2">
        <f xml:space="preserve"> [2]!'00685L.TW-BestBid1'</f>
        <v>35.28</v>
      </c>
      <c r="G75" s="2">
        <f xml:space="preserve"> [2]!'00685L.TW-BestAsk1'</f>
        <v>35.44</v>
      </c>
      <c r="H75" s="2">
        <f xml:space="preserve"> [2]!'00685L.TW-Open'</f>
        <v>35.68</v>
      </c>
      <c r="I75" s="2">
        <f xml:space="preserve"> [2]!'00685LN.TW-Price'</f>
        <v>35.47</v>
      </c>
    </row>
    <row r="76" spans="1:9">
      <c r="A76" s="26" t="s">
        <v>88</v>
      </c>
      <c r="B76" t="s">
        <v>408</v>
      </c>
      <c r="C76">
        <v>4.25</v>
      </c>
      <c r="D76" s="2">
        <f xml:space="preserve"> [2]!'00686R.TW-PreClose'</f>
        <v>4.3</v>
      </c>
      <c r="E76" s="2">
        <f xml:space="preserve"> [2]!'00686R.TW-Price'</f>
        <v>4.25</v>
      </c>
      <c r="F76" s="2">
        <f xml:space="preserve"> [2]!'00686R.TW-BestBid1'</f>
        <v>4.24</v>
      </c>
      <c r="G76" s="2">
        <f xml:space="preserve"> [2]!'00686R.TW-BestAsk1'</f>
        <v>4.25</v>
      </c>
      <c r="H76" s="2">
        <f xml:space="preserve"> [2]!'00686R.TW-Open'</f>
        <v>4.2300000000000004</v>
      </c>
      <c r="I76" s="2">
        <f xml:space="preserve"> [2]!'00686RN.TW-Price'</f>
        <v>4.25</v>
      </c>
    </row>
    <row r="77" spans="1:9">
      <c r="A77" s="26" t="s">
        <v>89</v>
      </c>
      <c r="B77" t="s">
        <v>547</v>
      </c>
      <c r="C77">
        <v>40.520000000000003</v>
      </c>
      <c r="D77" s="2">
        <f xml:space="preserve"> [2]!'00687B.TW-PreClose'</f>
        <v>40.49</v>
      </c>
      <c r="E77" s="2">
        <f xml:space="preserve"> [2]!'00687B.TW-Price'</f>
        <v>40.520000000000003</v>
      </c>
      <c r="F77" s="2">
        <f xml:space="preserve"> [2]!'00687B.TW-BestBid1'</f>
        <v>40.520000000000003</v>
      </c>
      <c r="G77" s="2">
        <f xml:space="preserve"> [2]!'00687B.TW-BestAsk1'</f>
        <v>40.56</v>
      </c>
      <c r="H77" s="2">
        <f xml:space="preserve"> [2]!'00687B.TW-Open'</f>
        <v>40.49</v>
      </c>
      <c r="I77" s="2">
        <f xml:space="preserve"> [2]!'00687BN.TW-Price'</f>
        <v>40.450000000000003</v>
      </c>
    </row>
    <row r="78" spans="1:9">
      <c r="A78" s="26" t="s">
        <v>90</v>
      </c>
      <c r="B78" t="s">
        <v>548</v>
      </c>
      <c r="C78">
        <v>21.55</v>
      </c>
      <c r="D78" s="2">
        <f xml:space="preserve"> [2]!'00688L.TW-PreClose'</f>
        <v>21.44</v>
      </c>
      <c r="E78" s="2">
        <f xml:space="preserve"> [2]!'00688L.TW-Price'</f>
        <v>21.55</v>
      </c>
      <c r="F78" s="2">
        <f xml:space="preserve"> [2]!'00688L.TW-BestBid1'</f>
        <v>21.51</v>
      </c>
      <c r="G78" s="2">
        <f xml:space="preserve"> [2]!'00688L.TW-BestAsk1'</f>
        <v>21.55</v>
      </c>
      <c r="H78" s="2">
        <f xml:space="preserve"> [2]!'00688L.TW-Open'</f>
        <v>21.39</v>
      </c>
      <c r="I78" s="2">
        <f xml:space="preserve"> [2]!'00688LN.TW-Price'</f>
        <v>21.49</v>
      </c>
    </row>
    <row r="79" spans="1:9">
      <c r="A79" s="26" t="s">
        <v>91</v>
      </c>
      <c r="B79" t="s">
        <v>549</v>
      </c>
      <c r="C79">
        <v>15.29</v>
      </c>
      <c r="D79" s="2">
        <f xml:space="preserve"> [2]!'00689R.TW-PreClose'</f>
        <v>15.32</v>
      </c>
      <c r="E79" s="2">
        <f xml:space="preserve"> [2]!'00689R.TW-Price'</f>
        <v>15.29</v>
      </c>
      <c r="F79" s="2">
        <f xml:space="preserve"> [2]!'00689R.TW-BestBid1'</f>
        <v>15.28</v>
      </c>
      <c r="G79" s="2">
        <f xml:space="preserve"> [2]!'00689R.TW-BestAsk1'</f>
        <v>15.31</v>
      </c>
      <c r="H79" s="2">
        <f xml:space="preserve"> [2]!'00689R.TW-Open'</f>
        <v>15.31</v>
      </c>
      <c r="I79" s="2">
        <f xml:space="preserve"> [2]!'00689RN.TW-Price'</f>
        <v>15.29</v>
      </c>
    </row>
    <row r="80" spans="1:9">
      <c r="A80" s="26" t="s">
        <v>92</v>
      </c>
      <c r="B80" t="s">
        <v>409</v>
      </c>
      <c r="C80">
        <v>30.6</v>
      </c>
      <c r="D80" s="2">
        <f xml:space="preserve"> [2]!'00690.TW-PreClose'</f>
        <v>30.2</v>
      </c>
      <c r="E80" s="2">
        <f xml:space="preserve"> [2]!'00690.TW-Price'</f>
        <v>30.6</v>
      </c>
      <c r="F80" s="2">
        <f xml:space="preserve"> [2]!'00690.TW-BestBid1'</f>
        <v>30.6</v>
      </c>
      <c r="G80" s="2">
        <f xml:space="preserve"> [2]!'00690.TW-BestAsk1'</f>
        <v>30.66</v>
      </c>
      <c r="H80" s="2">
        <f xml:space="preserve"> [2]!'00690.TW-Open'</f>
        <v>30.52</v>
      </c>
      <c r="I80" s="2">
        <f xml:space="preserve"> [2]!'00690N.TW-Price'</f>
        <v>30.67</v>
      </c>
    </row>
    <row r="81" spans="1:9">
      <c r="A81" s="26" t="s">
        <v>94</v>
      </c>
      <c r="B81" t="s">
        <v>410</v>
      </c>
      <c r="C81">
        <v>33.119999999999997</v>
      </c>
      <c r="D81" s="2">
        <f xml:space="preserve"> [2]!'00692.TW-PreClose'</f>
        <v>32.75</v>
      </c>
      <c r="E81" s="2">
        <f xml:space="preserve"> [2]!'00692.TW-Price'</f>
        <v>33.119999999999997</v>
      </c>
      <c r="F81" s="2">
        <f xml:space="preserve"> [2]!'00692.TW-BestBid1'</f>
        <v>33.11</v>
      </c>
      <c r="G81" s="2">
        <f xml:space="preserve"> [2]!'00692.TW-BestAsk1'</f>
        <v>33.119999999999997</v>
      </c>
      <c r="H81" s="2">
        <f xml:space="preserve"> [2]!'00692.TW-Open'</f>
        <v>32.81</v>
      </c>
      <c r="I81" s="2">
        <f xml:space="preserve"> [2]!'00692N.TW-Price'</f>
        <v>32.979999999999997</v>
      </c>
    </row>
    <row r="82" spans="1:9">
      <c r="A82" s="26" t="s">
        <v>95</v>
      </c>
      <c r="B82" t="s">
        <v>2519</v>
      </c>
      <c r="C82">
        <v>24.18</v>
      </c>
      <c r="D82" s="2">
        <f xml:space="preserve"> [2]!'00693U.TW-PreClose'</f>
        <v>24.64</v>
      </c>
      <c r="E82" s="2">
        <f xml:space="preserve"> [2]!'00693U.TW-Price'</f>
        <v>24.18</v>
      </c>
      <c r="F82" s="2">
        <f xml:space="preserve"> [2]!'00693U.TW-BestBid1'</f>
        <v>24.18</v>
      </c>
      <c r="G82" s="2">
        <f xml:space="preserve"> [2]!'00693U.TW-BestAsk1'</f>
        <v>24.19</v>
      </c>
      <c r="H82" s="2">
        <f xml:space="preserve"> [2]!'00693U.TW-Open'</f>
        <v>24.07</v>
      </c>
      <c r="I82" s="2">
        <f xml:space="preserve"> [2]!'00693UN.TW-Price'</f>
        <v>24.33</v>
      </c>
    </row>
    <row r="83" spans="1:9">
      <c r="A83" s="26" t="s">
        <v>96</v>
      </c>
      <c r="B83" t="s">
        <v>552</v>
      </c>
      <c r="C83">
        <v>37.4</v>
      </c>
      <c r="D83" s="2">
        <f xml:space="preserve"> [2]!'00694B.TW-PreClose'</f>
        <v>37.44</v>
      </c>
      <c r="E83" s="2">
        <f xml:space="preserve"> [2]!'00694B.TW-Price'</f>
        <v>37.4</v>
      </c>
      <c r="F83" s="2">
        <f xml:space="preserve"> [2]!'00694B.TW-BestBid1'</f>
        <v>37.4</v>
      </c>
      <c r="G83" s="2">
        <f xml:space="preserve"> [2]!'00694B.TW-BestAsk1'</f>
        <v>37.46</v>
      </c>
      <c r="H83" s="2">
        <f xml:space="preserve"> [2]!'00694B.TW-Open'</f>
        <v>37.36</v>
      </c>
      <c r="I83" s="2">
        <f xml:space="preserve"> [2]!'00694BN.TW-Price'</f>
        <v>37.409999999999997</v>
      </c>
    </row>
    <row r="84" spans="1:9">
      <c r="A84" s="26" t="s">
        <v>97</v>
      </c>
      <c r="B84" t="s">
        <v>553</v>
      </c>
      <c r="C84">
        <v>36.67</v>
      </c>
      <c r="D84" s="2">
        <f xml:space="preserve"> [2]!'00695B.TW-PreClose'</f>
        <v>36.65</v>
      </c>
      <c r="E84" s="2">
        <f xml:space="preserve"> [2]!'00695B.TW-Price'</f>
        <v>36.67</v>
      </c>
      <c r="F84" s="2">
        <f xml:space="preserve"> [2]!'00695B.TW-BestBid1'</f>
        <v>36.67</v>
      </c>
      <c r="G84" s="2">
        <f xml:space="preserve"> [2]!'00695B.TW-BestAsk1'</f>
        <v>36.700000000000003</v>
      </c>
      <c r="H84" s="2">
        <f xml:space="preserve"> [2]!'00695B.TW-Open'</f>
        <v>36.68</v>
      </c>
      <c r="I84" s="2">
        <f xml:space="preserve"> [2]!'00695BN.TW-Price'</f>
        <v>36.67</v>
      </c>
    </row>
    <row r="85" spans="1:9">
      <c r="A85" s="26" t="s">
        <v>98</v>
      </c>
      <c r="B85" t="s">
        <v>411</v>
      </c>
      <c r="C85">
        <v>40.409999999999997</v>
      </c>
      <c r="D85" s="2">
        <f xml:space="preserve"> [2]!'00696B.TW-PreClose'</f>
        <v>40.32</v>
      </c>
      <c r="E85" s="2">
        <f xml:space="preserve"> [2]!'00696B.TW-Price'</f>
        <v>40.409999999999997</v>
      </c>
      <c r="F85" s="2">
        <f xml:space="preserve"> [2]!'00696B.TW-BestBid1'</f>
        <v>40.39</v>
      </c>
      <c r="G85" s="2">
        <f xml:space="preserve"> [2]!'00696B.TW-BestAsk1'</f>
        <v>40.4</v>
      </c>
      <c r="H85" s="2">
        <f xml:space="preserve"> [2]!'00696B.TW-Open'</f>
        <v>40.28</v>
      </c>
      <c r="I85" s="2">
        <f xml:space="preserve"> [2]!'00696BN.TW-Price'</f>
        <v>40.28</v>
      </c>
    </row>
    <row r="86" spans="1:9">
      <c r="A86" s="26" t="s">
        <v>99</v>
      </c>
      <c r="B86" t="s">
        <v>554</v>
      </c>
      <c r="C86">
        <v>39.06</v>
      </c>
      <c r="D86" s="2">
        <f xml:space="preserve"> [2]!'00697B.TW-PreClose'</f>
        <v>38.99</v>
      </c>
      <c r="E86" s="2">
        <f xml:space="preserve"> [2]!'00697B.TW-Price'</f>
        <v>39.06</v>
      </c>
      <c r="F86" s="2">
        <f xml:space="preserve"> [2]!'00697B.TW-BestBid1'</f>
        <v>39.049999999999997</v>
      </c>
      <c r="G86" s="2">
        <f xml:space="preserve"> [2]!'00697B.TW-BestAsk1'</f>
        <v>39.1</v>
      </c>
      <c r="H86" s="2">
        <f xml:space="preserve"> [2]!'00697B.TW-Open'</f>
        <v>39.04</v>
      </c>
      <c r="I86" s="2">
        <f xml:space="preserve"> [2]!'00697BN.TW-Price'</f>
        <v>39.090000000000003</v>
      </c>
    </row>
    <row r="87" spans="1:9">
      <c r="A87" s="26" t="s">
        <v>100</v>
      </c>
      <c r="B87" t="s">
        <v>555</v>
      </c>
      <c r="C87">
        <v>18.36</v>
      </c>
      <c r="D87" s="2">
        <f xml:space="preserve"> [2]!'00700.TW-PreClose'</f>
        <v>18.45</v>
      </c>
      <c r="E87" s="2">
        <f xml:space="preserve"> [2]!'00700.TW-Price'</f>
        <v>18.36</v>
      </c>
      <c r="F87" s="2">
        <f xml:space="preserve"> [2]!'00700.TW-BestBid1'</f>
        <v>18.32</v>
      </c>
      <c r="G87" s="2">
        <f xml:space="preserve"> [2]!'00700.TW-BestAsk1'</f>
        <v>18.399999999999999</v>
      </c>
      <c r="H87" s="2">
        <f xml:space="preserve"> [2]!'00700.TW-Open'</f>
        <v>18.399999999999999</v>
      </c>
      <c r="I87" s="2">
        <f xml:space="preserve"> [2]!'00700N.TW-Price'</f>
        <v>18.54</v>
      </c>
    </row>
    <row r="88" spans="1:9">
      <c r="A88" s="26" t="s">
        <v>101</v>
      </c>
      <c r="B88" t="s">
        <v>556</v>
      </c>
      <c r="C88">
        <v>23.37</v>
      </c>
      <c r="D88" s="2">
        <f xml:space="preserve"> [2]!'00701.TW-PreClose'</f>
        <v>23.2</v>
      </c>
      <c r="E88" s="2">
        <f xml:space="preserve"> [2]!'00701.TW-Price'</f>
        <v>23.37</v>
      </c>
      <c r="F88" s="2">
        <f xml:space="preserve"> [2]!'00701.TW-BestBid1'</f>
        <v>23.37</v>
      </c>
      <c r="G88" s="2">
        <f xml:space="preserve"> [2]!'00701.TW-BestAsk1'</f>
        <v>23.38</v>
      </c>
      <c r="H88" s="2">
        <f xml:space="preserve"> [2]!'00701.TW-Open'</f>
        <v>23.4</v>
      </c>
      <c r="I88" s="2">
        <f xml:space="preserve"> [2]!'00701N.TW-Price'</f>
        <v>23.52</v>
      </c>
    </row>
    <row r="89" spans="1:9">
      <c r="A89" s="26" t="s">
        <v>102</v>
      </c>
      <c r="B89" t="s">
        <v>557</v>
      </c>
      <c r="C89">
        <v>20.9</v>
      </c>
      <c r="D89" s="2">
        <f xml:space="preserve"> [2]!'00702.TW-PreClose'</f>
        <v>20.54</v>
      </c>
      <c r="E89" s="2">
        <f xml:space="preserve"> [2]!'00702.TW-Price'</f>
        <v>20.9</v>
      </c>
      <c r="F89" s="2">
        <f xml:space="preserve"> [2]!'00702.TW-BestBid1'</f>
        <v>20.88</v>
      </c>
      <c r="G89" s="2">
        <f xml:space="preserve"> [2]!'00702.TW-BestAsk1'</f>
        <v>20.9</v>
      </c>
      <c r="H89" s="2">
        <f xml:space="preserve"> [2]!'00702.TW-Open'</f>
        <v>20.88</v>
      </c>
      <c r="I89" s="2">
        <f xml:space="preserve"> [2]!'00702N.TW-Price'</f>
        <v>20.87</v>
      </c>
    </row>
    <row r="90" spans="1:9">
      <c r="A90" s="26" t="s">
        <v>103</v>
      </c>
      <c r="B90" t="s">
        <v>558</v>
      </c>
      <c r="C90">
        <v>23.43</v>
      </c>
      <c r="D90" s="2">
        <f xml:space="preserve"> [2]!'00703.TW-PreClose'</f>
        <v>23.79</v>
      </c>
      <c r="E90" s="2">
        <f xml:space="preserve"> [2]!'00703.TW-Price'</f>
        <v>23.43</v>
      </c>
      <c r="F90" s="2">
        <f xml:space="preserve"> [2]!'00703.TW-BestBid1'</f>
        <v>23.4</v>
      </c>
      <c r="G90" s="2">
        <f xml:space="preserve"> [2]!'00703.TW-BestAsk1'</f>
        <v>23.42</v>
      </c>
      <c r="H90" s="2">
        <f xml:space="preserve"> [2]!'00703.TW-Open'</f>
        <v>23.67</v>
      </c>
      <c r="I90" s="2">
        <f xml:space="preserve"> [2]!'00703N.TW-Price'</f>
        <v>23.52</v>
      </c>
    </row>
    <row r="91" spans="1:9">
      <c r="A91" s="26" t="s">
        <v>104</v>
      </c>
      <c r="B91" t="s">
        <v>2520</v>
      </c>
      <c r="C91">
        <v>16.16</v>
      </c>
      <c r="D91" s="2">
        <f xml:space="preserve"> [2]!'00706L.TW-PreClose'</f>
        <v>16.11</v>
      </c>
      <c r="E91" s="2">
        <f xml:space="preserve"> [2]!'00706L.TW-Price'</f>
        <v>16.16</v>
      </c>
      <c r="F91" s="2">
        <f xml:space="preserve"> [2]!'00706L.TW-BestBid1'</f>
        <v>16.12</v>
      </c>
      <c r="G91" s="2">
        <f xml:space="preserve"> [2]!'00706L.TW-BestAsk1'</f>
        <v>16.16</v>
      </c>
      <c r="H91" s="2">
        <f xml:space="preserve"> [2]!'00706L.TW-Open'</f>
        <v>16.14</v>
      </c>
      <c r="I91" s="2">
        <f xml:space="preserve"> [2]!'00706LN.TW-Price'</f>
        <v>16.21</v>
      </c>
    </row>
    <row r="92" spans="1:9">
      <c r="A92" s="26" t="s">
        <v>105</v>
      </c>
      <c r="B92" t="s">
        <v>2521</v>
      </c>
      <c r="C92">
        <v>19.73</v>
      </c>
      <c r="D92" s="2">
        <f xml:space="preserve"> [2]!'00707R.TW-PreClose'</f>
        <v>19.73</v>
      </c>
      <c r="E92" s="2" t="str">
        <f xml:space="preserve"> [2]!'00707R.TW-Price'</f>
        <v>--</v>
      </c>
      <c r="F92" s="2">
        <f xml:space="preserve"> [2]!'00707R.TW-BestBid1'</f>
        <v>19.71</v>
      </c>
      <c r="G92" s="2">
        <f xml:space="preserve"> [2]!'00707R.TW-BestAsk1'</f>
        <v>19.75</v>
      </c>
      <c r="H92" s="2" t="str">
        <f xml:space="preserve"> [2]!'00707R.TW-Open'</f>
        <v>--</v>
      </c>
      <c r="I92" s="2">
        <f xml:space="preserve"> [2]!'00707RN.TW-Price'</f>
        <v>19.809999999999999</v>
      </c>
    </row>
    <row r="93" spans="1:9">
      <c r="A93" s="26" t="s">
        <v>106</v>
      </c>
      <c r="B93" t="s">
        <v>2522</v>
      </c>
      <c r="C93">
        <v>27.32</v>
      </c>
      <c r="D93" s="2">
        <f xml:space="preserve"> [2]!'00708L.TW-PreClose'</f>
        <v>27.2</v>
      </c>
      <c r="E93" s="2">
        <f xml:space="preserve"> [2]!'00708L.TW-Price'</f>
        <v>27.32</v>
      </c>
      <c r="F93" s="2">
        <f xml:space="preserve"> [2]!'00708L.TW-BestBid1'</f>
        <v>27.31</v>
      </c>
      <c r="G93" s="2">
        <f xml:space="preserve"> [2]!'00708L.TW-BestAsk1'</f>
        <v>27.32</v>
      </c>
      <c r="H93" s="2">
        <f xml:space="preserve"> [2]!'00708L.TW-Open'</f>
        <v>27.4</v>
      </c>
      <c r="I93" s="2">
        <f xml:space="preserve"> [2]!'00708LN.TW-Price'</f>
        <v>27.68</v>
      </c>
    </row>
    <row r="94" spans="1:9">
      <c r="A94" s="26" t="s">
        <v>107</v>
      </c>
      <c r="B94" t="s">
        <v>412</v>
      </c>
      <c r="C94">
        <v>23.37</v>
      </c>
      <c r="D94" s="2">
        <f xml:space="preserve"> [2]!'00709.TW-PreClose'</f>
        <v>23.12</v>
      </c>
      <c r="E94" s="2">
        <f xml:space="preserve"> [2]!'00709.TW-Price'</f>
        <v>23.37</v>
      </c>
      <c r="F94" s="2">
        <f xml:space="preserve"> [2]!'00709.TW-BestBid1'</f>
        <v>23.35</v>
      </c>
      <c r="G94" s="2">
        <f xml:space="preserve"> [2]!'00709.TW-BestAsk1'</f>
        <v>23.4</v>
      </c>
      <c r="H94" s="2">
        <f xml:space="preserve"> [2]!'00709.TW-Open'</f>
        <v>23.3</v>
      </c>
      <c r="I94" s="2">
        <f xml:space="preserve"> [2]!'00709N.TW-Price'</f>
        <v>23.41</v>
      </c>
    </row>
    <row r="95" spans="1:9">
      <c r="A95" s="26" t="s">
        <v>108</v>
      </c>
      <c r="B95" t="s">
        <v>562</v>
      </c>
      <c r="C95">
        <v>18.46</v>
      </c>
      <c r="D95" s="2">
        <f xml:space="preserve"> [2]!'00710B.TW-PreClose'</f>
        <v>18.350000000000001</v>
      </c>
      <c r="E95" s="2">
        <f xml:space="preserve"> [2]!'00710B.TW-Price'</f>
        <v>18.46</v>
      </c>
      <c r="F95" s="2">
        <f xml:space="preserve"> [2]!'00710B.TW-BestBid1'</f>
        <v>18.45</v>
      </c>
      <c r="G95" s="2">
        <f xml:space="preserve"> [2]!'00710B.TW-BestAsk1'</f>
        <v>18.46</v>
      </c>
      <c r="H95" s="2">
        <f xml:space="preserve"> [2]!'00710B.TW-Open'</f>
        <v>18.39</v>
      </c>
      <c r="I95" s="2">
        <f xml:space="preserve"> [2]!'00710BN.TW-Price'</f>
        <v>18.329999999999998</v>
      </c>
    </row>
    <row r="96" spans="1:9">
      <c r="A96" s="26" t="s">
        <v>109</v>
      </c>
      <c r="B96" t="s">
        <v>563</v>
      </c>
      <c r="C96">
        <v>19.93</v>
      </c>
      <c r="D96" s="2">
        <f xml:space="preserve"> [2]!'00711B.TW-PreClose'</f>
        <v>19.850000000000001</v>
      </c>
      <c r="E96" s="2">
        <f xml:space="preserve"> [2]!'00711B.TW-Price'</f>
        <v>19.93</v>
      </c>
      <c r="F96" s="2">
        <f xml:space="preserve"> [2]!'00711B.TW-BestBid1'</f>
        <v>19.91</v>
      </c>
      <c r="G96" s="2">
        <f xml:space="preserve"> [2]!'00711B.TW-BestAsk1'</f>
        <v>19.93</v>
      </c>
      <c r="H96" s="2">
        <f xml:space="preserve"> [2]!'00711B.TW-Open'</f>
        <v>19.87</v>
      </c>
      <c r="I96" s="2">
        <f xml:space="preserve"> [2]!'00711BN.TW-Price'</f>
        <v>19.86</v>
      </c>
    </row>
    <row r="97" spans="1:9">
      <c r="A97" s="26" t="s">
        <v>110</v>
      </c>
      <c r="B97" t="s">
        <v>564</v>
      </c>
      <c r="C97">
        <v>13.93</v>
      </c>
      <c r="D97" s="2">
        <f xml:space="preserve"> [2]!'00712.TW-PreClose'</f>
        <v>13.62</v>
      </c>
      <c r="E97" s="2">
        <f xml:space="preserve"> [2]!'00712.TW-Price'</f>
        <v>13.93</v>
      </c>
      <c r="F97" s="2">
        <f xml:space="preserve"> [2]!'00712.TW-BestBid1'</f>
        <v>13.93</v>
      </c>
      <c r="G97" s="2">
        <f xml:space="preserve"> [2]!'00712.TW-BestAsk1'</f>
        <v>13.94</v>
      </c>
      <c r="H97" s="2">
        <f xml:space="preserve"> [2]!'00712.TW-Open'</f>
        <v>13.84</v>
      </c>
      <c r="I97" s="2">
        <f xml:space="preserve"> [2]!'00712N.TW-Price'</f>
        <v>13.95</v>
      </c>
    </row>
    <row r="98" spans="1:9">
      <c r="A98" s="26" t="s">
        <v>111</v>
      </c>
      <c r="B98" t="s">
        <v>565</v>
      </c>
      <c r="C98">
        <v>40.44</v>
      </c>
      <c r="D98" s="2">
        <f xml:space="preserve"> [2]!'00713.TW-PreClose'</f>
        <v>40.729999999999997</v>
      </c>
      <c r="E98" s="2">
        <f xml:space="preserve"> [2]!'00713.TW-Price'</f>
        <v>40.44</v>
      </c>
      <c r="F98" s="2">
        <f xml:space="preserve"> [2]!'00713.TW-BestBid1'</f>
        <v>40.44</v>
      </c>
      <c r="G98" s="2">
        <f xml:space="preserve"> [2]!'00713.TW-BestAsk1'</f>
        <v>40.450000000000003</v>
      </c>
      <c r="H98" s="2">
        <f xml:space="preserve"> [2]!'00713.TW-Open'</f>
        <v>40.89</v>
      </c>
      <c r="I98" s="2">
        <f xml:space="preserve"> [2]!'00713N.TW-Price'</f>
        <v>40.700000000000003</v>
      </c>
    </row>
    <row r="99" spans="1:9">
      <c r="A99" s="26" t="s">
        <v>112</v>
      </c>
      <c r="B99" t="s">
        <v>566</v>
      </c>
      <c r="C99">
        <v>20.62</v>
      </c>
      <c r="D99" s="2">
        <f xml:space="preserve"> [2]!'00714.TW-PreClose'</f>
        <v>20.32</v>
      </c>
      <c r="E99" s="2">
        <f xml:space="preserve"> [2]!'00714.TW-Price'</f>
        <v>20.62</v>
      </c>
      <c r="F99" s="2">
        <f xml:space="preserve"> [2]!'00714.TW-BestBid1'</f>
        <v>20.63</v>
      </c>
      <c r="G99" s="2">
        <f xml:space="preserve"> [2]!'00714.TW-BestAsk1'</f>
        <v>20.68</v>
      </c>
      <c r="H99" s="2">
        <f xml:space="preserve"> [2]!'00714.TW-Open'</f>
        <v>20.62</v>
      </c>
      <c r="I99" s="2">
        <f xml:space="preserve"> [2]!'00714N.TW-Price'</f>
        <v>20.65</v>
      </c>
    </row>
    <row r="100" spans="1:9">
      <c r="A100" s="26" t="s">
        <v>113</v>
      </c>
      <c r="B100" t="s">
        <v>2523</v>
      </c>
      <c r="C100">
        <v>7.18</v>
      </c>
      <c r="D100" s="2">
        <f xml:space="preserve"> [2]!'00715L.TW-PreClose'</f>
        <v>7.46</v>
      </c>
      <c r="E100" s="2">
        <f xml:space="preserve"> [2]!'00715L.TW-Price'</f>
        <v>7.18</v>
      </c>
      <c r="F100" s="2">
        <f xml:space="preserve"> [2]!'00715L.TW-BestBid1'</f>
        <v>7.17</v>
      </c>
      <c r="G100" s="2">
        <f xml:space="preserve"> [2]!'00715L.TW-BestAsk1'</f>
        <v>7.18</v>
      </c>
      <c r="H100" s="2">
        <f xml:space="preserve"> [2]!'00715L.TW-Open'</f>
        <v>7.2</v>
      </c>
      <c r="I100" s="2">
        <f xml:space="preserve"> [2]!'00715LN.TW-Price'</f>
        <v>7.25</v>
      </c>
    </row>
    <row r="101" spans="1:9">
      <c r="A101" s="26" t="s">
        <v>114</v>
      </c>
      <c r="B101" t="s">
        <v>568</v>
      </c>
      <c r="C101">
        <v>16.54</v>
      </c>
      <c r="D101" s="2">
        <f xml:space="preserve"> [2]!'00717.TW-PreClose'</f>
        <v>16.48</v>
      </c>
      <c r="E101" s="2">
        <f xml:space="preserve"> [2]!'00717.TW-Price'</f>
        <v>16.54</v>
      </c>
      <c r="F101" s="2">
        <f xml:space="preserve"> [2]!'00717.TW-BestBid1'</f>
        <v>16.54</v>
      </c>
      <c r="G101" s="2">
        <f xml:space="preserve"> [2]!'00717.TW-BestAsk1'</f>
        <v>16.55</v>
      </c>
      <c r="H101" s="2">
        <f xml:space="preserve"> [2]!'00717.TW-Open'</f>
        <v>16.489999999999998</v>
      </c>
      <c r="I101" s="2">
        <f xml:space="preserve"> [2]!'00717N.TW-Price'</f>
        <v>16.649999999999999</v>
      </c>
    </row>
    <row r="102" spans="1:9">
      <c r="A102" s="26" t="s">
        <v>115</v>
      </c>
      <c r="B102" t="s">
        <v>569</v>
      </c>
      <c r="C102">
        <v>19.66</v>
      </c>
      <c r="D102" s="2">
        <f xml:space="preserve"> [2]!'00718B.TW-PreClose'</f>
        <v>19.600000000000001</v>
      </c>
      <c r="E102" s="2">
        <f xml:space="preserve"> [2]!'00718B.TW-Price'</f>
        <v>19.66</v>
      </c>
      <c r="F102" s="2">
        <f xml:space="preserve"> [2]!'00718B.TW-BestBid1'</f>
        <v>19.66</v>
      </c>
      <c r="G102" s="2">
        <f xml:space="preserve"> [2]!'00718B.TW-BestAsk1'</f>
        <v>19.670000000000002</v>
      </c>
      <c r="H102" s="2">
        <f xml:space="preserve"> [2]!'00718B.TW-Open'</f>
        <v>19.600000000000001</v>
      </c>
      <c r="I102" s="2">
        <f xml:space="preserve"> [2]!'00718BN.TW-Price'</f>
        <v>19.739999999999998</v>
      </c>
    </row>
    <row r="103" spans="1:9">
      <c r="A103" s="26" t="s">
        <v>116</v>
      </c>
      <c r="B103" t="s">
        <v>570</v>
      </c>
      <c r="C103">
        <v>30.15</v>
      </c>
      <c r="D103" s="2">
        <f xml:space="preserve"> [2]!'00719B.TW-PreClose'</f>
        <v>30.16</v>
      </c>
      <c r="E103" s="2">
        <f xml:space="preserve"> [2]!'00719B.TW-Price'</f>
        <v>30.15</v>
      </c>
      <c r="F103" s="2">
        <f xml:space="preserve"> [2]!'00719B.TW-BestBid1'</f>
        <v>30.12</v>
      </c>
      <c r="G103" s="2">
        <f xml:space="preserve"> [2]!'00719B.TW-BestAsk1'</f>
        <v>30.2</v>
      </c>
      <c r="H103" s="2">
        <f xml:space="preserve"> [2]!'00719B.TW-Open'</f>
        <v>30.15</v>
      </c>
      <c r="I103" s="2">
        <f xml:space="preserve"> [2]!'00719BN.TW-Price'</f>
        <v>30.17</v>
      </c>
    </row>
    <row r="104" spans="1:9">
      <c r="A104" s="26" t="s">
        <v>117</v>
      </c>
      <c r="B104" t="s">
        <v>571</v>
      </c>
      <c r="C104">
        <v>41.85</v>
      </c>
      <c r="D104" s="2">
        <f xml:space="preserve"> [2]!'00720B.TW-PreClose'</f>
        <v>41.67</v>
      </c>
      <c r="E104" s="2">
        <f xml:space="preserve"> [2]!'00720B.TW-Price'</f>
        <v>41.85</v>
      </c>
      <c r="F104" s="2">
        <f xml:space="preserve"> [2]!'00720B.TW-BestBid1'</f>
        <v>41.79</v>
      </c>
      <c r="G104" s="2">
        <f xml:space="preserve"> [2]!'00720B.TW-BestAsk1'</f>
        <v>41.8</v>
      </c>
      <c r="H104" s="2">
        <f xml:space="preserve"> [2]!'00720B.TW-Open'</f>
        <v>41.7</v>
      </c>
      <c r="I104" s="2">
        <f xml:space="preserve"> [2]!'00720BN.TW-Price'</f>
        <v>41.79</v>
      </c>
    </row>
    <row r="105" spans="1:9">
      <c r="A105" s="26" t="s">
        <v>118</v>
      </c>
      <c r="B105" t="s">
        <v>572</v>
      </c>
      <c r="C105">
        <v>45.05</v>
      </c>
      <c r="D105" s="2">
        <f xml:space="preserve"> [2]!'00721B.TW-PreClose'</f>
        <v>45.14</v>
      </c>
      <c r="E105" s="2">
        <f xml:space="preserve"> [2]!'00721B.TW-Price'</f>
        <v>45.05</v>
      </c>
      <c r="F105" s="2">
        <f xml:space="preserve"> [2]!'00721B.TW-BestBid1'</f>
        <v>45.02</v>
      </c>
      <c r="G105" s="2">
        <f xml:space="preserve"> [2]!'00721B.TW-BestAsk1'</f>
        <v>45.05</v>
      </c>
      <c r="H105" s="2">
        <f xml:space="preserve"> [2]!'00721B.TW-Open'</f>
        <v>44.98</v>
      </c>
      <c r="I105" s="2">
        <f xml:space="preserve"> [2]!'00721BN.TW-Price'</f>
        <v>45.26</v>
      </c>
    </row>
    <row r="106" spans="1:9">
      <c r="A106" s="26" t="s">
        <v>119</v>
      </c>
      <c r="B106" t="s">
        <v>573</v>
      </c>
      <c r="C106">
        <v>44.3</v>
      </c>
      <c r="D106" s="2">
        <f xml:space="preserve"> [2]!'00722B.TW-PreClose'</f>
        <v>44.16</v>
      </c>
      <c r="E106" s="2">
        <f xml:space="preserve"> [2]!'00722B.TW-Price'</f>
        <v>44.3</v>
      </c>
      <c r="F106" s="2">
        <f xml:space="preserve"> [2]!'00722B.TW-BestBid1'</f>
        <v>44.27</v>
      </c>
      <c r="G106" s="2">
        <f xml:space="preserve"> [2]!'00722B.TW-BestAsk1'</f>
        <v>44.3</v>
      </c>
      <c r="H106" s="2">
        <f xml:space="preserve"> [2]!'00722B.TW-Open'</f>
        <v>44.22</v>
      </c>
      <c r="I106" s="2">
        <f xml:space="preserve"> [2]!'00722BN.TW-Price'</f>
        <v>44.17</v>
      </c>
    </row>
    <row r="107" spans="1:9">
      <c r="A107" s="26" t="s">
        <v>120</v>
      </c>
      <c r="B107" t="s">
        <v>574</v>
      </c>
      <c r="C107">
        <v>40.22</v>
      </c>
      <c r="D107" s="2">
        <f xml:space="preserve"> [2]!'00723B.TW-PreClose'</f>
        <v>40.090000000000003</v>
      </c>
      <c r="E107" s="2">
        <f xml:space="preserve"> [2]!'00723B.TW-Price'</f>
        <v>40.22</v>
      </c>
      <c r="F107" s="2">
        <f xml:space="preserve"> [2]!'00723B.TW-BestBid1'</f>
        <v>40.22</v>
      </c>
      <c r="G107" s="2">
        <f xml:space="preserve"> [2]!'00723B.TW-BestAsk1'</f>
        <v>40.299999999999997</v>
      </c>
      <c r="H107" s="2">
        <f xml:space="preserve"> [2]!'00723B.TW-Open'</f>
        <v>40.130000000000003</v>
      </c>
      <c r="I107" s="2">
        <f xml:space="preserve"> [2]!'00723BN.TW-Price'</f>
        <v>40.04</v>
      </c>
    </row>
    <row r="108" spans="1:9">
      <c r="A108" s="26" t="s">
        <v>121</v>
      </c>
      <c r="B108" t="s">
        <v>575</v>
      </c>
      <c r="C108">
        <v>40.369999999999997</v>
      </c>
      <c r="D108" s="2">
        <f xml:space="preserve"> [2]!'00724B.TW-PreClose'</f>
        <v>40.01</v>
      </c>
      <c r="E108" s="2">
        <f xml:space="preserve"> [2]!'00724B.TW-Price'</f>
        <v>40.369999999999997</v>
      </c>
      <c r="F108" s="2">
        <f xml:space="preserve"> [2]!'00724B.TW-BestBid1'</f>
        <v>40.28</v>
      </c>
      <c r="G108" s="2">
        <f xml:space="preserve"> [2]!'00724B.TW-BestAsk1'</f>
        <v>40.299999999999997</v>
      </c>
      <c r="H108" s="2">
        <f xml:space="preserve"> [2]!'00724B.TW-Open'</f>
        <v>40.299999999999997</v>
      </c>
      <c r="I108" s="2">
        <f xml:space="preserve"> [2]!'00724BN.TW-Price'</f>
        <v>40.130000000000003</v>
      </c>
    </row>
    <row r="109" spans="1:9">
      <c r="A109" s="26" t="s">
        <v>122</v>
      </c>
      <c r="B109" t="s">
        <v>576</v>
      </c>
      <c r="C109">
        <v>42.3</v>
      </c>
      <c r="D109" s="2">
        <f xml:space="preserve"> [2]!'00725B.TW-PreClose'</f>
        <v>42.16</v>
      </c>
      <c r="E109" s="2">
        <f xml:space="preserve"> [2]!'00725B.TW-Price'</f>
        <v>42.3</v>
      </c>
      <c r="F109" s="2">
        <f xml:space="preserve"> [2]!'00725B.TW-BestBid1'</f>
        <v>42.28</v>
      </c>
      <c r="G109" s="2">
        <f xml:space="preserve"> [2]!'00725B.TW-BestAsk1'</f>
        <v>42.3</v>
      </c>
      <c r="H109" s="2">
        <f xml:space="preserve"> [2]!'00725B.TW-Open'</f>
        <v>42.23</v>
      </c>
      <c r="I109" s="2">
        <f xml:space="preserve"> [2]!'00725BN.TW-Price'</f>
        <v>42.31</v>
      </c>
    </row>
    <row r="110" spans="1:9">
      <c r="A110" s="26" t="s">
        <v>123</v>
      </c>
      <c r="B110" t="s">
        <v>577</v>
      </c>
      <c r="C110">
        <v>41.3</v>
      </c>
      <c r="D110" s="2">
        <f xml:space="preserve"> [2]!'00726B.TW-PreClose'</f>
        <v>41.35</v>
      </c>
      <c r="E110" s="2">
        <f xml:space="preserve"> [2]!'00726B.TW-Price'</f>
        <v>41.3</v>
      </c>
      <c r="F110" s="2">
        <f xml:space="preserve"> [2]!'00726B.TW-BestBid1'</f>
        <v>41.22</v>
      </c>
      <c r="G110" s="2">
        <f xml:space="preserve"> [2]!'00726B.TW-BestAsk1'</f>
        <v>41.33</v>
      </c>
      <c r="H110" s="2">
        <f xml:space="preserve"> [2]!'00726B.TW-Open'</f>
        <v>41.2</v>
      </c>
      <c r="I110" s="2">
        <f xml:space="preserve"> [2]!'00726BN.TW-Price'</f>
        <v>41.35</v>
      </c>
    </row>
    <row r="111" spans="1:9">
      <c r="A111" s="26" t="s">
        <v>124</v>
      </c>
      <c r="B111" t="s">
        <v>578</v>
      </c>
      <c r="C111">
        <v>38.35</v>
      </c>
      <c r="D111" s="2">
        <f xml:space="preserve"> [2]!'00727B.TW-PreClose'</f>
        <v>38.340000000000003</v>
      </c>
      <c r="E111" s="2">
        <f xml:space="preserve"> [2]!'00727B.TW-Price'</f>
        <v>38.35</v>
      </c>
      <c r="F111" s="2">
        <f xml:space="preserve"> [2]!'00727B.TW-BestBid1'</f>
        <v>38.340000000000003</v>
      </c>
      <c r="G111" s="2">
        <f xml:space="preserve"> [2]!'00727B.TW-BestAsk1'</f>
        <v>38.35</v>
      </c>
      <c r="H111" s="2">
        <f xml:space="preserve"> [2]!'00727B.TW-Open'</f>
        <v>38.340000000000003</v>
      </c>
      <c r="I111" s="2">
        <f xml:space="preserve"> [2]!'00727BN.TW-Price'</f>
        <v>38.25</v>
      </c>
    </row>
    <row r="112" spans="1:9">
      <c r="A112" s="26" t="s">
        <v>125</v>
      </c>
      <c r="B112" t="s">
        <v>579</v>
      </c>
      <c r="C112">
        <v>26.45</v>
      </c>
      <c r="D112" s="2">
        <f xml:space="preserve"> [2]!'00728.TW-PreClose'</f>
        <v>26.07</v>
      </c>
      <c r="E112" s="2">
        <f xml:space="preserve"> [2]!'00728.TW-Price'</f>
        <v>26.45</v>
      </c>
      <c r="F112" s="2">
        <f xml:space="preserve"> [2]!'00728.TW-BestBid1'</f>
        <v>26.45</v>
      </c>
      <c r="G112" s="2">
        <f xml:space="preserve"> [2]!'00728.TW-BestAsk1'</f>
        <v>26.46</v>
      </c>
      <c r="H112" s="2">
        <f xml:space="preserve"> [2]!'00728.TW-Open'</f>
        <v>26.5</v>
      </c>
      <c r="I112" s="2">
        <f xml:space="preserve"> [2]!'00728N.TW-Price'</f>
        <v>26.31</v>
      </c>
    </row>
    <row r="113" spans="1:9">
      <c r="A113" s="26" t="s">
        <v>126</v>
      </c>
      <c r="B113" t="s">
        <v>580</v>
      </c>
      <c r="C113">
        <v>20.399999999999999</v>
      </c>
      <c r="D113" s="2">
        <f xml:space="preserve"> [2]!'00730.TW-PreClose'</f>
        <v>20.29</v>
      </c>
      <c r="E113" s="2">
        <f xml:space="preserve"> [2]!'00730.TW-Price'</f>
        <v>20.399999999999999</v>
      </c>
      <c r="F113" s="2">
        <f xml:space="preserve"> [2]!'00730.TW-BestBid1'</f>
        <v>20.399999999999999</v>
      </c>
      <c r="G113" s="2">
        <f xml:space="preserve"> [2]!'00730.TW-BestAsk1'</f>
        <v>20.420000000000002</v>
      </c>
      <c r="H113" s="2">
        <f xml:space="preserve"> [2]!'00730.TW-Open'</f>
        <v>20.3</v>
      </c>
      <c r="I113" s="2">
        <f xml:space="preserve"> [2]!'00730N.TW-Price'</f>
        <v>20.440000000000001</v>
      </c>
    </row>
    <row r="114" spans="1:9">
      <c r="A114" s="26" t="s">
        <v>127</v>
      </c>
      <c r="B114" t="s">
        <v>581</v>
      </c>
      <c r="C114">
        <v>55.85</v>
      </c>
      <c r="D114" s="2">
        <f xml:space="preserve"> [2]!'00731.TW-PreClose'</f>
        <v>55.35</v>
      </c>
      <c r="E114" s="2">
        <f xml:space="preserve"> [2]!'00731.TW-Price'</f>
        <v>55.85</v>
      </c>
      <c r="F114" s="2">
        <f xml:space="preserve"> [2]!'00731.TW-BestBid1'</f>
        <v>55.7</v>
      </c>
      <c r="G114" s="2">
        <f xml:space="preserve"> [2]!'00731.TW-BestAsk1'</f>
        <v>55.85</v>
      </c>
      <c r="H114" s="2">
        <f xml:space="preserve"> [2]!'00731.TW-Open'</f>
        <v>55.35</v>
      </c>
      <c r="I114" s="2">
        <f xml:space="preserve"> [2]!'00731N.TW-Price'</f>
        <v>55.68</v>
      </c>
    </row>
    <row r="115" spans="1:9">
      <c r="A115" s="26" t="s">
        <v>128</v>
      </c>
      <c r="B115" t="s">
        <v>582</v>
      </c>
      <c r="C115">
        <v>39.69</v>
      </c>
      <c r="D115" s="2">
        <f xml:space="preserve"> [2]!'00732.TW-PreClose'</f>
        <v>39.75</v>
      </c>
      <c r="E115" s="2">
        <f xml:space="preserve"> [2]!'00732.TW-Price'</f>
        <v>39.69</v>
      </c>
      <c r="F115" s="2">
        <f xml:space="preserve"> [2]!'00732.TW-BestBid1'</f>
        <v>39.590000000000003</v>
      </c>
      <c r="G115" s="2">
        <f xml:space="preserve"> [2]!'00732.TW-BestAsk1'</f>
        <v>39.65</v>
      </c>
      <c r="H115" s="2">
        <f xml:space="preserve"> [2]!'00732.TW-Open'</f>
        <v>39.69</v>
      </c>
      <c r="I115" s="2">
        <f xml:space="preserve"> [2]!'00732N.TW-Price'</f>
        <v>39.799999999999997</v>
      </c>
    </row>
    <row r="116" spans="1:9">
      <c r="A116" s="26" t="s">
        <v>129</v>
      </c>
      <c r="B116" t="s">
        <v>583</v>
      </c>
      <c r="C116">
        <v>37.5</v>
      </c>
      <c r="D116" s="2">
        <f xml:space="preserve"> [2]!'00733.TW-PreClose'</f>
        <v>37.72</v>
      </c>
      <c r="E116" s="2">
        <f xml:space="preserve"> [2]!'00733.TW-Price'</f>
        <v>37.5</v>
      </c>
      <c r="F116" s="2">
        <f xml:space="preserve"> [2]!'00733.TW-BestBid1'</f>
        <v>37.5</v>
      </c>
      <c r="G116" s="2">
        <f xml:space="preserve"> [2]!'00733.TW-BestAsk1'</f>
        <v>37.520000000000003</v>
      </c>
      <c r="H116" s="2">
        <f xml:space="preserve"> [2]!'00733.TW-Open'</f>
        <v>38.46</v>
      </c>
      <c r="I116" s="2">
        <f xml:space="preserve"> [2]!'00733N.TW-Price'</f>
        <v>37.450000000000003</v>
      </c>
    </row>
    <row r="117" spans="1:9">
      <c r="A117" s="26" t="s">
        <v>130</v>
      </c>
      <c r="B117" t="s">
        <v>584</v>
      </c>
      <c r="C117">
        <v>19.21</v>
      </c>
      <c r="D117" s="2">
        <f xml:space="preserve"> [2]!'00734B.TW-PreClose'</f>
        <v>19.21</v>
      </c>
      <c r="E117" s="2">
        <f xml:space="preserve"> [2]!'00734B.TW-Price'</f>
        <v>19.21</v>
      </c>
      <c r="F117" s="2">
        <f xml:space="preserve"> [2]!'00734B.TW-BestBid1'</f>
        <v>19.21</v>
      </c>
      <c r="G117" s="2">
        <f xml:space="preserve"> [2]!'00734B.TW-BestAsk1'</f>
        <v>19.239999999999998</v>
      </c>
      <c r="H117" s="2">
        <f xml:space="preserve"> [2]!'00734B.TW-Open'</f>
        <v>19.239999999999998</v>
      </c>
      <c r="I117" s="2">
        <f xml:space="preserve"> [2]!'00734BN.TW-Price'</f>
        <v>19.309999999999999</v>
      </c>
    </row>
    <row r="118" spans="1:9">
      <c r="A118" s="26" t="s">
        <v>131</v>
      </c>
      <c r="B118" t="s">
        <v>585</v>
      </c>
      <c r="C118">
        <v>31.69</v>
      </c>
      <c r="D118" s="2">
        <f xml:space="preserve"> [2]!'00735.TW-PreClose'</f>
        <v>31.6</v>
      </c>
      <c r="E118" s="2">
        <f xml:space="preserve"> [2]!'00735.TW-Price'</f>
        <v>31.69</v>
      </c>
      <c r="F118" s="2">
        <f xml:space="preserve"> [2]!'00735.TW-BestBid1'</f>
        <v>31.75</v>
      </c>
      <c r="G118" s="2">
        <f xml:space="preserve"> [2]!'00735.TW-BestAsk1'</f>
        <v>31.8</v>
      </c>
      <c r="H118" s="2">
        <f xml:space="preserve"> [2]!'00735.TW-Open'</f>
        <v>31.64</v>
      </c>
      <c r="I118" s="2">
        <f xml:space="preserve"> [2]!'00735N.TW-Price'</f>
        <v>31.71</v>
      </c>
    </row>
    <row r="119" spans="1:9">
      <c r="A119" s="26" t="s">
        <v>132</v>
      </c>
      <c r="B119" t="s">
        <v>586</v>
      </c>
      <c r="C119">
        <v>22.58</v>
      </c>
      <c r="D119" s="2">
        <f xml:space="preserve"> [2]!'00736.TW-PreClose'</f>
        <v>22.55</v>
      </c>
      <c r="E119" s="2">
        <f xml:space="preserve"> [2]!'00736.TW-Price'</f>
        <v>22.58</v>
      </c>
      <c r="F119" s="2">
        <f xml:space="preserve"> [2]!'00736.TW-BestBid1'</f>
        <v>22.57</v>
      </c>
      <c r="G119" s="2">
        <f xml:space="preserve"> [2]!'00736.TW-BestAsk1'</f>
        <v>22.58</v>
      </c>
      <c r="H119" s="2">
        <f xml:space="preserve"> [2]!'00736.TW-Open'</f>
        <v>22.56</v>
      </c>
      <c r="I119" s="2">
        <f xml:space="preserve"> [2]!'00736N.TW-Price'</f>
        <v>22.49</v>
      </c>
    </row>
    <row r="120" spans="1:9">
      <c r="A120" s="26" t="s">
        <v>133</v>
      </c>
      <c r="B120" t="s">
        <v>587</v>
      </c>
      <c r="C120">
        <v>30.27</v>
      </c>
      <c r="D120" s="2">
        <f xml:space="preserve"> [2]!'00737.TW-PreClose'</f>
        <v>30</v>
      </c>
      <c r="E120" s="2">
        <f xml:space="preserve"> [2]!'00737.TW-Price'</f>
        <v>30.27</v>
      </c>
      <c r="F120" s="2">
        <f xml:space="preserve"> [2]!'00737.TW-BestBid1'</f>
        <v>30.23</v>
      </c>
      <c r="G120" s="2">
        <f xml:space="preserve"> [2]!'00737.TW-BestAsk1'</f>
        <v>30.27</v>
      </c>
      <c r="H120" s="2">
        <f xml:space="preserve"> [2]!'00737.TW-Open'</f>
        <v>30</v>
      </c>
      <c r="I120" s="2">
        <f xml:space="preserve"> [2]!'00737N.TW-Price'</f>
        <v>30.16</v>
      </c>
    </row>
    <row r="121" spans="1:9">
      <c r="A121" s="26" t="s">
        <v>134</v>
      </c>
      <c r="B121" t="s">
        <v>2524</v>
      </c>
      <c r="C121">
        <v>27.91</v>
      </c>
      <c r="D121" s="2">
        <f xml:space="preserve"> [2]!'00738U.TW-PreClose'</f>
        <v>27.96</v>
      </c>
      <c r="E121" s="2">
        <f xml:space="preserve"> [2]!'00738U.TW-Price'</f>
        <v>27.91</v>
      </c>
      <c r="F121" s="2">
        <f xml:space="preserve"> [2]!'00738U.TW-BestBid1'</f>
        <v>27.91</v>
      </c>
      <c r="G121" s="2">
        <f xml:space="preserve"> [2]!'00738U.TW-BestAsk1'</f>
        <v>27.93</v>
      </c>
      <c r="H121" s="2">
        <f xml:space="preserve"> [2]!'00738U.TW-Open'</f>
        <v>28.05</v>
      </c>
      <c r="I121" s="2">
        <f xml:space="preserve"> [2]!'00738UN.TW-Price'</f>
        <v>28.24</v>
      </c>
    </row>
    <row r="122" spans="1:9">
      <c r="A122" s="26" t="s">
        <v>135</v>
      </c>
      <c r="B122" t="s">
        <v>589</v>
      </c>
      <c r="C122">
        <v>27.77</v>
      </c>
      <c r="D122" s="2">
        <f xml:space="preserve"> [2]!'00739.TW-PreClose'</f>
        <v>27.1</v>
      </c>
      <c r="E122" s="2">
        <f xml:space="preserve"> [2]!'00739.TW-Price'</f>
        <v>27.77</v>
      </c>
      <c r="F122" s="2">
        <f xml:space="preserve"> [2]!'00739.TW-BestBid1'</f>
        <v>27.77</v>
      </c>
      <c r="G122" s="2">
        <f xml:space="preserve"> [2]!'00739.TW-BestAsk1'</f>
        <v>27.78</v>
      </c>
      <c r="H122" s="2">
        <f xml:space="preserve"> [2]!'00739.TW-Open'</f>
        <v>27.35</v>
      </c>
      <c r="I122" s="2">
        <f xml:space="preserve"> [2]!'00739N.TW-Price'</f>
        <v>28.09</v>
      </c>
    </row>
    <row r="123" spans="1:9">
      <c r="A123" s="26" t="s">
        <v>136</v>
      </c>
      <c r="B123" t="s">
        <v>590</v>
      </c>
      <c r="C123">
        <v>45.32</v>
      </c>
      <c r="D123" s="2">
        <f xml:space="preserve"> [2]!'00740B.TW-PreClose'</f>
        <v>45.15</v>
      </c>
      <c r="E123" s="2">
        <f xml:space="preserve"> [2]!'00740B.TW-Price'</f>
        <v>45.32</v>
      </c>
      <c r="F123" s="2">
        <f xml:space="preserve"> [2]!'00740B.TW-BestBid1'</f>
        <v>45.25</v>
      </c>
      <c r="G123" s="2">
        <f xml:space="preserve"> [2]!'00740B.TW-BestAsk1'</f>
        <v>45.33</v>
      </c>
      <c r="H123" s="2">
        <f xml:space="preserve"> [2]!'00740B.TW-Open'</f>
        <v>45.19</v>
      </c>
      <c r="I123" s="2">
        <f xml:space="preserve"> [2]!'00740BN.TW-Price'</f>
        <v>45.24</v>
      </c>
    </row>
    <row r="124" spans="1:9">
      <c r="A124" s="26" t="s">
        <v>137</v>
      </c>
      <c r="B124" t="s">
        <v>591</v>
      </c>
      <c r="C124">
        <v>37.409999999999997</v>
      </c>
      <c r="D124" s="2">
        <f xml:space="preserve"> [2]!'00741B.TW-PreClose'</f>
        <v>37.450000000000003</v>
      </c>
      <c r="E124" s="2">
        <f xml:space="preserve"> [2]!'00741B.TW-Price'</f>
        <v>37.409999999999997</v>
      </c>
      <c r="F124" s="2">
        <f xml:space="preserve"> [2]!'00741B.TW-BestBid1'</f>
        <v>37.39</v>
      </c>
      <c r="G124" s="2">
        <f xml:space="preserve"> [2]!'00741B.TW-BestAsk1'</f>
        <v>37.46</v>
      </c>
      <c r="H124" s="2">
        <f xml:space="preserve"> [2]!'00741B.TW-Open'</f>
        <v>37.42</v>
      </c>
      <c r="I124" s="2">
        <f xml:space="preserve"> [2]!'00741BN.TW-Price'</f>
        <v>37.340000000000003</v>
      </c>
    </row>
    <row r="125" spans="1:9">
      <c r="A125" s="26" t="s">
        <v>138</v>
      </c>
      <c r="B125" t="s">
        <v>592</v>
      </c>
      <c r="C125">
        <v>21.75</v>
      </c>
      <c r="D125" s="2">
        <f xml:space="preserve"> [2]!'00742.TW-PreClose'</f>
        <v>21.6</v>
      </c>
      <c r="E125" s="2">
        <f xml:space="preserve"> [2]!'00742.TW-Price'</f>
        <v>21.75</v>
      </c>
      <c r="F125" s="2">
        <f xml:space="preserve"> [2]!'00742.TW-BestBid1'</f>
        <v>21.72</v>
      </c>
      <c r="G125" s="2">
        <f xml:space="preserve"> [2]!'00742.TW-BestAsk1'</f>
        <v>21.8</v>
      </c>
      <c r="H125" s="2">
        <f xml:space="preserve"> [2]!'00742.TW-Open'</f>
        <v>21.82</v>
      </c>
      <c r="I125" s="2">
        <f xml:space="preserve"> [2]!'00742N.TW-Price'</f>
        <v>21.76</v>
      </c>
    </row>
    <row r="126" spans="1:9">
      <c r="A126" s="26" t="s">
        <v>139</v>
      </c>
      <c r="B126" t="s">
        <v>593</v>
      </c>
      <c r="C126">
        <v>29.05</v>
      </c>
      <c r="D126" s="2">
        <f xml:space="preserve"> [2]!'00743.TW-PreClose'</f>
        <v>28.49</v>
      </c>
      <c r="E126" s="2">
        <f xml:space="preserve"> [2]!'00743.TW-Price'</f>
        <v>29.05</v>
      </c>
      <c r="F126" s="2">
        <f xml:space="preserve"> [2]!'00743.TW-BestBid1'</f>
        <v>29.05</v>
      </c>
      <c r="G126" s="2">
        <f xml:space="preserve"> [2]!'00743.TW-BestAsk1'</f>
        <v>29.12</v>
      </c>
      <c r="H126" s="2">
        <f xml:space="preserve"> [2]!'00743.TW-Open'</f>
        <v>28.49</v>
      </c>
      <c r="I126" s="2">
        <f xml:space="preserve"> [2]!'00743N.TW-Price'</f>
        <v>29.33</v>
      </c>
    </row>
    <row r="127" spans="1:9">
      <c r="A127" s="26" t="s">
        <v>140</v>
      </c>
      <c r="B127" t="s">
        <v>594</v>
      </c>
      <c r="C127">
        <v>41.5</v>
      </c>
      <c r="D127" s="2">
        <f xml:space="preserve"> [2]!'00744B.TW-PreClose'</f>
        <v>41.44</v>
      </c>
      <c r="E127" s="2">
        <f xml:space="preserve"> [2]!'00744B.TW-Price'</f>
        <v>41.5</v>
      </c>
      <c r="F127" s="2">
        <f xml:space="preserve"> [2]!'00744B.TW-BestBid1'</f>
        <v>41.43</v>
      </c>
      <c r="G127" s="2">
        <f xml:space="preserve"> [2]!'00744B.TW-BestAsk1'</f>
        <v>41.45</v>
      </c>
      <c r="H127" s="2">
        <f xml:space="preserve"> [2]!'00744B.TW-Open'</f>
        <v>41.5</v>
      </c>
      <c r="I127" s="2">
        <f xml:space="preserve"> [2]!'00744BN.TW-Price'</f>
        <v>41.78</v>
      </c>
    </row>
    <row r="128" spans="1:9">
      <c r="A128" s="26" t="s">
        <v>141</v>
      </c>
      <c r="B128" t="s">
        <v>595</v>
      </c>
      <c r="C128">
        <v>40.630000000000003</v>
      </c>
      <c r="D128" s="2">
        <f xml:space="preserve"> [2]!'00745B.TW-PreClose'</f>
        <v>40.57</v>
      </c>
      <c r="E128" s="2">
        <f xml:space="preserve"> [2]!'00745B.TW-Price'</f>
        <v>40.630000000000003</v>
      </c>
      <c r="F128" s="2">
        <f xml:space="preserve"> [2]!'00745B.TW-BestBid1'</f>
        <v>40.479999999999997</v>
      </c>
      <c r="G128" s="2">
        <f xml:space="preserve"> [2]!'00745B.TW-BestAsk1'</f>
        <v>40.65</v>
      </c>
      <c r="H128" s="2">
        <f xml:space="preserve"> [2]!'00745B.TW-Open'</f>
        <v>40.630000000000003</v>
      </c>
      <c r="I128" s="2">
        <f xml:space="preserve"> [2]!'00745BN.TW-Price'</f>
        <v>40.770000000000003</v>
      </c>
    </row>
    <row r="129" spans="1:9">
      <c r="A129" s="26" t="s">
        <v>142</v>
      </c>
      <c r="B129" t="s">
        <v>596</v>
      </c>
      <c r="C129">
        <v>42.55</v>
      </c>
      <c r="D129" s="2">
        <f xml:space="preserve"> [2]!'00746B.TW-PreClose'</f>
        <v>42.38</v>
      </c>
      <c r="E129" s="2">
        <f xml:space="preserve"> [2]!'00746B.TW-Price'</f>
        <v>42.55</v>
      </c>
      <c r="F129" s="2">
        <f xml:space="preserve"> [2]!'00746B.TW-BestBid1'</f>
        <v>42.41</v>
      </c>
      <c r="G129" s="2">
        <f xml:space="preserve"> [2]!'00746B.TW-BestAsk1'</f>
        <v>42.45</v>
      </c>
      <c r="H129" s="2">
        <f xml:space="preserve"> [2]!'00746B.TW-Open'</f>
        <v>42.38</v>
      </c>
      <c r="I129" s="2">
        <f xml:space="preserve"> [2]!'00746BN.TW-Price'</f>
        <v>42.29</v>
      </c>
    </row>
    <row r="130" spans="1:9">
      <c r="A130" s="26" t="s">
        <v>143</v>
      </c>
      <c r="B130" t="s">
        <v>597</v>
      </c>
      <c r="C130">
        <v>50.75</v>
      </c>
      <c r="D130" s="2">
        <f xml:space="preserve"> [2]!'00747B.TW-PreClose'</f>
        <v>50.8</v>
      </c>
      <c r="E130" s="2">
        <f xml:space="preserve"> [2]!'00747B.TW-Price'</f>
        <v>50.75</v>
      </c>
      <c r="F130" s="2">
        <f xml:space="preserve"> [2]!'00747B.TW-BestBid1'</f>
        <v>50.7</v>
      </c>
      <c r="G130" s="2">
        <f xml:space="preserve"> [2]!'00747B.TW-BestAsk1'</f>
        <v>50.8</v>
      </c>
      <c r="H130" s="2">
        <f xml:space="preserve"> [2]!'00747B.TW-Open'</f>
        <v>50.75</v>
      </c>
      <c r="I130" s="2">
        <f xml:space="preserve"> [2]!'00747BN.TW-Price'</f>
        <v>50.89</v>
      </c>
    </row>
    <row r="131" spans="1:9">
      <c r="A131" s="26" t="s">
        <v>144</v>
      </c>
      <c r="B131" t="s">
        <v>598</v>
      </c>
      <c r="C131">
        <v>41.63</v>
      </c>
      <c r="D131" s="2">
        <f xml:space="preserve"> [2]!'00748B.TW-PreClose'</f>
        <v>41.63</v>
      </c>
      <c r="E131" s="2">
        <f xml:space="preserve"> [2]!'00748B.TW-Price'</f>
        <v>41.63</v>
      </c>
      <c r="F131" s="2">
        <f xml:space="preserve"> [2]!'00748B.TW-BestBid1'</f>
        <v>41.54</v>
      </c>
      <c r="G131" s="2">
        <f xml:space="preserve"> [2]!'00748B.TW-BestAsk1'</f>
        <v>41.55</v>
      </c>
      <c r="H131" s="2">
        <f xml:space="preserve"> [2]!'00748B.TW-Open'</f>
        <v>41.63</v>
      </c>
      <c r="I131" s="2">
        <f xml:space="preserve"> [2]!'00748BN.TW-Price'</f>
        <v>41.63</v>
      </c>
    </row>
    <row r="132" spans="1:9">
      <c r="A132" s="26" t="s">
        <v>145</v>
      </c>
      <c r="B132" t="s">
        <v>599</v>
      </c>
      <c r="C132">
        <v>41.68</v>
      </c>
      <c r="D132" s="2">
        <f xml:space="preserve"> [2]!'00749B.TW-PreClose'</f>
        <v>41.63</v>
      </c>
      <c r="E132" s="2">
        <f xml:space="preserve"> [2]!'00749B.TW-Price'</f>
        <v>41.68</v>
      </c>
      <c r="F132" s="2">
        <f xml:space="preserve"> [2]!'00749B.TW-BestBid1'</f>
        <v>41.6</v>
      </c>
      <c r="G132" s="2">
        <f xml:space="preserve"> [2]!'00749B.TW-BestAsk1'</f>
        <v>41.65</v>
      </c>
      <c r="H132" s="2">
        <f xml:space="preserve"> [2]!'00749B.TW-Open'</f>
        <v>41.52</v>
      </c>
      <c r="I132" s="2">
        <f xml:space="preserve"> [2]!'00749BN.TW-Price'</f>
        <v>41.56</v>
      </c>
    </row>
    <row r="133" spans="1:9">
      <c r="A133" s="26" t="s">
        <v>146</v>
      </c>
      <c r="B133" t="s">
        <v>600</v>
      </c>
      <c r="C133">
        <v>41.29</v>
      </c>
      <c r="D133" s="2">
        <f xml:space="preserve"> [2]!'00750B.TW-PreClose'</f>
        <v>41.22</v>
      </c>
      <c r="E133" s="2">
        <f xml:space="preserve"> [2]!'00750B.TW-Price'</f>
        <v>41.29</v>
      </c>
      <c r="F133" s="2">
        <f xml:space="preserve"> [2]!'00750B.TW-BestBid1'</f>
        <v>41.21</v>
      </c>
      <c r="G133" s="2">
        <f xml:space="preserve"> [2]!'00750B.TW-BestAsk1'</f>
        <v>41.25</v>
      </c>
      <c r="H133" s="2">
        <f xml:space="preserve"> [2]!'00750B.TW-Open'</f>
        <v>41.22</v>
      </c>
      <c r="I133" s="2">
        <f xml:space="preserve"> [2]!'00750BN.TW-Price'</f>
        <v>41.23</v>
      </c>
    </row>
    <row r="134" spans="1:9">
      <c r="A134" s="26" t="s">
        <v>147</v>
      </c>
      <c r="B134" t="s">
        <v>601</v>
      </c>
      <c r="C134">
        <v>42.46</v>
      </c>
      <c r="D134" s="2">
        <f xml:space="preserve"> [2]!'00751B.TW-PreClose'</f>
        <v>42.41</v>
      </c>
      <c r="E134" s="2">
        <f xml:space="preserve"> [2]!'00751B.TW-Price'</f>
        <v>42.46</v>
      </c>
      <c r="F134" s="2">
        <f xml:space="preserve"> [2]!'00751B.TW-BestBid1'</f>
        <v>42.46</v>
      </c>
      <c r="G134" s="2">
        <f xml:space="preserve"> [2]!'00751B.TW-BestAsk1'</f>
        <v>42.53</v>
      </c>
      <c r="H134" s="2">
        <f xml:space="preserve"> [2]!'00751B.TW-Open'</f>
        <v>42.41</v>
      </c>
      <c r="I134" s="2">
        <f xml:space="preserve"> [2]!'00751BN.TW-Price'</f>
        <v>42.43</v>
      </c>
    </row>
    <row r="135" spans="1:9">
      <c r="A135" s="26" t="s">
        <v>148</v>
      </c>
      <c r="B135" t="s">
        <v>602</v>
      </c>
      <c r="C135">
        <v>27.52</v>
      </c>
      <c r="D135" s="2">
        <f xml:space="preserve"> [2]!'00752.TW-PreClose'</f>
        <v>27.85</v>
      </c>
      <c r="E135" s="2">
        <f xml:space="preserve"> [2]!'00752.TW-Price'</f>
        <v>27.52</v>
      </c>
      <c r="F135" s="2">
        <f xml:space="preserve"> [2]!'00752.TW-BestBid1'</f>
        <v>27.51</v>
      </c>
      <c r="G135" s="2">
        <f xml:space="preserve"> [2]!'00752.TW-BestAsk1'</f>
        <v>27.52</v>
      </c>
      <c r="H135" s="2">
        <f xml:space="preserve"> [2]!'00752.TW-Open'</f>
        <v>27.69</v>
      </c>
      <c r="I135" s="2">
        <f xml:space="preserve"> [2]!'00752N.TW-Price'</f>
        <v>27.42</v>
      </c>
    </row>
    <row r="136" spans="1:9">
      <c r="A136" s="26" t="s">
        <v>149</v>
      </c>
      <c r="B136" t="s">
        <v>603</v>
      </c>
      <c r="C136">
        <v>33.36</v>
      </c>
      <c r="D136" s="2">
        <f xml:space="preserve"> [2]!'00753L.TW-PreClose'</f>
        <v>33.99</v>
      </c>
      <c r="E136" s="2">
        <f xml:space="preserve"> [2]!'00753L.TW-Price'</f>
        <v>33.36</v>
      </c>
      <c r="F136" s="2">
        <f xml:space="preserve"> [2]!'00753L.TW-BestBid1'</f>
        <v>33.35</v>
      </c>
      <c r="G136" s="2">
        <f xml:space="preserve"> [2]!'00753L.TW-BestAsk1'</f>
        <v>33.39</v>
      </c>
      <c r="H136" s="2">
        <f xml:space="preserve"> [2]!'00753L.TW-Open'</f>
        <v>33.58</v>
      </c>
      <c r="I136" s="2">
        <f xml:space="preserve"> [2]!'00753LN.TW-Price'</f>
        <v>33.4</v>
      </c>
    </row>
    <row r="137" spans="1:9">
      <c r="A137" s="26" t="s">
        <v>150</v>
      </c>
      <c r="B137" t="s">
        <v>604</v>
      </c>
      <c r="C137">
        <v>43.85</v>
      </c>
      <c r="D137" s="2">
        <f xml:space="preserve"> [2]!'00754B.TW-PreClose'</f>
        <v>43.66</v>
      </c>
      <c r="E137" s="2">
        <f xml:space="preserve"> [2]!'00754B.TW-Price'</f>
        <v>43.85</v>
      </c>
      <c r="F137" s="2">
        <f xml:space="preserve"> [2]!'00754B.TW-BestBid1'</f>
        <v>43.79</v>
      </c>
      <c r="G137" s="2">
        <f xml:space="preserve"> [2]!'00754B.TW-BestAsk1'</f>
        <v>43.86</v>
      </c>
      <c r="H137" s="2">
        <f xml:space="preserve"> [2]!'00754B.TW-Open'</f>
        <v>43.85</v>
      </c>
      <c r="I137" s="2">
        <f xml:space="preserve"> [2]!'00754BN.TW-Price'</f>
        <v>43.73</v>
      </c>
    </row>
    <row r="138" spans="1:9">
      <c r="A138" s="26" t="s">
        <v>151</v>
      </c>
      <c r="B138" t="s">
        <v>605</v>
      </c>
      <c r="C138">
        <v>42.15</v>
      </c>
      <c r="D138" s="2">
        <f xml:space="preserve"> [2]!'00755B.TW-PreClose'</f>
        <v>42.07</v>
      </c>
      <c r="E138" s="2">
        <f xml:space="preserve"> [2]!'00755B.TW-Price'</f>
        <v>42.15</v>
      </c>
      <c r="F138" s="2">
        <f xml:space="preserve"> [2]!'00755B.TW-BestBid1'</f>
        <v>42.1</v>
      </c>
      <c r="G138" s="2">
        <f xml:space="preserve"> [2]!'00755B.TW-BestAsk1'</f>
        <v>42.2</v>
      </c>
      <c r="H138" s="2">
        <f xml:space="preserve"> [2]!'00755B.TW-Open'</f>
        <v>42.07</v>
      </c>
      <c r="I138" s="2">
        <f xml:space="preserve"> [2]!'00755BN.TW-Price'</f>
        <v>41.94</v>
      </c>
    </row>
    <row r="139" spans="1:9">
      <c r="A139" s="26" t="s">
        <v>152</v>
      </c>
      <c r="B139" t="s">
        <v>606</v>
      </c>
      <c r="C139">
        <v>43.55</v>
      </c>
      <c r="D139" s="2">
        <f xml:space="preserve"> [2]!'00756B.TW-PreClose'</f>
        <v>43.52</v>
      </c>
      <c r="E139" s="2">
        <f xml:space="preserve"> [2]!'00756B.TW-Price'</f>
        <v>43.55</v>
      </c>
      <c r="F139" s="2">
        <f xml:space="preserve"> [2]!'00756B.TW-BestBid1'</f>
        <v>43.46</v>
      </c>
      <c r="G139" s="2">
        <f xml:space="preserve"> [2]!'00756B.TW-BestAsk1'</f>
        <v>43.58</v>
      </c>
      <c r="H139" s="2">
        <f xml:space="preserve"> [2]!'00756B.TW-Open'</f>
        <v>43.3</v>
      </c>
      <c r="I139" s="2">
        <f xml:space="preserve"> [2]!'00756BN.TW-Price'</f>
        <v>43.31</v>
      </c>
    </row>
    <row r="140" spans="1:9">
      <c r="A140" s="26" t="s">
        <v>153</v>
      </c>
      <c r="B140" t="s">
        <v>607</v>
      </c>
      <c r="C140">
        <v>43.24</v>
      </c>
      <c r="D140" s="2">
        <f xml:space="preserve"> [2]!'00757.TW-PreClose'</f>
        <v>43.01</v>
      </c>
      <c r="E140" s="2">
        <f xml:space="preserve"> [2]!'00757.TW-Price'</f>
        <v>43.24</v>
      </c>
      <c r="F140" s="2">
        <f xml:space="preserve"> [2]!'00757.TW-BestBid1'</f>
        <v>43.24</v>
      </c>
      <c r="G140" s="2">
        <f xml:space="preserve"> [2]!'00757.TW-BestAsk1'</f>
        <v>43.26</v>
      </c>
      <c r="H140" s="2">
        <f xml:space="preserve"> [2]!'00757.TW-Open'</f>
        <v>43.2</v>
      </c>
      <c r="I140" s="2">
        <f xml:space="preserve"> [2]!'00757N.TW-Price'</f>
        <v>42.74</v>
      </c>
    </row>
    <row r="141" spans="1:9">
      <c r="A141" s="26" t="s">
        <v>154</v>
      </c>
      <c r="B141" t="s">
        <v>608</v>
      </c>
      <c r="C141">
        <v>60.15</v>
      </c>
      <c r="D141" s="2">
        <f xml:space="preserve"> [2]!'00758B.TW-PreClose'</f>
        <v>60.05</v>
      </c>
      <c r="E141" s="2">
        <f xml:space="preserve"> [2]!'00758B.TW-Price'</f>
        <v>60.15</v>
      </c>
      <c r="F141" s="2">
        <f xml:space="preserve"> [2]!'00758B.TW-BestBid1'</f>
        <v>60.05</v>
      </c>
      <c r="G141" s="2">
        <f xml:space="preserve"> [2]!'00758B.TW-BestAsk1'</f>
        <v>60.25</v>
      </c>
      <c r="H141" s="2">
        <f xml:space="preserve"> [2]!'00758B.TW-Open'</f>
        <v>60.1</v>
      </c>
      <c r="I141" s="2">
        <f xml:space="preserve"> [2]!'00758BN.TW-Price'</f>
        <v>60.07</v>
      </c>
    </row>
    <row r="142" spans="1:9">
      <c r="A142" s="26" t="s">
        <v>155</v>
      </c>
      <c r="B142" t="s">
        <v>609</v>
      </c>
      <c r="C142">
        <v>67.05</v>
      </c>
      <c r="D142" s="2">
        <f xml:space="preserve"> [2]!'00759B.TW-PreClose'</f>
        <v>66.95</v>
      </c>
      <c r="E142" s="2">
        <f xml:space="preserve"> [2]!'00759B.TW-Price'</f>
        <v>67.05</v>
      </c>
      <c r="F142" s="2">
        <f xml:space="preserve"> [2]!'00759B.TW-BestBid1'</f>
        <v>66.900000000000006</v>
      </c>
      <c r="G142" s="2">
        <f xml:space="preserve"> [2]!'00759B.TW-BestAsk1'</f>
        <v>67.05</v>
      </c>
      <c r="H142" s="2">
        <f xml:space="preserve"> [2]!'00759B.TW-Open'</f>
        <v>67.05</v>
      </c>
      <c r="I142" s="2">
        <f xml:space="preserve"> [2]!'00759BN.TW-Price'</f>
        <v>66.989999999999995</v>
      </c>
    </row>
    <row r="143" spans="1:9">
      <c r="A143" s="26" t="s">
        <v>156</v>
      </c>
      <c r="B143" t="s">
        <v>610</v>
      </c>
      <c r="C143">
        <v>64.150000000000006</v>
      </c>
      <c r="D143" s="2">
        <f xml:space="preserve"> [2]!'00760B.TW-PreClose'</f>
        <v>64.25</v>
      </c>
      <c r="E143" s="2">
        <f xml:space="preserve"> [2]!'00760B.TW-Price'</f>
        <v>64.150000000000006</v>
      </c>
      <c r="F143" s="2">
        <f xml:space="preserve"> [2]!'00760B.TW-BestBid1'</f>
        <v>64</v>
      </c>
      <c r="G143" s="2">
        <f xml:space="preserve"> [2]!'00760B.TW-BestAsk1'</f>
        <v>64.150000000000006</v>
      </c>
      <c r="H143" s="2">
        <f xml:space="preserve"> [2]!'00760B.TW-Open'</f>
        <v>64.099999999999994</v>
      </c>
      <c r="I143" s="2">
        <f xml:space="preserve"> [2]!'00760BN.TW-Price'</f>
        <v>63.9</v>
      </c>
    </row>
    <row r="144" spans="1:9">
      <c r="A144" s="26" t="s">
        <v>157</v>
      </c>
      <c r="B144" t="s">
        <v>611</v>
      </c>
      <c r="C144">
        <v>43.47</v>
      </c>
      <c r="D144" s="2">
        <f xml:space="preserve"> [2]!'00761B.TW-PreClose'</f>
        <v>43.24</v>
      </c>
      <c r="E144" s="2">
        <f xml:space="preserve"> [2]!'00761B.TW-Price'</f>
        <v>43.47</v>
      </c>
      <c r="F144" s="2">
        <f xml:space="preserve"> [2]!'00761B.TW-BestBid1'</f>
        <v>43.47</v>
      </c>
      <c r="G144" s="2">
        <f xml:space="preserve"> [2]!'00761B.TW-BestAsk1'</f>
        <v>43.5</v>
      </c>
      <c r="H144" s="2">
        <f xml:space="preserve"> [2]!'00761B.TW-Open'</f>
        <v>43.46</v>
      </c>
      <c r="I144" s="2">
        <f xml:space="preserve"> [2]!'00761BN.TW-Price'</f>
        <v>43.55</v>
      </c>
    </row>
    <row r="145" spans="1:9">
      <c r="A145" s="26" t="s">
        <v>158</v>
      </c>
      <c r="B145" t="s">
        <v>612</v>
      </c>
      <c r="C145">
        <v>34.83</v>
      </c>
      <c r="D145" s="2">
        <f xml:space="preserve"> [2]!'00762.TW-PreClose'</f>
        <v>34.6</v>
      </c>
      <c r="E145" s="2">
        <f xml:space="preserve"> [2]!'00762.TW-Price'</f>
        <v>34.83</v>
      </c>
      <c r="F145" s="2">
        <f xml:space="preserve"> [2]!'00762.TW-BestBid1'</f>
        <v>34.85</v>
      </c>
      <c r="G145" s="2">
        <f xml:space="preserve"> [2]!'00762.TW-BestAsk1'</f>
        <v>34.869999999999997</v>
      </c>
      <c r="H145" s="2">
        <f xml:space="preserve"> [2]!'00762.TW-Open'</f>
        <v>34.72</v>
      </c>
      <c r="I145" s="2">
        <f xml:space="preserve"> [2]!'00762N.TW-Price'</f>
        <v>34.72</v>
      </c>
    </row>
    <row r="146" spans="1:9">
      <c r="A146" s="26" t="s">
        <v>159</v>
      </c>
      <c r="B146" t="s">
        <v>2525</v>
      </c>
      <c r="C146">
        <v>30.24</v>
      </c>
      <c r="D146" s="2">
        <f xml:space="preserve"> [2]!'00763U.TW-PreClose'</f>
        <v>30.79</v>
      </c>
      <c r="E146" s="2">
        <f xml:space="preserve"> [2]!'00763U.TW-Price'</f>
        <v>30.24</v>
      </c>
      <c r="F146" s="2">
        <f xml:space="preserve"> [2]!'00763U.TW-BestBid1'</f>
        <v>30.23</v>
      </c>
      <c r="G146" s="2">
        <f xml:space="preserve"> [2]!'00763U.TW-BestAsk1'</f>
        <v>30.24</v>
      </c>
      <c r="H146" s="2">
        <f xml:space="preserve"> [2]!'00763U.TW-Open'</f>
        <v>30.72</v>
      </c>
      <c r="I146" s="2">
        <f xml:space="preserve"> [2]!'00763UN.TW-Price'</f>
        <v>30.29</v>
      </c>
    </row>
    <row r="147" spans="1:9">
      <c r="A147" s="26" t="s">
        <v>160</v>
      </c>
      <c r="B147" t="s">
        <v>614</v>
      </c>
      <c r="C147">
        <v>40.340000000000003</v>
      </c>
      <c r="D147" s="2">
        <f xml:space="preserve"> [2]!'00764B.TW-PreClose'</f>
        <v>40.22</v>
      </c>
      <c r="E147" s="2">
        <f xml:space="preserve"> [2]!'00764B.TW-Price'</f>
        <v>40.340000000000003</v>
      </c>
      <c r="F147" s="2">
        <f xml:space="preserve"> [2]!'00764B.TW-BestBid1'</f>
        <v>40.29</v>
      </c>
      <c r="G147" s="2">
        <f xml:space="preserve"> [2]!'00764B.TW-BestAsk1'</f>
        <v>40.299999999999997</v>
      </c>
      <c r="H147" s="2">
        <f xml:space="preserve"> [2]!'00764B.TW-Open'</f>
        <v>40.22</v>
      </c>
      <c r="I147" s="2">
        <f xml:space="preserve"> [2]!'00764BN.TW-Price'</f>
        <v>40.369999999999997</v>
      </c>
    </row>
    <row r="148" spans="1:9">
      <c r="A148" s="26" t="s">
        <v>161</v>
      </c>
      <c r="B148" t="s">
        <v>615</v>
      </c>
      <c r="C148">
        <v>39.97</v>
      </c>
      <c r="D148" s="2">
        <f xml:space="preserve"> [2]!'00765B.TW-PreClose'</f>
        <v>39.92</v>
      </c>
      <c r="E148" s="2">
        <f xml:space="preserve"> [2]!'00765B.TW-Price'</f>
        <v>39.97</v>
      </c>
      <c r="F148" s="2">
        <f xml:space="preserve"> [2]!'00765B.TW-BestBid1'</f>
        <v>39.9</v>
      </c>
      <c r="G148" s="2">
        <f xml:space="preserve"> [2]!'00765B.TW-BestAsk1'</f>
        <v>40.01</v>
      </c>
      <c r="H148" s="2">
        <f xml:space="preserve"> [2]!'00765B.TW-Open'</f>
        <v>39.799999999999997</v>
      </c>
      <c r="I148" s="2">
        <f xml:space="preserve"> [2]!'00765BN.TW-Price'</f>
        <v>39.950000000000003</v>
      </c>
    </row>
    <row r="149" spans="1:9">
      <c r="A149" s="26" t="s">
        <v>164</v>
      </c>
      <c r="B149" t="s">
        <v>618</v>
      </c>
      <c r="C149">
        <v>64.3</v>
      </c>
      <c r="D149" s="2">
        <f xml:space="preserve"> [2]!'00768B.TW-PreClose'</f>
        <v>64.599999999999994</v>
      </c>
      <c r="E149" s="2">
        <f xml:space="preserve"> [2]!'00768B.TW-Price'</f>
        <v>64.3</v>
      </c>
      <c r="F149" s="2">
        <f xml:space="preserve"> [2]!'00768B.TW-BestBid1'</f>
        <v>64.3</v>
      </c>
      <c r="G149" s="2">
        <f xml:space="preserve"> [2]!'00768B.TW-BestAsk1'</f>
        <v>64.45</v>
      </c>
      <c r="H149" s="2">
        <f xml:space="preserve"> [2]!'00768B.TW-Open'</f>
        <v>64.400000000000006</v>
      </c>
      <c r="I149" s="2">
        <f xml:space="preserve"> [2]!'00768BN.TW-Price'</f>
        <v>64.45</v>
      </c>
    </row>
    <row r="150" spans="1:9">
      <c r="A150" s="26" t="s">
        <v>166</v>
      </c>
      <c r="B150" t="s">
        <v>620</v>
      </c>
      <c r="C150">
        <v>33.340000000000003</v>
      </c>
      <c r="D150" s="2">
        <f xml:space="preserve"> [2]!'00770.TW-PreClose'</f>
        <v>32.9</v>
      </c>
      <c r="E150" s="2">
        <f xml:space="preserve"> [2]!'00770.TW-Price'</f>
        <v>33.340000000000003</v>
      </c>
      <c r="F150" s="2">
        <f xml:space="preserve"> [2]!'00770.TW-BestBid1'</f>
        <v>33.33</v>
      </c>
      <c r="G150" s="2">
        <f xml:space="preserve"> [2]!'00770.TW-BestAsk1'</f>
        <v>33.369999999999997</v>
      </c>
      <c r="H150" s="2">
        <f xml:space="preserve"> [2]!'00770.TW-Open'</f>
        <v>33.200000000000003</v>
      </c>
      <c r="I150" s="2">
        <f xml:space="preserve"> [2]!'00770N.TW-Price'</f>
        <v>33.159999999999997</v>
      </c>
    </row>
    <row r="151" spans="1:9">
      <c r="A151" s="26" t="s">
        <v>167</v>
      </c>
      <c r="B151" t="s">
        <v>621</v>
      </c>
      <c r="C151">
        <v>19</v>
      </c>
      <c r="D151" s="2">
        <f xml:space="preserve"> [2]!'00771.TW-PreClose'</f>
        <v>18.940000000000001</v>
      </c>
      <c r="E151" s="2">
        <f xml:space="preserve"> [2]!'00771.TW-Price'</f>
        <v>19</v>
      </c>
      <c r="F151" s="2">
        <f xml:space="preserve"> [2]!'00771.TW-BestBid1'</f>
        <v>18.98</v>
      </c>
      <c r="G151" s="2">
        <f xml:space="preserve"> [2]!'00771.TW-BestAsk1'</f>
        <v>19.02</v>
      </c>
      <c r="H151" s="2">
        <f xml:space="preserve"> [2]!'00771.TW-Open'</f>
        <v>18.97</v>
      </c>
      <c r="I151" s="2">
        <f xml:space="preserve"> [2]!'00771N.TW-Price'</f>
        <v>19.16</v>
      </c>
    </row>
    <row r="152" spans="1:9">
      <c r="A152" s="26" t="s">
        <v>168</v>
      </c>
      <c r="B152" t="s">
        <v>622</v>
      </c>
      <c r="C152">
        <v>42.25</v>
      </c>
      <c r="D152" s="2">
        <f xml:space="preserve"> [2]!'00772B.TW-PreClose'</f>
        <v>42.25</v>
      </c>
      <c r="E152" s="2">
        <f xml:space="preserve"> [2]!'00772B.TW-Price'</f>
        <v>42.25</v>
      </c>
      <c r="F152" s="2">
        <f xml:space="preserve"> [2]!'00772B.TW-BestBid1'</f>
        <v>42.25</v>
      </c>
      <c r="G152" s="2">
        <f xml:space="preserve"> [2]!'00772B.TW-BestAsk1'</f>
        <v>42.29</v>
      </c>
      <c r="H152" s="2">
        <f xml:space="preserve"> [2]!'00772B.TW-Open'</f>
        <v>42.27</v>
      </c>
      <c r="I152" s="2">
        <f xml:space="preserve"> [2]!'00772BN.TW-Price'</f>
        <v>42.38</v>
      </c>
    </row>
    <row r="153" spans="1:9">
      <c r="A153" s="26" t="s">
        <v>169</v>
      </c>
      <c r="B153" t="s">
        <v>623</v>
      </c>
      <c r="C153">
        <v>43.03</v>
      </c>
      <c r="D153" s="2">
        <f xml:space="preserve"> [2]!'00773B.TW-PreClose'</f>
        <v>42.83</v>
      </c>
      <c r="E153" s="2">
        <f xml:space="preserve"> [2]!'00773B.TW-Price'</f>
        <v>43.03</v>
      </c>
      <c r="F153" s="2">
        <f xml:space="preserve"> [2]!'00773B.TW-BestBid1'</f>
        <v>43</v>
      </c>
      <c r="G153" s="2">
        <f xml:space="preserve"> [2]!'00773B.TW-BestAsk1'</f>
        <v>43.05</v>
      </c>
      <c r="H153" s="2">
        <f xml:space="preserve"> [2]!'00773B.TW-Open'</f>
        <v>42.93</v>
      </c>
      <c r="I153" s="2">
        <f xml:space="preserve"> [2]!'00773BN.TW-Price'</f>
        <v>43.06</v>
      </c>
    </row>
    <row r="154" spans="1:9">
      <c r="A154" s="26" t="s">
        <v>170</v>
      </c>
      <c r="B154" t="s">
        <v>624</v>
      </c>
      <c r="C154">
        <v>38.979999999999997</v>
      </c>
      <c r="D154" s="2">
        <f xml:space="preserve"> [2]!'00774B.TW-PreClose'</f>
        <v>39</v>
      </c>
      <c r="E154" s="2">
        <f xml:space="preserve"> [2]!'00774B.TW-Price'</f>
        <v>38.979999999999997</v>
      </c>
      <c r="F154" s="2">
        <f xml:space="preserve"> [2]!'00774B.TW-BestBid1'</f>
        <v>38.79</v>
      </c>
      <c r="G154" s="2">
        <f xml:space="preserve"> [2]!'00774B.TW-BestAsk1'</f>
        <v>39.19</v>
      </c>
      <c r="H154" s="2">
        <f xml:space="preserve"> [2]!'00774B.TW-Open'</f>
        <v>38.979999999999997</v>
      </c>
      <c r="I154" s="2">
        <f xml:space="preserve"> [2]!'00774BN.TW-Price'</f>
        <v>39.06</v>
      </c>
    </row>
    <row r="155" spans="1:9">
      <c r="A155" s="26" t="s">
        <v>434</v>
      </c>
      <c r="B155" t="s">
        <v>625</v>
      </c>
      <c r="C155">
        <v>9.11</v>
      </c>
      <c r="D155" s="2">
        <f xml:space="preserve"> [2]!'00774C.TW-PreClose'</f>
        <v>9.11</v>
      </c>
      <c r="E155" s="2" t="str">
        <f xml:space="preserve"> [2]!'00774C.TW-Price'</f>
        <v>--</v>
      </c>
      <c r="F155" s="2">
        <f xml:space="preserve"> [2]!'00774C.TW-BestBid1'</f>
        <v>8.94</v>
      </c>
      <c r="G155" s="2">
        <f xml:space="preserve"> [2]!'00774C.TW-BestAsk1'</f>
        <v>9.1300000000000008</v>
      </c>
      <c r="H155" s="2" t="str">
        <f xml:space="preserve"> [2]!'00774C.TW-Open'</f>
        <v>--</v>
      </c>
      <c r="I155" s="2">
        <f xml:space="preserve"> [2]!'00774CN.TW-Price'</f>
        <v>8.99</v>
      </c>
    </row>
    <row r="156" spans="1:9">
      <c r="A156" s="26" t="s">
        <v>171</v>
      </c>
      <c r="B156" t="s">
        <v>626</v>
      </c>
      <c r="C156">
        <v>40.520000000000003</v>
      </c>
      <c r="D156" s="2">
        <f xml:space="preserve"> [2]!'00775B.TW-PreClose'</f>
        <v>40.5</v>
      </c>
      <c r="E156" s="2">
        <f xml:space="preserve"> [2]!'00775B.TW-Price'</f>
        <v>40.520000000000003</v>
      </c>
      <c r="F156" s="2">
        <f xml:space="preserve"> [2]!'00775B.TW-BestBid1'</f>
        <v>40.520000000000003</v>
      </c>
      <c r="G156" s="2">
        <f xml:space="preserve"> [2]!'00775B.TW-BestAsk1'</f>
        <v>40.71</v>
      </c>
      <c r="H156" s="2">
        <f xml:space="preserve"> [2]!'00775B.TW-Open'</f>
        <v>40.520000000000003</v>
      </c>
      <c r="I156" s="2">
        <f xml:space="preserve"> [2]!'00775BN.TW-Price'</f>
        <v>40.450000000000003</v>
      </c>
    </row>
    <row r="157" spans="1:9">
      <c r="A157" s="26" t="s">
        <v>173</v>
      </c>
      <c r="B157" t="s">
        <v>628</v>
      </c>
      <c r="C157">
        <v>41.42</v>
      </c>
      <c r="D157" s="2">
        <f xml:space="preserve"> [2]!'00777B.TW-PreClose'</f>
        <v>41.3</v>
      </c>
      <c r="E157" s="2">
        <f xml:space="preserve"> [2]!'00777B.TW-Price'</f>
        <v>41.42</v>
      </c>
      <c r="F157" s="2">
        <f xml:space="preserve"> [2]!'00777B.TW-BestBid1'</f>
        <v>41.26</v>
      </c>
      <c r="G157" s="2">
        <f xml:space="preserve"> [2]!'00777B.TW-BestAsk1'</f>
        <v>41.3</v>
      </c>
      <c r="H157" s="2">
        <f xml:space="preserve"> [2]!'00777B.TW-Open'</f>
        <v>41.3</v>
      </c>
      <c r="I157" s="2">
        <f xml:space="preserve"> [2]!'00777BN.TW-Price'</f>
        <v>41.34</v>
      </c>
    </row>
    <row r="158" spans="1:9">
      <c r="A158" s="26" t="s">
        <v>174</v>
      </c>
      <c r="B158" t="s">
        <v>629</v>
      </c>
      <c r="C158">
        <v>42.48</v>
      </c>
      <c r="D158" s="2">
        <f xml:space="preserve"> [2]!'00778B.TW-PreClose'</f>
        <v>42.55</v>
      </c>
      <c r="E158" s="2">
        <f xml:space="preserve"> [2]!'00778B.TW-Price'</f>
        <v>42.48</v>
      </c>
      <c r="F158" s="2">
        <f xml:space="preserve"> [2]!'00778B.TW-BestBid1'</f>
        <v>42.48</v>
      </c>
      <c r="G158" s="2">
        <f xml:space="preserve"> [2]!'00778B.TW-BestAsk1'</f>
        <v>42.5</v>
      </c>
      <c r="H158" s="2">
        <f xml:space="preserve"> [2]!'00778B.TW-Open'</f>
        <v>42.47</v>
      </c>
      <c r="I158" s="2">
        <f xml:space="preserve"> [2]!'00778BN.TW-Price'</f>
        <v>42.8</v>
      </c>
    </row>
    <row r="159" spans="1:9">
      <c r="A159" s="26" t="s">
        <v>175</v>
      </c>
      <c r="B159" t="s">
        <v>630</v>
      </c>
      <c r="C159">
        <v>40.5</v>
      </c>
      <c r="D159" s="2">
        <f xml:space="preserve"> [2]!'00779B.TW-PreClose'</f>
        <v>40.520000000000003</v>
      </c>
      <c r="E159" s="2">
        <f xml:space="preserve"> [2]!'00779B.TW-Price'</f>
        <v>40.5</v>
      </c>
      <c r="F159" s="2">
        <f xml:space="preserve"> [2]!'00779B.TW-BestBid1'</f>
        <v>40.39</v>
      </c>
      <c r="G159" s="2">
        <f xml:space="preserve"> [2]!'00779B.TW-BestAsk1'</f>
        <v>40.5</v>
      </c>
      <c r="H159" s="2">
        <f xml:space="preserve"> [2]!'00779B.TW-Open'</f>
        <v>40.49</v>
      </c>
      <c r="I159" s="2">
        <f xml:space="preserve"> [2]!'00779BN.TW-Price'</f>
        <v>40.47</v>
      </c>
    </row>
    <row r="160" spans="1:9">
      <c r="A160" s="26" t="s">
        <v>176</v>
      </c>
      <c r="B160" t="s">
        <v>631</v>
      </c>
      <c r="C160">
        <v>40.299999999999997</v>
      </c>
      <c r="D160" s="2">
        <f xml:space="preserve"> [2]!'00780B.TW-PreClose'</f>
        <v>40.299999999999997</v>
      </c>
      <c r="E160" s="2">
        <f xml:space="preserve"> [2]!'00780B.TW-Price'</f>
        <v>40.299999999999997</v>
      </c>
      <c r="F160" s="2">
        <f xml:space="preserve"> [2]!'00780B.TW-BestBid1'</f>
        <v>40.24</v>
      </c>
      <c r="G160" s="2">
        <f xml:space="preserve"> [2]!'00780B.TW-BestAsk1'</f>
        <v>40.25</v>
      </c>
      <c r="H160" s="2">
        <f xml:space="preserve"> [2]!'00780B.TW-Open'</f>
        <v>40.299999999999997</v>
      </c>
      <c r="I160" s="2">
        <f xml:space="preserve"> [2]!'00780BN.TW-Price'</f>
        <v>40.44</v>
      </c>
    </row>
    <row r="161" spans="1:9">
      <c r="A161" s="26" t="s">
        <v>177</v>
      </c>
      <c r="B161" t="s">
        <v>632</v>
      </c>
      <c r="C161">
        <v>40.31</v>
      </c>
      <c r="D161" s="2">
        <f xml:space="preserve"> [2]!'00781B.TW-PreClose'</f>
        <v>40.25</v>
      </c>
      <c r="E161" s="2">
        <f xml:space="preserve"> [2]!'00781B.TW-Price'</f>
        <v>40.31</v>
      </c>
      <c r="F161" s="2">
        <f xml:space="preserve"> [2]!'00781B.TW-BestBid1'</f>
        <v>40.299999999999997</v>
      </c>
      <c r="G161" s="2">
        <f xml:space="preserve"> [2]!'00781B.TW-BestAsk1'</f>
        <v>40.369999999999997</v>
      </c>
      <c r="H161" s="2">
        <f xml:space="preserve"> [2]!'00781B.TW-Open'</f>
        <v>40.31</v>
      </c>
      <c r="I161" s="2">
        <f xml:space="preserve"> [2]!'00781BN.TW-Price'</f>
        <v>40.36</v>
      </c>
    </row>
    <row r="162" spans="1:9">
      <c r="A162" s="26" t="s">
        <v>178</v>
      </c>
      <c r="B162" t="s">
        <v>633</v>
      </c>
      <c r="C162">
        <v>40.700000000000003</v>
      </c>
      <c r="D162" s="2">
        <f xml:space="preserve"> [2]!'00782B.TW-PreClose'</f>
        <v>40.6</v>
      </c>
      <c r="E162" s="2">
        <f xml:space="preserve"> [2]!'00782B.TW-Price'</f>
        <v>40.700000000000003</v>
      </c>
      <c r="F162" s="2">
        <f xml:space="preserve"> [2]!'00782B.TW-BestBid1'</f>
        <v>40.57</v>
      </c>
      <c r="G162" s="2">
        <f xml:space="preserve"> [2]!'00782B.TW-BestAsk1'</f>
        <v>40.6</v>
      </c>
      <c r="H162" s="2">
        <f xml:space="preserve"> [2]!'00782B.TW-Open'</f>
        <v>40.6</v>
      </c>
      <c r="I162" s="2">
        <f xml:space="preserve"> [2]!'00782BN.TW-Price'</f>
        <v>40.659999999999997</v>
      </c>
    </row>
    <row r="163" spans="1:9">
      <c r="A163" s="26" t="s">
        <v>179</v>
      </c>
      <c r="B163" t="s">
        <v>634</v>
      </c>
      <c r="C163">
        <v>22.15</v>
      </c>
      <c r="D163" s="2">
        <f xml:space="preserve"> [2]!'00783.TW-PreClose'</f>
        <v>21.84</v>
      </c>
      <c r="E163" s="2">
        <f xml:space="preserve"> [2]!'00783.TW-Price'</f>
        <v>22.15</v>
      </c>
      <c r="F163" s="2">
        <f xml:space="preserve"> [2]!'00783.TW-BestBid1'</f>
        <v>22.13</v>
      </c>
      <c r="G163" s="2">
        <f xml:space="preserve"> [2]!'00783.TW-BestAsk1'</f>
        <v>22.15</v>
      </c>
      <c r="H163" s="2">
        <f xml:space="preserve"> [2]!'00783.TW-Open'</f>
        <v>21.84</v>
      </c>
      <c r="I163" s="2">
        <f xml:space="preserve"> [2]!'00783N.TW-Price'</f>
        <v>22.35</v>
      </c>
    </row>
    <row r="164" spans="1:9">
      <c r="A164" s="26" t="s">
        <v>180</v>
      </c>
      <c r="B164" t="s">
        <v>635</v>
      </c>
      <c r="C164">
        <v>37.369999999999997</v>
      </c>
      <c r="D164" s="2">
        <f xml:space="preserve"> [2]!'00784B.TW-PreClose'</f>
        <v>37.35</v>
      </c>
      <c r="E164" s="2">
        <f xml:space="preserve"> [2]!'00784B.TW-Price'</f>
        <v>37.369999999999997</v>
      </c>
      <c r="F164" s="2">
        <f xml:space="preserve"> [2]!'00784B.TW-BestBid1'</f>
        <v>37.31</v>
      </c>
      <c r="G164" s="2">
        <f xml:space="preserve"> [2]!'00784B.TW-BestAsk1'</f>
        <v>37.380000000000003</v>
      </c>
      <c r="H164" s="2">
        <f xml:space="preserve"> [2]!'00784B.TW-Open'</f>
        <v>37.369999999999997</v>
      </c>
      <c r="I164" s="2">
        <f xml:space="preserve"> [2]!'00784BN.TW-Price'</f>
        <v>37.32</v>
      </c>
    </row>
    <row r="165" spans="1:9">
      <c r="A165" s="26" t="s">
        <v>181</v>
      </c>
      <c r="B165" t="s">
        <v>636</v>
      </c>
      <c r="C165">
        <v>41.15</v>
      </c>
      <c r="D165" s="2">
        <f xml:space="preserve"> [2]!'00785B.TW-PreClose'</f>
        <v>40.97</v>
      </c>
      <c r="E165" s="2">
        <f xml:space="preserve"> [2]!'00785B.TW-Price'</f>
        <v>41.15</v>
      </c>
      <c r="F165" s="2">
        <f xml:space="preserve"> [2]!'00785B.TW-BestBid1'</f>
        <v>41.13</v>
      </c>
      <c r="G165" s="2">
        <f xml:space="preserve"> [2]!'00785B.TW-BestAsk1'</f>
        <v>41.22</v>
      </c>
      <c r="H165" s="2">
        <f xml:space="preserve"> [2]!'00785B.TW-Open'</f>
        <v>41.13</v>
      </c>
      <c r="I165" s="2">
        <f xml:space="preserve"> [2]!'00785BN.TW-Price'</f>
        <v>41.07</v>
      </c>
    </row>
    <row r="166" spans="1:9">
      <c r="A166" s="26" t="s">
        <v>182</v>
      </c>
      <c r="B166" t="s">
        <v>637</v>
      </c>
      <c r="C166">
        <v>40.200000000000003</v>
      </c>
      <c r="D166" s="2">
        <f xml:space="preserve"> [2]!'00786B.TW-PreClose'</f>
        <v>40.159999999999997</v>
      </c>
      <c r="E166" s="2">
        <f xml:space="preserve"> [2]!'00786B.TW-Price'</f>
        <v>40.200000000000003</v>
      </c>
      <c r="F166" s="2">
        <f xml:space="preserve"> [2]!'00786B.TW-BestBid1'</f>
        <v>40.1</v>
      </c>
      <c r="G166" s="2">
        <f xml:space="preserve"> [2]!'00786B.TW-BestAsk1'</f>
        <v>40.21</v>
      </c>
      <c r="H166" s="2">
        <f xml:space="preserve"> [2]!'00786B.TW-Open'</f>
        <v>40.119999999999997</v>
      </c>
      <c r="I166" s="2">
        <f xml:space="preserve"> [2]!'00786BN.TW-Price'</f>
        <v>40.26</v>
      </c>
    </row>
    <row r="167" spans="1:9">
      <c r="A167" s="26" t="s">
        <v>183</v>
      </c>
      <c r="B167" t="s">
        <v>638</v>
      </c>
      <c r="C167">
        <v>41.13</v>
      </c>
      <c r="D167" s="2">
        <f xml:space="preserve"> [2]!'00787B.TW-PreClose'</f>
        <v>41.15</v>
      </c>
      <c r="E167" s="2">
        <f xml:space="preserve"> [2]!'00787B.TW-Price'</f>
        <v>41.13</v>
      </c>
      <c r="F167" s="2">
        <f xml:space="preserve"> [2]!'00787B.TW-BestBid1'</f>
        <v>41.1</v>
      </c>
      <c r="G167" s="2">
        <f xml:space="preserve"> [2]!'00787B.TW-BestAsk1'</f>
        <v>41.22</v>
      </c>
      <c r="H167" s="2">
        <f xml:space="preserve"> [2]!'00787B.TW-Open'</f>
        <v>41.12</v>
      </c>
      <c r="I167" s="2">
        <f xml:space="preserve"> [2]!'00787BN.TW-Price'</f>
        <v>41.26</v>
      </c>
    </row>
    <row r="168" spans="1:9">
      <c r="A168" s="26" t="s">
        <v>184</v>
      </c>
      <c r="B168" t="s">
        <v>639</v>
      </c>
      <c r="C168">
        <v>39.119999999999997</v>
      </c>
      <c r="D168" s="2">
        <f xml:space="preserve"> [2]!'00788B.TW-PreClose'</f>
        <v>39.130000000000003</v>
      </c>
      <c r="E168" s="2">
        <f xml:space="preserve"> [2]!'00788B.TW-Price'</f>
        <v>39.119999999999997</v>
      </c>
      <c r="F168" s="2">
        <f xml:space="preserve"> [2]!'00788B.TW-BestBid1'</f>
        <v>39.119999999999997</v>
      </c>
      <c r="G168" s="2">
        <f xml:space="preserve"> [2]!'00788B.TW-BestAsk1'</f>
        <v>39.19</v>
      </c>
      <c r="H168" s="2">
        <f xml:space="preserve"> [2]!'00788B.TW-Open'</f>
        <v>39.11</v>
      </c>
      <c r="I168" s="2">
        <f xml:space="preserve"> [2]!'00788BN.TW-Price'</f>
        <v>38.93</v>
      </c>
    </row>
    <row r="169" spans="1:9">
      <c r="A169" s="26" t="s">
        <v>185</v>
      </c>
      <c r="B169" t="s">
        <v>640</v>
      </c>
      <c r="C169">
        <v>61.65</v>
      </c>
      <c r="D169" s="2">
        <f xml:space="preserve"> [2]!'00789B.TW-PreClose'</f>
        <v>61.85</v>
      </c>
      <c r="E169" s="2">
        <f xml:space="preserve"> [2]!'00789B.TW-Price'</f>
        <v>61.65</v>
      </c>
      <c r="F169" s="2">
        <f xml:space="preserve"> [2]!'00789B.TW-BestBid1'</f>
        <v>61.5</v>
      </c>
      <c r="G169" s="2">
        <f xml:space="preserve"> [2]!'00789B.TW-BestAsk1'</f>
        <v>61.6</v>
      </c>
      <c r="H169" s="2">
        <f xml:space="preserve"> [2]!'00789B.TW-Open'</f>
        <v>61.65</v>
      </c>
      <c r="I169" s="2">
        <f xml:space="preserve"> [2]!'00789BN.TW-Price'</f>
        <v>61.9</v>
      </c>
    </row>
    <row r="170" spans="1:9">
      <c r="A170" s="26" t="s">
        <v>186</v>
      </c>
      <c r="B170" t="s">
        <v>641</v>
      </c>
      <c r="C170">
        <v>61.6</v>
      </c>
      <c r="D170" s="2">
        <f xml:space="preserve"> [2]!'00790B.TW-PreClose'</f>
        <v>61.6</v>
      </c>
      <c r="E170" s="2">
        <f xml:space="preserve"> [2]!'00790B.TW-Price'</f>
        <v>61.6</v>
      </c>
      <c r="F170" s="2">
        <f xml:space="preserve"> [2]!'00790B.TW-BestBid1'</f>
        <v>61.45</v>
      </c>
      <c r="G170" s="2">
        <f xml:space="preserve"> [2]!'00790B.TW-BestAsk1'</f>
        <v>61.65</v>
      </c>
      <c r="H170" s="2">
        <f xml:space="preserve"> [2]!'00790B.TW-Open'</f>
        <v>61.6</v>
      </c>
      <c r="I170" s="2">
        <f xml:space="preserve"> [2]!'00790BN.TW-Price'</f>
        <v>61.68</v>
      </c>
    </row>
    <row r="171" spans="1:9">
      <c r="A171" s="26" t="s">
        <v>187</v>
      </c>
      <c r="B171" t="s">
        <v>642</v>
      </c>
      <c r="C171">
        <v>55.85</v>
      </c>
      <c r="D171" s="2">
        <f xml:space="preserve"> [2]!'00791B.TW-PreClose'</f>
        <v>56.15</v>
      </c>
      <c r="E171" s="2">
        <f xml:space="preserve"> [2]!'00791B.TW-Price'</f>
        <v>55.85</v>
      </c>
      <c r="F171" s="2">
        <f xml:space="preserve"> [2]!'00791B.TW-BestBid1'</f>
        <v>55.7</v>
      </c>
      <c r="G171" s="2">
        <f xml:space="preserve"> [2]!'00791B.TW-BestAsk1'</f>
        <v>55.8</v>
      </c>
      <c r="H171" s="2">
        <f xml:space="preserve"> [2]!'00791B.TW-Open'</f>
        <v>55.85</v>
      </c>
      <c r="I171" s="2">
        <f xml:space="preserve"> [2]!'00791BN.TW-Price'</f>
        <v>56.04</v>
      </c>
    </row>
    <row r="172" spans="1:9">
      <c r="A172" s="26" t="s">
        <v>188</v>
      </c>
      <c r="B172" t="s">
        <v>643</v>
      </c>
      <c r="C172">
        <v>40.65</v>
      </c>
      <c r="D172" s="2">
        <f xml:space="preserve"> [2]!'00792B.TW-PreClose'</f>
        <v>40.44</v>
      </c>
      <c r="E172" s="2">
        <f xml:space="preserve"> [2]!'00792B.TW-Price'</f>
        <v>40.65</v>
      </c>
      <c r="F172" s="2">
        <f xml:space="preserve"> [2]!'00792B.TW-BestBid1'</f>
        <v>40.54</v>
      </c>
      <c r="G172" s="2">
        <f xml:space="preserve"> [2]!'00792B.TW-BestAsk1'</f>
        <v>40.6</v>
      </c>
      <c r="H172" s="2">
        <f xml:space="preserve"> [2]!'00792B.TW-Open'</f>
        <v>40.5</v>
      </c>
      <c r="I172" s="2">
        <f xml:space="preserve"> [2]!'00792BN.TW-Price'</f>
        <v>40.450000000000003</v>
      </c>
    </row>
    <row r="173" spans="1:9">
      <c r="A173" s="26" t="s">
        <v>189</v>
      </c>
      <c r="B173" t="s">
        <v>644</v>
      </c>
      <c r="C173">
        <v>40</v>
      </c>
      <c r="D173" s="2">
        <f xml:space="preserve"> [2]!'00793B.TW-PreClose'</f>
        <v>39.85</v>
      </c>
      <c r="E173" s="2">
        <f xml:space="preserve"> [2]!'00793B.TW-Price'</f>
        <v>40</v>
      </c>
      <c r="F173" s="2">
        <f xml:space="preserve"> [2]!'00793B.TW-BestBid1'</f>
        <v>40.01</v>
      </c>
      <c r="G173" s="2">
        <f xml:space="preserve"> [2]!'00793B.TW-BestAsk1'</f>
        <v>40.14</v>
      </c>
      <c r="H173" s="2">
        <f xml:space="preserve"> [2]!'00793B.TW-Open'</f>
        <v>40</v>
      </c>
      <c r="I173" s="2">
        <f xml:space="preserve"> [2]!'00793BN.TW-Price'</f>
        <v>40.299999999999997</v>
      </c>
    </row>
    <row r="174" spans="1:9">
      <c r="A174" s="26" t="s">
        <v>190</v>
      </c>
      <c r="B174" t="s">
        <v>645</v>
      </c>
      <c r="C174">
        <v>39.76</v>
      </c>
      <c r="D174" s="2">
        <f xml:space="preserve"> [2]!'00794B.TW-PreClose'</f>
        <v>39.75</v>
      </c>
      <c r="E174" s="2">
        <f xml:space="preserve"> [2]!'00794B.TW-Price'</f>
        <v>39.76</v>
      </c>
      <c r="F174" s="2">
        <f xml:space="preserve"> [2]!'00794B.TW-BestBid1'</f>
        <v>39.630000000000003</v>
      </c>
      <c r="G174" s="2">
        <f xml:space="preserve"> [2]!'00794B.TW-BestAsk1'</f>
        <v>39.75</v>
      </c>
      <c r="H174" s="2">
        <f xml:space="preserve"> [2]!'00794B.TW-Open'</f>
        <v>39.76</v>
      </c>
      <c r="I174" s="2">
        <f xml:space="preserve"> [2]!'00794BN.TW-Price'</f>
        <v>39.869999999999997</v>
      </c>
    </row>
    <row r="175" spans="1:9">
      <c r="A175" s="26" t="s">
        <v>191</v>
      </c>
      <c r="B175" t="s">
        <v>646</v>
      </c>
      <c r="C175">
        <v>39.06</v>
      </c>
      <c r="D175" s="2">
        <f xml:space="preserve"> [2]!'00795B.TW-PreClose'</f>
        <v>38.979999999999997</v>
      </c>
      <c r="E175" s="2">
        <f xml:space="preserve"> [2]!'00795B.TW-Price'</f>
        <v>39.06</v>
      </c>
      <c r="F175" s="2">
        <f xml:space="preserve"> [2]!'00795B.TW-BestBid1'</f>
        <v>39.06</v>
      </c>
      <c r="G175" s="2">
        <f xml:space="preserve"> [2]!'00795B.TW-BestAsk1'</f>
        <v>39.08</v>
      </c>
      <c r="H175" s="2">
        <f xml:space="preserve"> [2]!'00795B.TW-Open'</f>
        <v>39</v>
      </c>
      <c r="I175" s="2">
        <f xml:space="preserve"> [2]!'00795BN.TW-Price'</f>
        <v>39.119999999999997</v>
      </c>
    </row>
    <row r="176" spans="1:9">
      <c r="A176" s="26" t="s">
        <v>192</v>
      </c>
      <c r="B176" t="s">
        <v>647</v>
      </c>
      <c r="C176">
        <v>39.380000000000003</v>
      </c>
      <c r="D176" s="2">
        <f xml:space="preserve"> [2]!'00796B.TW-PreClose'</f>
        <v>39.39</v>
      </c>
      <c r="E176" s="2">
        <f xml:space="preserve"> [2]!'00796B.TW-Price'</f>
        <v>39.380000000000003</v>
      </c>
      <c r="F176" s="2">
        <f xml:space="preserve"> [2]!'00796B.TW-BestBid1'</f>
        <v>39.340000000000003</v>
      </c>
      <c r="G176" s="2">
        <f xml:space="preserve"> [2]!'00796B.TW-BestAsk1'</f>
        <v>39.35</v>
      </c>
      <c r="H176" s="2">
        <f xml:space="preserve"> [2]!'00796B.TW-Open'</f>
        <v>39.35</v>
      </c>
      <c r="I176" s="2">
        <f xml:space="preserve"> [2]!'00796BN.TW-Price'</f>
        <v>39.53</v>
      </c>
    </row>
    <row r="177" spans="1:9">
      <c r="A177" s="26" t="s">
        <v>195</v>
      </c>
      <c r="B177" t="s">
        <v>650</v>
      </c>
      <c r="C177">
        <v>40.17</v>
      </c>
      <c r="D177" s="2">
        <f xml:space="preserve"> [2]!'00799B.TW-PreClose'</f>
        <v>40.299999999999997</v>
      </c>
      <c r="E177" s="2">
        <f xml:space="preserve"> [2]!'00799B.TW-Price'</f>
        <v>40.17</v>
      </c>
      <c r="F177" s="2">
        <f xml:space="preserve"> [2]!'00799B.TW-BestBid1'</f>
        <v>40.08</v>
      </c>
      <c r="G177" s="2">
        <f xml:space="preserve"> [2]!'00799B.TW-BestAsk1'</f>
        <v>40.159999999999997</v>
      </c>
      <c r="H177" s="2">
        <f xml:space="preserve"> [2]!'00799B.TW-Open'</f>
        <v>40.18</v>
      </c>
      <c r="I177" s="2">
        <f xml:space="preserve"> [2]!'00799BN.TW-Price'</f>
        <v>40.6</v>
      </c>
    </row>
    <row r="178" spans="1:9">
      <c r="A178" s="26" t="s">
        <v>196</v>
      </c>
      <c r="B178" t="s">
        <v>651</v>
      </c>
      <c r="C178">
        <v>122.5</v>
      </c>
      <c r="D178" s="2">
        <f xml:space="preserve"> [2]!'008201.TW-PreClose'</f>
        <v>122.5</v>
      </c>
      <c r="E178" s="2" t="str">
        <f xml:space="preserve"> [2]!'008201.TW-Price'</f>
        <v>--</v>
      </c>
      <c r="F178" s="2">
        <f xml:space="preserve"> [2]!'008201.TW-BestBid1'</f>
        <v>91.2</v>
      </c>
      <c r="G178" s="2">
        <f xml:space="preserve"> [2]!'008201.TW-BestAsk1'</f>
        <v>124</v>
      </c>
      <c r="H178" s="2" t="str">
        <f xml:space="preserve"> [2]!'008201.TW-Open'</f>
        <v>--</v>
      </c>
      <c r="I178" s="2">
        <f xml:space="preserve"> [2]!'008201N.TW-Price'</f>
        <v>125.55</v>
      </c>
    </row>
    <row r="179" spans="1:9">
      <c r="A179" s="26" t="s">
        <v>197</v>
      </c>
      <c r="B179" t="s">
        <v>652</v>
      </c>
      <c r="C179">
        <v>25.75</v>
      </c>
      <c r="D179" s="2">
        <f xml:space="preserve"> [2]!'00830.TW-PreClose'</f>
        <v>25.29</v>
      </c>
      <c r="E179" s="2">
        <f xml:space="preserve"> [2]!'00830.TW-Price'</f>
        <v>25.75</v>
      </c>
      <c r="F179" s="2">
        <f xml:space="preserve"> [2]!'00830.TW-BestBid1'</f>
        <v>25.74</v>
      </c>
      <c r="G179" s="2">
        <f xml:space="preserve"> [2]!'00830.TW-BestAsk1'</f>
        <v>25.75</v>
      </c>
      <c r="H179" s="2">
        <f xml:space="preserve"> [2]!'00830.TW-Open'</f>
        <v>25.68</v>
      </c>
      <c r="I179" s="2">
        <f xml:space="preserve"> [2]!'00830N.TW-Price'</f>
        <v>25.6</v>
      </c>
    </row>
    <row r="180" spans="1:9">
      <c r="A180" s="26" t="s">
        <v>198</v>
      </c>
      <c r="B180" t="s">
        <v>653</v>
      </c>
      <c r="C180">
        <v>36.700000000000003</v>
      </c>
      <c r="D180" s="2">
        <f xml:space="preserve"> [2]!'00831B.TW-PreClose'</f>
        <v>36.700000000000003</v>
      </c>
      <c r="E180" s="2">
        <f xml:space="preserve"> [2]!'00831B.TW-Price'</f>
        <v>36.700000000000003</v>
      </c>
      <c r="F180" s="2">
        <f xml:space="preserve"> [2]!'00831B.TW-BestBid1'</f>
        <v>36.53</v>
      </c>
      <c r="G180" s="2">
        <f xml:space="preserve"> [2]!'00831B.TW-BestAsk1'</f>
        <v>36.72</v>
      </c>
      <c r="H180" s="2">
        <f xml:space="preserve"> [2]!'00831B.TW-Open'</f>
        <v>36.700000000000003</v>
      </c>
      <c r="I180" s="2">
        <f xml:space="preserve"> [2]!'00831BN.TW-Price'</f>
        <v>36.64</v>
      </c>
    </row>
    <row r="181" spans="1:9">
      <c r="A181" s="26" t="s">
        <v>199</v>
      </c>
      <c r="B181" t="s">
        <v>654</v>
      </c>
      <c r="C181">
        <v>39.840000000000003</v>
      </c>
      <c r="D181" s="2">
        <f xml:space="preserve"> [2]!'00832B.TW-PreClose'</f>
        <v>39.869999999999997</v>
      </c>
      <c r="E181" s="2">
        <f xml:space="preserve"> [2]!'00832B.TW-Price'</f>
        <v>39.840000000000003</v>
      </c>
      <c r="F181" s="2">
        <f xml:space="preserve"> [2]!'00832B.TW-BestBid1'</f>
        <v>39.79</v>
      </c>
      <c r="G181" s="2">
        <f xml:space="preserve"> [2]!'00832B.TW-BestAsk1'</f>
        <v>39.840000000000003</v>
      </c>
      <c r="H181" s="2">
        <f xml:space="preserve"> [2]!'00832B.TW-Open'</f>
        <v>39.840000000000003</v>
      </c>
      <c r="I181" s="2">
        <f xml:space="preserve"> [2]!'00832BN.TW-Price'</f>
        <v>39.82</v>
      </c>
    </row>
    <row r="182" spans="1:9">
      <c r="A182" s="26" t="s">
        <v>201</v>
      </c>
      <c r="B182" t="s">
        <v>656</v>
      </c>
      <c r="C182">
        <v>40.43</v>
      </c>
      <c r="D182" s="2">
        <f xml:space="preserve"> [2]!'00834B.TW-PreClose'</f>
        <v>40.299999999999997</v>
      </c>
      <c r="E182" s="2">
        <f xml:space="preserve"> [2]!'00834B.TW-Price'</f>
        <v>40.43</v>
      </c>
      <c r="F182" s="2">
        <f xml:space="preserve"> [2]!'00834B.TW-BestBid1'</f>
        <v>40.39</v>
      </c>
      <c r="G182" s="2">
        <f xml:space="preserve"> [2]!'00834B.TW-BestAsk1'</f>
        <v>40.4</v>
      </c>
      <c r="H182" s="2">
        <f xml:space="preserve"> [2]!'00834B.TW-Open'</f>
        <v>40.369999999999997</v>
      </c>
      <c r="I182" s="2">
        <f xml:space="preserve"> [2]!'00834BN.TW-Price'</f>
        <v>40.44</v>
      </c>
    </row>
    <row r="183" spans="1:9">
      <c r="A183" s="26" t="s">
        <v>203</v>
      </c>
      <c r="B183" t="s">
        <v>658</v>
      </c>
      <c r="C183">
        <v>37.909999999999997</v>
      </c>
      <c r="D183" s="2">
        <f xml:space="preserve"> [2]!'00836B.TW-PreClose'</f>
        <v>37.9</v>
      </c>
      <c r="E183" s="2">
        <f xml:space="preserve"> [2]!'00836B.TW-Price'</f>
        <v>37.909999999999997</v>
      </c>
      <c r="F183" s="2">
        <f xml:space="preserve"> [2]!'00836B.TW-BestBid1'</f>
        <v>37.9</v>
      </c>
      <c r="G183" s="2">
        <f xml:space="preserve"> [2]!'00836B.TW-BestAsk1'</f>
        <v>37.950000000000003</v>
      </c>
      <c r="H183" s="2">
        <f xml:space="preserve"> [2]!'00836B.TW-Open'</f>
        <v>37.909999999999997</v>
      </c>
      <c r="I183" s="2">
        <f xml:space="preserve"> [2]!'00836BN.TW-Price'</f>
        <v>37.92</v>
      </c>
    </row>
    <row r="184" spans="1:9">
      <c r="A184" s="26" t="s">
        <v>205</v>
      </c>
      <c r="B184" t="s">
        <v>660</v>
      </c>
      <c r="C184">
        <v>39.04</v>
      </c>
      <c r="D184" s="2">
        <f xml:space="preserve"> [2]!'00838B.TW-PreClose'</f>
        <v>39.1</v>
      </c>
      <c r="E184" s="2">
        <f xml:space="preserve"> [2]!'00838B.TW-Price'</f>
        <v>39.04</v>
      </c>
      <c r="F184" s="2">
        <f xml:space="preserve"> [2]!'00838B.TW-BestBid1'</f>
        <v>39.01</v>
      </c>
      <c r="G184" s="2">
        <f xml:space="preserve"> [2]!'00838B.TW-BestAsk1'</f>
        <v>39.07</v>
      </c>
      <c r="H184" s="2">
        <f xml:space="preserve"> [2]!'00838B.TW-Open'</f>
        <v>39.04</v>
      </c>
      <c r="I184" s="2">
        <f xml:space="preserve"> [2]!'00838BN.TW-Price'</f>
        <v>39.18</v>
      </c>
    </row>
    <row r="185" spans="1:9">
      <c r="A185" s="26" t="s">
        <v>206</v>
      </c>
      <c r="B185" t="s">
        <v>661</v>
      </c>
      <c r="C185">
        <v>39.93</v>
      </c>
      <c r="D185" s="2">
        <f xml:space="preserve"> [2]!'00839B.TW-PreClose'</f>
        <v>39.85</v>
      </c>
      <c r="E185" s="2">
        <f xml:space="preserve"> [2]!'00839B.TW-Price'</f>
        <v>39.93</v>
      </c>
      <c r="F185" s="2">
        <f xml:space="preserve"> [2]!'00839B.TW-BestBid1'</f>
        <v>39.81</v>
      </c>
      <c r="G185" s="2">
        <f xml:space="preserve"> [2]!'00839B.TW-BestAsk1'</f>
        <v>39.85</v>
      </c>
      <c r="H185" s="2">
        <f xml:space="preserve"> [2]!'00839B.TW-Open'</f>
        <v>39.93</v>
      </c>
      <c r="I185" s="2">
        <f xml:space="preserve"> [2]!'00839BN.TW-Price'</f>
        <v>39.85</v>
      </c>
    </row>
    <row r="186" spans="1:9">
      <c r="A186" s="26" t="s">
        <v>207</v>
      </c>
      <c r="B186" t="s">
        <v>662</v>
      </c>
      <c r="C186">
        <v>37.99</v>
      </c>
      <c r="D186" s="2">
        <f xml:space="preserve"> [2]!'00840B.TW-PreClose'</f>
        <v>37.92</v>
      </c>
      <c r="E186" s="2">
        <f xml:space="preserve"> [2]!'00840B.TW-Price'</f>
        <v>37.99</v>
      </c>
      <c r="F186" s="2">
        <f xml:space="preserve"> [2]!'00840B.TW-BestBid1'</f>
        <v>37.92</v>
      </c>
      <c r="G186" s="2">
        <f xml:space="preserve"> [2]!'00840B.TW-BestAsk1'</f>
        <v>38.04</v>
      </c>
      <c r="H186" s="2">
        <f xml:space="preserve"> [2]!'00840B.TW-Open'</f>
        <v>37.99</v>
      </c>
      <c r="I186" s="2">
        <f xml:space="preserve"> [2]!'00840BN.TW-Price'</f>
        <v>37.96</v>
      </c>
    </row>
    <row r="187" spans="1:9">
      <c r="A187" s="26" t="s">
        <v>208</v>
      </c>
      <c r="B187" t="s">
        <v>663</v>
      </c>
      <c r="C187">
        <v>38.1</v>
      </c>
      <c r="D187" s="2">
        <f xml:space="preserve"> [2]!'00841B.TW-PreClose'</f>
        <v>37.92</v>
      </c>
      <c r="E187" s="2">
        <f xml:space="preserve"> [2]!'00841B.TW-Price'</f>
        <v>38.1</v>
      </c>
      <c r="F187" s="2">
        <f xml:space="preserve"> [2]!'00841B.TW-BestBid1'</f>
        <v>38.049999999999997</v>
      </c>
      <c r="G187" s="2">
        <f xml:space="preserve"> [2]!'00841B.TW-BestAsk1'</f>
        <v>38.159999999999997</v>
      </c>
      <c r="H187" s="2">
        <f xml:space="preserve"> [2]!'00841B.TW-Open'</f>
        <v>38.1</v>
      </c>
      <c r="I187" s="2">
        <f xml:space="preserve"> [2]!'00841BN.TW-Price'</f>
        <v>38.090000000000003</v>
      </c>
    </row>
    <row r="188" spans="1:9">
      <c r="A188" s="26" t="s">
        <v>209</v>
      </c>
      <c r="B188" t="s">
        <v>664</v>
      </c>
      <c r="C188">
        <v>39.1</v>
      </c>
      <c r="D188" s="2">
        <f xml:space="preserve"> [2]!'00842B.TW-PreClose'</f>
        <v>38.9</v>
      </c>
      <c r="E188" s="2">
        <f xml:space="preserve"> [2]!'00842B.TW-Price'</f>
        <v>39.1</v>
      </c>
      <c r="F188" s="2">
        <f xml:space="preserve"> [2]!'00842B.TW-BestBid1'</f>
        <v>39.020000000000003</v>
      </c>
      <c r="G188" s="2">
        <f xml:space="preserve"> [2]!'00842B.TW-BestAsk1'</f>
        <v>39.11</v>
      </c>
      <c r="H188" s="2">
        <f xml:space="preserve"> [2]!'00842B.TW-Open'</f>
        <v>39.1</v>
      </c>
      <c r="I188" s="2">
        <f xml:space="preserve"> [2]!'00842BN.TW-Price'</f>
        <v>39.130000000000003</v>
      </c>
    </row>
    <row r="189" spans="1:9">
      <c r="A189" s="26" t="s">
        <v>425</v>
      </c>
      <c r="B189" t="s">
        <v>665</v>
      </c>
      <c r="C189">
        <v>39.229999999999997</v>
      </c>
      <c r="D189" s="2">
        <f xml:space="preserve"> [2]!'00843B.TW-PreClose'</f>
        <v>39.17</v>
      </c>
      <c r="E189" s="2">
        <f xml:space="preserve"> [2]!'00843B.TW-Price'</f>
        <v>39.229999999999997</v>
      </c>
      <c r="F189" s="2">
        <f xml:space="preserve"> [2]!'00843B.TW-BestBid1'</f>
        <v>39.18</v>
      </c>
      <c r="G189" s="2">
        <f xml:space="preserve"> [2]!'00843B.TW-BestAsk1'</f>
        <v>39.26</v>
      </c>
      <c r="H189" s="2">
        <f xml:space="preserve"> [2]!'00843B.TW-Open'</f>
        <v>39.130000000000003</v>
      </c>
      <c r="I189" s="2">
        <f xml:space="preserve"> [2]!'00843BN.TW-Price'</f>
        <v>39.369999999999997</v>
      </c>
    </row>
    <row r="190" spans="1:9">
      <c r="A190" s="26" t="s">
        <v>426</v>
      </c>
      <c r="B190" t="s">
        <v>666</v>
      </c>
      <c r="C190">
        <v>38.380000000000003</v>
      </c>
      <c r="D190" s="2">
        <f xml:space="preserve"> [2]!'00844B.TW-PreClose'</f>
        <v>38.26</v>
      </c>
      <c r="E190" s="2">
        <f xml:space="preserve"> [2]!'00844B.TW-Price'</f>
        <v>38.380000000000003</v>
      </c>
      <c r="F190" s="2">
        <f xml:space="preserve"> [2]!'00844B.TW-BestBid1'</f>
        <v>38.32</v>
      </c>
      <c r="G190" s="2">
        <f xml:space="preserve"> [2]!'00844B.TW-BestAsk1'</f>
        <v>38.409999999999997</v>
      </c>
      <c r="H190" s="2">
        <f xml:space="preserve"> [2]!'00844B.TW-Open'</f>
        <v>38.380000000000003</v>
      </c>
      <c r="I190" s="2">
        <f xml:space="preserve"> [2]!'00844BN.TW-Price'</f>
        <v>38.32</v>
      </c>
    </row>
    <row r="191" spans="1:9">
      <c r="A191" s="26" t="s">
        <v>427</v>
      </c>
      <c r="B191" t="s">
        <v>667</v>
      </c>
      <c r="C191">
        <v>36.78</v>
      </c>
      <c r="D191" s="2">
        <f xml:space="preserve"> [2]!'00845B.TW-PreClose'</f>
        <v>36.85</v>
      </c>
      <c r="E191" s="2">
        <f xml:space="preserve"> [2]!'00845B.TW-Price'</f>
        <v>36.78</v>
      </c>
      <c r="F191" s="2">
        <f xml:space="preserve"> [2]!'00845B.TW-BestBid1'</f>
        <v>36.71</v>
      </c>
      <c r="G191" s="2">
        <f xml:space="preserve"> [2]!'00845B.TW-BestAsk1'</f>
        <v>36.81</v>
      </c>
      <c r="H191" s="2">
        <f xml:space="preserve"> [2]!'00845B.TW-Open'</f>
        <v>36.78</v>
      </c>
      <c r="I191" s="2">
        <f xml:space="preserve"> [2]!'00845BN.TW-Price'</f>
        <v>36.729999999999997</v>
      </c>
    </row>
    <row r="192" spans="1:9">
      <c r="A192" s="26" t="s">
        <v>428</v>
      </c>
      <c r="B192" t="s">
        <v>668</v>
      </c>
      <c r="C192">
        <v>37.229999999999997</v>
      </c>
      <c r="D192" s="2">
        <f xml:space="preserve"> [2]!'00846B.TW-PreClose'</f>
        <v>37.049999999999997</v>
      </c>
      <c r="E192" s="2">
        <f xml:space="preserve"> [2]!'00846B.TW-Price'</f>
        <v>37.229999999999997</v>
      </c>
      <c r="F192" s="2">
        <f xml:space="preserve"> [2]!'00846B.TW-BestBid1'</f>
        <v>37.18</v>
      </c>
      <c r="G192" s="2">
        <f xml:space="preserve"> [2]!'00846B.TW-BestAsk1'</f>
        <v>37.200000000000003</v>
      </c>
      <c r="H192" s="2">
        <f xml:space="preserve"> [2]!'00846B.TW-Open'</f>
        <v>37.229999999999997</v>
      </c>
      <c r="I192" s="2">
        <f xml:space="preserve"> [2]!'00846BN.TW-Price'</f>
        <v>37.380000000000003</v>
      </c>
    </row>
    <row r="193" spans="1:9">
      <c r="A193" s="26" t="s">
        <v>435</v>
      </c>
      <c r="B193" t="s">
        <v>669</v>
      </c>
      <c r="C193">
        <v>33.92</v>
      </c>
      <c r="D193" s="2">
        <f xml:space="preserve"> [2]!'00847B.TW-PreClose'</f>
        <v>33.86</v>
      </c>
      <c r="E193" s="2">
        <f xml:space="preserve"> [2]!'00847B.TW-Price'</f>
        <v>33.92</v>
      </c>
      <c r="F193" s="2">
        <f xml:space="preserve"> [2]!'00847B.TW-BestBid1'</f>
        <v>33.92</v>
      </c>
      <c r="G193" s="2">
        <f xml:space="preserve"> [2]!'00847B.TW-BestAsk1'</f>
        <v>33.93</v>
      </c>
      <c r="H193" s="2">
        <f xml:space="preserve"> [2]!'00847B.TW-Open'</f>
        <v>33.9</v>
      </c>
      <c r="I193" s="2">
        <f xml:space="preserve"> [2]!'00847BN.TW-Price'</f>
        <v>33.950000000000003</v>
      </c>
    </row>
    <row r="194" spans="1:9">
      <c r="A194" s="26" t="s">
        <v>436</v>
      </c>
      <c r="B194" t="s">
        <v>670</v>
      </c>
      <c r="C194">
        <v>36.799999999999997</v>
      </c>
      <c r="D194" s="2">
        <f xml:space="preserve"> [2]!'00848B.TW-PreClose'</f>
        <v>36.880000000000003</v>
      </c>
      <c r="E194" s="2">
        <f xml:space="preserve"> [2]!'00848B.TW-Price'</f>
        <v>36.799999999999997</v>
      </c>
      <c r="F194" s="2">
        <f xml:space="preserve"> [2]!'00848B.TW-BestBid1'</f>
        <v>36.79</v>
      </c>
      <c r="G194" s="2">
        <f xml:space="preserve"> [2]!'00848B.TW-BestAsk1'</f>
        <v>36.85</v>
      </c>
      <c r="H194" s="2">
        <f xml:space="preserve"> [2]!'00848B.TW-Open'</f>
        <v>36.799999999999997</v>
      </c>
      <c r="I194" s="2">
        <f xml:space="preserve"> [2]!'00848BN.TW-Price'</f>
        <v>36.92</v>
      </c>
    </row>
    <row r="195" spans="1:9">
      <c r="A195" s="26" t="s">
        <v>437</v>
      </c>
      <c r="B195" t="s">
        <v>671</v>
      </c>
      <c r="C195">
        <v>36.71</v>
      </c>
      <c r="D195" s="2">
        <f xml:space="preserve"> [2]!'00849B.TW-PreClose'</f>
        <v>36.659999999999997</v>
      </c>
      <c r="E195" s="2">
        <f xml:space="preserve"> [2]!'00849B.TW-Price'</f>
        <v>36.71</v>
      </c>
      <c r="F195" s="2">
        <f xml:space="preserve"> [2]!'00849B.TW-BestBid1'</f>
        <v>36.71</v>
      </c>
      <c r="G195" s="2">
        <f xml:space="preserve"> [2]!'00849B.TW-BestAsk1'</f>
        <v>36.770000000000003</v>
      </c>
      <c r="H195" s="2">
        <f xml:space="preserve"> [2]!'00849B.TW-Open'</f>
        <v>36.729999999999997</v>
      </c>
      <c r="I195" s="2">
        <f xml:space="preserve"> [2]!'00849BN.TW-Price'</f>
        <v>36.770000000000003</v>
      </c>
    </row>
    <row r="196" spans="1:9">
      <c r="A196" s="26" t="s">
        <v>438</v>
      </c>
      <c r="B196" t="s">
        <v>672</v>
      </c>
      <c r="C196">
        <v>32</v>
      </c>
      <c r="D196" s="2">
        <f xml:space="preserve"> [2]!'00850.TW-PreClose'</f>
        <v>31.55</v>
      </c>
      <c r="E196" s="2">
        <f xml:space="preserve"> [2]!'00850.TW-Price'</f>
        <v>32</v>
      </c>
      <c r="F196" s="2">
        <f xml:space="preserve"> [2]!'00850.TW-BestBid1'</f>
        <v>31.99</v>
      </c>
      <c r="G196" s="2">
        <f xml:space="preserve"> [2]!'00850.TW-BestAsk1'</f>
        <v>32</v>
      </c>
      <c r="H196" s="2">
        <f xml:space="preserve"> [2]!'00850.TW-Open'</f>
        <v>31.95</v>
      </c>
      <c r="I196" s="2">
        <f xml:space="preserve"> [2]!'00850N.TW-Price'</f>
        <v>32.03</v>
      </c>
    </row>
    <row r="197" spans="1:9">
      <c r="A197" s="26" t="s">
        <v>439</v>
      </c>
      <c r="B197" t="s">
        <v>673</v>
      </c>
      <c r="C197">
        <v>28.38</v>
      </c>
      <c r="D197" s="2">
        <f xml:space="preserve"> [2]!'00851.TW-PreClose'</f>
        <v>28.25</v>
      </c>
      <c r="E197" s="2">
        <f xml:space="preserve"> [2]!'00851.TW-Price'</f>
        <v>28.38</v>
      </c>
      <c r="F197" s="2">
        <f xml:space="preserve"> [2]!'00851.TW-BestBid1'</f>
        <v>28.39</v>
      </c>
      <c r="G197" s="2">
        <f xml:space="preserve"> [2]!'00851.TW-BestAsk1'</f>
        <v>28.42</v>
      </c>
      <c r="H197" s="2">
        <f xml:space="preserve"> [2]!'00851.TW-Open'</f>
        <v>28.35</v>
      </c>
      <c r="I197" s="2">
        <f xml:space="preserve"> [2]!'00851N.TW-Price'</f>
        <v>28.36</v>
      </c>
    </row>
    <row r="198" spans="1:9">
      <c r="A198" s="26" t="s">
        <v>440</v>
      </c>
      <c r="B198" t="s">
        <v>674</v>
      </c>
      <c r="C198">
        <v>20.36</v>
      </c>
      <c r="D198" s="2">
        <f xml:space="preserve"> [2]!'00852L.TW-PreClose'</f>
        <v>19.7</v>
      </c>
      <c r="E198" s="2">
        <f xml:space="preserve"> [2]!'00852L.TW-Price'</f>
        <v>20.36</v>
      </c>
      <c r="F198" s="2">
        <f xml:space="preserve"> [2]!'00852L.TW-BestBid1'</f>
        <v>20.36</v>
      </c>
      <c r="G198" s="2">
        <f xml:space="preserve"> [2]!'00852L.TW-BestAsk1'</f>
        <v>20.399999999999999</v>
      </c>
      <c r="H198" s="2">
        <f xml:space="preserve"> [2]!'00852L.TW-Open'</f>
        <v>20.28</v>
      </c>
      <c r="I198" s="2">
        <f xml:space="preserve"> [2]!'00852LN.TW-Price'</f>
        <v>20.420000000000002</v>
      </c>
    </row>
    <row r="199" spans="1:9">
      <c r="A199" s="26" t="s">
        <v>441</v>
      </c>
      <c r="B199" t="s">
        <v>675</v>
      </c>
      <c r="C199">
        <v>34.14</v>
      </c>
      <c r="D199" s="2">
        <f xml:space="preserve"> [2]!'00853B.TW-PreClose'</f>
        <v>34.14</v>
      </c>
      <c r="E199" s="2" t="str">
        <f xml:space="preserve"> [2]!'00853B.TW-Price'</f>
        <v>--</v>
      </c>
      <c r="F199" s="2">
        <f xml:space="preserve"> [2]!'00853B.TW-BestBid1'</f>
        <v>33.840000000000003</v>
      </c>
      <c r="G199" s="2">
        <f xml:space="preserve"> [2]!'00853B.TW-BestAsk1'</f>
        <v>34.200000000000003</v>
      </c>
      <c r="H199" s="2" t="str">
        <f xml:space="preserve"> [2]!'00853B.TW-Open'</f>
        <v>--</v>
      </c>
      <c r="I199" s="2">
        <f xml:space="preserve"> [2]!'00853BN.TW-Price'</f>
        <v>34.39</v>
      </c>
    </row>
    <row r="200" spans="1:9">
      <c r="A200" s="26" t="s">
        <v>1108</v>
      </c>
      <c r="B200" t="s">
        <v>1111</v>
      </c>
      <c r="C200">
        <v>36.49</v>
      </c>
      <c r="D200" s="2">
        <f xml:space="preserve"> [2]!'00856B.TW-PreClose'</f>
        <v>36.549999999999997</v>
      </c>
      <c r="E200" s="2">
        <f xml:space="preserve"> [2]!'00856B.TW-Price'</f>
        <v>36.49</v>
      </c>
      <c r="F200" s="2">
        <f xml:space="preserve"> [2]!'00856B.TW-BestBid1'</f>
        <v>36.46</v>
      </c>
      <c r="G200" s="2">
        <f xml:space="preserve"> [2]!'00856B.TW-BestAsk1'</f>
        <v>36.520000000000003</v>
      </c>
      <c r="H200" s="2">
        <f xml:space="preserve"> [2]!'00856B.TW-Open'</f>
        <v>36.49</v>
      </c>
      <c r="I200" s="2">
        <f xml:space="preserve"> [2]!'00856BN.TW-Price'</f>
        <v>36.57</v>
      </c>
    </row>
    <row r="201" spans="1:9">
      <c r="A201" s="26" t="s">
        <v>1109</v>
      </c>
      <c r="B201" t="s">
        <v>1112</v>
      </c>
      <c r="C201">
        <v>34.729999999999997</v>
      </c>
      <c r="D201" s="2">
        <f xml:space="preserve"> [2]!'00857B.TW-PreClose'</f>
        <v>34.67</v>
      </c>
      <c r="E201" s="2">
        <f xml:space="preserve"> [2]!'00857B.TW-Price'</f>
        <v>34.729999999999997</v>
      </c>
      <c r="F201" s="2">
        <f xml:space="preserve"> [2]!'00857B.TW-BestBid1'</f>
        <v>34.72</v>
      </c>
      <c r="G201" s="2">
        <f xml:space="preserve"> [2]!'00857B.TW-BestAsk1'</f>
        <v>34.78</v>
      </c>
      <c r="H201" s="2">
        <f xml:space="preserve"> [2]!'00857B.TW-Open'</f>
        <v>34.72</v>
      </c>
      <c r="I201" s="2">
        <f xml:space="preserve"> [2]!'00857BN.TW-Price'</f>
        <v>34.659999999999997</v>
      </c>
    </row>
    <row r="202" spans="1:9">
      <c r="A202" s="26" t="s">
        <v>1110</v>
      </c>
      <c r="B202" t="s">
        <v>1113</v>
      </c>
      <c r="C202">
        <v>26.44</v>
      </c>
      <c r="D202" s="2">
        <f xml:space="preserve"> [2]!'00858.TW-PreClose'</f>
        <v>26.15</v>
      </c>
      <c r="E202" s="2">
        <f xml:space="preserve"> [2]!'00858.TW-Price'</f>
        <v>26.44</v>
      </c>
      <c r="F202" s="2">
        <f xml:space="preserve"> [2]!'00858.TW-BestBid1'</f>
        <v>26.46</v>
      </c>
      <c r="G202" s="2">
        <f xml:space="preserve"> [2]!'00858.TW-BestAsk1'</f>
        <v>26.49</v>
      </c>
      <c r="H202" s="2">
        <f xml:space="preserve"> [2]!'00858.TW-Open'</f>
        <v>26.22</v>
      </c>
      <c r="I202" s="2">
        <f xml:space="preserve"> [2]!'00858N.TW-Price'</f>
        <v>26.35</v>
      </c>
    </row>
    <row r="203" spans="1:9">
      <c r="A203" s="26" t="s">
        <v>1279</v>
      </c>
      <c r="B203" t="s">
        <v>1287</v>
      </c>
      <c r="C203">
        <v>36.18</v>
      </c>
      <c r="D203" s="2">
        <f xml:space="preserve"> [2]!'00859B.TW-PreClose'</f>
        <v>36.200000000000003</v>
      </c>
      <c r="E203" s="2">
        <f xml:space="preserve"> [2]!'00859B.TW-Price'</f>
        <v>36.18</v>
      </c>
      <c r="F203" s="2">
        <f xml:space="preserve"> [2]!'00859B.TW-BestBid1'</f>
        <v>36.18</v>
      </c>
      <c r="G203" s="2">
        <f xml:space="preserve"> [2]!'00859B.TW-BestAsk1'</f>
        <v>36.28</v>
      </c>
      <c r="H203" s="2">
        <f xml:space="preserve"> [2]!'00859B.TW-Open'</f>
        <v>36.229999999999997</v>
      </c>
      <c r="I203" s="2">
        <f xml:space="preserve"> [2]!'00859BN.TW-Price'</f>
        <v>36.26</v>
      </c>
    </row>
    <row r="204" spans="1:9">
      <c r="A204" s="26" t="s">
        <v>1280</v>
      </c>
      <c r="B204" t="s">
        <v>1288</v>
      </c>
      <c r="C204">
        <v>37.49</v>
      </c>
      <c r="D204" s="2">
        <f xml:space="preserve"> [2]!'00860B.TW-PreClose'</f>
        <v>37.42</v>
      </c>
      <c r="E204" s="2">
        <f xml:space="preserve"> [2]!'00860B.TW-Price'</f>
        <v>37.49</v>
      </c>
      <c r="F204" s="2">
        <f xml:space="preserve"> [2]!'00860B.TW-BestBid1'</f>
        <v>37.450000000000003</v>
      </c>
      <c r="G204" s="2">
        <f xml:space="preserve"> [2]!'00860B.TW-BestAsk1'</f>
        <v>37.53</v>
      </c>
      <c r="H204" s="2">
        <f xml:space="preserve"> [2]!'00860B.TW-Open'</f>
        <v>37.49</v>
      </c>
      <c r="I204" s="2">
        <f xml:space="preserve"> [2]!'00860BN.TW-Price'</f>
        <v>37.549999999999997</v>
      </c>
    </row>
    <row r="205" spans="1:9">
      <c r="A205" s="26" t="s">
        <v>1281</v>
      </c>
      <c r="B205" t="s">
        <v>1289</v>
      </c>
      <c r="C205">
        <v>27.61</v>
      </c>
      <c r="D205" s="2">
        <f xml:space="preserve"> [2]!'00861.TW-PreClose'</f>
        <v>27.12</v>
      </c>
      <c r="E205" s="2">
        <f xml:space="preserve"> [2]!'00861.TW-Price'</f>
        <v>27.61</v>
      </c>
      <c r="F205" s="2">
        <f xml:space="preserve"> [2]!'00861.TW-BestBid1'</f>
        <v>27.61</v>
      </c>
      <c r="G205" s="2">
        <f xml:space="preserve"> [2]!'00861.TW-BestAsk1'</f>
        <v>27.62</v>
      </c>
      <c r="H205" s="2">
        <f xml:space="preserve"> [2]!'00861.TW-Open'</f>
        <v>27.12</v>
      </c>
      <c r="I205" s="2">
        <f xml:space="preserve"> [2]!'00861N.TW-Price'</f>
        <v>27.59</v>
      </c>
    </row>
    <row r="206" spans="1:9">
      <c r="A206" s="26" t="s">
        <v>1282</v>
      </c>
      <c r="B206" t="s">
        <v>1290</v>
      </c>
      <c r="C206">
        <v>37.65</v>
      </c>
      <c r="D206" s="2">
        <f xml:space="preserve"> [2]!'00862B.TW-PreClose'</f>
        <v>37.51</v>
      </c>
      <c r="E206" s="2">
        <f xml:space="preserve"> [2]!'00862B.TW-Price'</f>
        <v>37.65</v>
      </c>
      <c r="F206" s="2">
        <f xml:space="preserve"> [2]!'00862B.TW-BestBid1'</f>
        <v>37.630000000000003</v>
      </c>
      <c r="G206" s="2">
        <f xml:space="preserve"> [2]!'00862B.TW-BestAsk1'</f>
        <v>37.65</v>
      </c>
      <c r="H206" s="2">
        <f xml:space="preserve"> [2]!'00862B.TW-Open'</f>
        <v>37.619999999999997</v>
      </c>
      <c r="I206" s="2">
        <f xml:space="preserve"> [2]!'00862BN.TW-Price'</f>
        <v>37.799999999999997</v>
      </c>
    </row>
    <row r="207" spans="1:9">
      <c r="A207" s="26" t="s">
        <v>1283</v>
      </c>
      <c r="B207" t="s">
        <v>1291</v>
      </c>
      <c r="C207">
        <v>37.82</v>
      </c>
      <c r="D207" s="2">
        <f xml:space="preserve"> [2]!'00863B.TW-PreClose'</f>
        <v>37.659999999999997</v>
      </c>
      <c r="E207" s="2">
        <f xml:space="preserve"> [2]!'00863B.TW-Price'</f>
        <v>37.82</v>
      </c>
      <c r="F207" s="2">
        <f xml:space="preserve"> [2]!'00863B.TW-BestBid1'</f>
        <v>37.81</v>
      </c>
      <c r="G207" s="2">
        <f xml:space="preserve"> [2]!'00863B.TW-BestAsk1'</f>
        <v>37.86</v>
      </c>
      <c r="H207" s="2">
        <f xml:space="preserve"> [2]!'00863B.TW-Open'</f>
        <v>37.799999999999997</v>
      </c>
      <c r="I207" s="2">
        <f xml:space="preserve"> [2]!'00863BN.TW-Price'</f>
        <v>37.799999999999997</v>
      </c>
    </row>
    <row r="208" spans="1:9">
      <c r="A208" s="26" t="s">
        <v>1284</v>
      </c>
      <c r="B208" t="s">
        <v>1292</v>
      </c>
      <c r="C208">
        <v>36.79</v>
      </c>
      <c r="D208" s="2">
        <f xml:space="preserve"> [2]!'00864B.TW-PreClose'</f>
        <v>36.770000000000003</v>
      </c>
      <c r="E208" s="2">
        <f xml:space="preserve"> [2]!'00864B.TW-Price'</f>
        <v>36.79</v>
      </c>
      <c r="F208" s="2">
        <f xml:space="preserve"> [2]!'00864B.TW-BestBid1'</f>
        <v>36.75</v>
      </c>
      <c r="G208" s="2">
        <f xml:space="preserve"> [2]!'00864B.TW-BestAsk1'</f>
        <v>36.79</v>
      </c>
      <c r="H208" s="2">
        <f xml:space="preserve"> [2]!'00864B.TW-Open'</f>
        <v>36.799999999999997</v>
      </c>
      <c r="I208" s="2">
        <f xml:space="preserve"> [2]!'00864BN.TW-Price'</f>
        <v>36.86</v>
      </c>
    </row>
    <row r="209" spans="1:9">
      <c r="A209" s="26" t="s">
        <v>1285</v>
      </c>
      <c r="B209" t="s">
        <v>1293</v>
      </c>
      <c r="C209">
        <v>36.54</v>
      </c>
      <c r="D209" s="2">
        <f xml:space="preserve"> [2]!'00865B.TW-PreClose'</f>
        <v>36.6</v>
      </c>
      <c r="E209" s="2">
        <f xml:space="preserve"> [2]!'00865B.TW-Price'</f>
        <v>36.54</v>
      </c>
      <c r="F209" s="2">
        <f xml:space="preserve"> [2]!'00865B.TW-BestBid1'</f>
        <v>36.409999999999997</v>
      </c>
      <c r="G209" s="2">
        <f xml:space="preserve"> [2]!'00865B.TW-BestAsk1'</f>
        <v>36.54</v>
      </c>
      <c r="H209" s="2">
        <f xml:space="preserve"> [2]!'00865B.TW-Open'</f>
        <v>36.5</v>
      </c>
      <c r="I209" s="2">
        <f xml:space="preserve"> [2]!'00865BN.TW-Price'</f>
        <v>36.93</v>
      </c>
    </row>
    <row r="210" spans="1:9">
      <c r="A210" s="26" t="s">
        <v>1286</v>
      </c>
      <c r="B210" t="s">
        <v>1294</v>
      </c>
      <c r="C210">
        <v>37.93</v>
      </c>
      <c r="D210" s="2">
        <f xml:space="preserve"> [2]!'00867B.TW-PreClose'</f>
        <v>37.85</v>
      </c>
      <c r="E210" s="2">
        <f xml:space="preserve"> [2]!'00867B.TW-Price'</f>
        <v>37.93</v>
      </c>
      <c r="F210" s="2">
        <f xml:space="preserve"> [2]!'00867B.TW-BestBid1'</f>
        <v>37.770000000000003</v>
      </c>
      <c r="G210" s="2">
        <f xml:space="preserve"> [2]!'00867B.TW-BestAsk1'</f>
        <v>37.97</v>
      </c>
      <c r="H210" s="2">
        <f xml:space="preserve"> [2]!'00867B.TW-Open'</f>
        <v>37.93</v>
      </c>
      <c r="I210" s="2">
        <f xml:space="preserve"> [2]!'00867BN.TW-Price'</f>
        <v>37.83</v>
      </c>
    </row>
    <row r="211" spans="1:9">
      <c r="A211" s="26" t="s">
        <v>1313</v>
      </c>
      <c r="B211" t="s">
        <v>1315</v>
      </c>
      <c r="D211" s="2" t="e">
        <f xml:space="preserve"> [2]!'00868B.TW-PreClose'</f>
        <v>#N/A</v>
      </c>
      <c r="E211" s="2" t="e">
        <f xml:space="preserve"> [2]!'00868B.TW-Price'</f>
        <v>#N/A</v>
      </c>
      <c r="F211" s="2" t="e">
        <f xml:space="preserve"> [2]!'00868B.TW-BestBid1'</f>
        <v>#N/A</v>
      </c>
      <c r="G211" s="2" t="e">
        <f xml:space="preserve"> [2]!'00868B.TW-BestAsk1'</f>
        <v>#N/A</v>
      </c>
      <c r="H211" s="2" t="e">
        <f xml:space="preserve"> [2]!'00868B.TW-Open'</f>
        <v>#N/A</v>
      </c>
      <c r="I211" s="2" t="e">
        <f xml:space="preserve"> [2]!'00868BN.TW-Price'</f>
        <v>#N/A</v>
      </c>
    </row>
    <row r="212" spans="1:9">
      <c r="A212" s="26" t="s">
        <v>1314</v>
      </c>
      <c r="B212" t="s">
        <v>1316</v>
      </c>
      <c r="C212">
        <v>36.44</v>
      </c>
      <c r="D212" s="2">
        <f xml:space="preserve"> [2]!'00869B.TW-PreClose'</f>
        <v>36.44</v>
      </c>
      <c r="E212" s="2">
        <f xml:space="preserve"> [2]!'00869B.TW-Price'</f>
        <v>36.44</v>
      </c>
      <c r="F212" s="2">
        <f xml:space="preserve"> [2]!'00869B.TW-BestBid1'</f>
        <v>36.380000000000003</v>
      </c>
      <c r="G212" s="2">
        <f xml:space="preserve"> [2]!'00869B.TW-BestAsk1'</f>
        <v>36.49</v>
      </c>
      <c r="H212" s="2">
        <f xml:space="preserve"> [2]!'00869B.TW-Open'</f>
        <v>36.42</v>
      </c>
      <c r="I212" s="2">
        <f xml:space="preserve"> [2]!'00869BN.TW-Price'</f>
        <v>36.450000000000003</v>
      </c>
    </row>
    <row r="213" spans="1:9">
      <c r="A213" s="26" t="s">
        <v>1317</v>
      </c>
      <c r="B213" t="s">
        <v>1319</v>
      </c>
      <c r="C213">
        <v>36.97</v>
      </c>
      <c r="D213" s="2">
        <f xml:space="preserve"> [2]!'00870B.TW-PreClose'</f>
        <v>37.090000000000003</v>
      </c>
      <c r="E213" s="2">
        <f xml:space="preserve"> [2]!'00870B.TW-Price'</f>
        <v>36.97</v>
      </c>
      <c r="F213" s="2">
        <f xml:space="preserve"> [2]!'00870B.TW-BestBid1'</f>
        <v>36.880000000000003</v>
      </c>
      <c r="G213" s="2">
        <f xml:space="preserve"> [2]!'00870B.TW-BestAsk1'</f>
        <v>36.97</v>
      </c>
      <c r="H213" s="2">
        <f xml:space="preserve"> [2]!'00870B.TW-Open'</f>
        <v>37</v>
      </c>
      <c r="I213" s="2">
        <f xml:space="preserve"> [2]!'00870BN.TW-Price'</f>
        <v>37.03</v>
      </c>
    </row>
    <row r="214" spans="1:9">
      <c r="A214" s="26" t="s">
        <v>1318</v>
      </c>
      <c r="B214" t="s">
        <v>1320</v>
      </c>
      <c r="C214">
        <v>37.6</v>
      </c>
      <c r="D214" s="2">
        <f xml:space="preserve"> [2]!'00872B.TW-PreClose'</f>
        <v>37.53</v>
      </c>
      <c r="E214" s="2">
        <f xml:space="preserve"> [2]!'00872B.TW-Price'</f>
        <v>37.6</v>
      </c>
      <c r="F214" s="2">
        <f xml:space="preserve"> [2]!'00872B.TW-BestBid1'</f>
        <v>37.49</v>
      </c>
      <c r="G214" s="2">
        <f xml:space="preserve"> [2]!'00872B.TW-BestAsk1'</f>
        <v>37.6</v>
      </c>
      <c r="H214" s="2">
        <f xml:space="preserve"> [2]!'00872B.TW-Open'</f>
        <v>37.6</v>
      </c>
      <c r="I214" s="2">
        <f xml:space="preserve"> [2]!'00872BN.TW-Price'</f>
        <v>37.56</v>
      </c>
    </row>
    <row r="215" spans="1:9">
      <c r="A215" s="26" t="s">
        <v>1358</v>
      </c>
      <c r="B215" t="s">
        <v>1359</v>
      </c>
      <c r="C215">
        <v>29.48</v>
      </c>
      <c r="D215" s="2">
        <f xml:space="preserve"> [2]!'00875.TW-PreClose'</f>
        <v>29.29</v>
      </c>
      <c r="E215" s="2">
        <f xml:space="preserve"> [2]!'00875.TW-Price'</f>
        <v>29.48</v>
      </c>
      <c r="F215" s="2">
        <f xml:space="preserve"> [2]!'00875.TW-BestBid1'</f>
        <v>29.45</v>
      </c>
      <c r="G215" s="2">
        <f xml:space="preserve"> [2]!'00875.TW-BestAsk1'</f>
        <v>29.48</v>
      </c>
      <c r="H215" s="2">
        <f xml:space="preserve"> [2]!'00875.TW-Open'</f>
        <v>29.3</v>
      </c>
      <c r="I215" s="2">
        <f xml:space="preserve"> [2]!'00875N.TW-Price'</f>
        <v>29.4</v>
      </c>
    </row>
    <row r="216" spans="1:9">
      <c r="A216" s="26" t="s">
        <v>1427</v>
      </c>
      <c r="B216" t="s">
        <v>1428</v>
      </c>
      <c r="C216">
        <v>26.96</v>
      </c>
      <c r="D216" s="2">
        <f xml:space="preserve"> [2]!'00876.TW-PreClose'</f>
        <v>26.55</v>
      </c>
      <c r="E216" s="2">
        <f xml:space="preserve"> [2]!'00876.TW-Price'</f>
        <v>26.96</v>
      </c>
      <c r="F216" s="2">
        <f xml:space="preserve"> [2]!'00876.TW-BestBid1'</f>
        <v>26.95</v>
      </c>
      <c r="G216" s="2">
        <f xml:space="preserve"> [2]!'00876.TW-BestAsk1'</f>
        <v>26.96</v>
      </c>
      <c r="H216" s="2">
        <f xml:space="preserve"> [2]!'00876.TW-Open'</f>
        <v>26.73</v>
      </c>
      <c r="I216" s="2">
        <f xml:space="preserve"> [2]!'00876N.TW-Price'</f>
        <v>26.94</v>
      </c>
    </row>
    <row r="217" spans="1:9">
      <c r="A217" s="26" t="s">
        <v>2689</v>
      </c>
      <c r="B217" t="s">
        <v>2690</v>
      </c>
      <c r="C217">
        <v>11.25</v>
      </c>
      <c r="D217" s="2">
        <f xml:space="preserve"> [2]!'00877.TW-PreClose'</f>
        <v>11.12</v>
      </c>
      <c r="E217" s="2">
        <f xml:space="preserve"> [2]!'00877.TW-Price'</f>
        <v>11.25</v>
      </c>
      <c r="F217" s="2">
        <f xml:space="preserve"> [2]!'00877.TW-BestBid1'</f>
        <v>11.25</v>
      </c>
      <c r="G217" s="2">
        <f xml:space="preserve"> [2]!'00877.TW-BestAsk1'</f>
        <v>11.26</v>
      </c>
      <c r="H217" s="2">
        <f xml:space="preserve"> [2]!'00877.TW-Open'</f>
        <v>11.12</v>
      </c>
      <c r="I217" s="2">
        <f xml:space="preserve"> [2]!'00877N.TW-Price'</f>
        <v>11.42</v>
      </c>
    </row>
    <row r="218" spans="1:9">
      <c r="A218" s="26" t="s">
        <v>1429</v>
      </c>
      <c r="B218" t="s">
        <v>1430</v>
      </c>
      <c r="C218">
        <v>18.05</v>
      </c>
      <c r="D218" s="2">
        <f xml:space="preserve"> [2]!'00878.TW-PreClose'</f>
        <v>17.829999999999998</v>
      </c>
      <c r="E218" s="2">
        <f xml:space="preserve"> [2]!'00878.TW-Price'</f>
        <v>18.05</v>
      </c>
      <c r="F218" s="2">
        <f xml:space="preserve"> [2]!'00878.TW-BestBid1'</f>
        <v>18.04</v>
      </c>
      <c r="G218" s="2">
        <f xml:space="preserve"> [2]!'00878.TW-BestAsk1'</f>
        <v>18.05</v>
      </c>
      <c r="H218" s="2">
        <f xml:space="preserve"> [2]!'00878.TW-Open'</f>
        <v>18</v>
      </c>
      <c r="I218" s="2">
        <f xml:space="preserve"> [2]!'00878N.TW-Price'</f>
        <v>17.940000000000001</v>
      </c>
    </row>
    <row r="219" spans="1:9">
      <c r="A219" s="26" t="s">
        <v>1797</v>
      </c>
      <c r="B219" t="s">
        <v>1799</v>
      </c>
      <c r="C219">
        <v>36.799999999999997</v>
      </c>
      <c r="D219" s="2">
        <f xml:space="preserve"> [2]!'00879B.TW-PreClose'</f>
        <v>36.799999999999997</v>
      </c>
      <c r="E219" s="2">
        <f xml:space="preserve"> [2]!'00879B.TW-Price'</f>
        <v>36.799999999999997</v>
      </c>
      <c r="F219" s="2">
        <f xml:space="preserve"> [2]!'00879B.TW-BestBid1'</f>
        <v>36.630000000000003</v>
      </c>
      <c r="G219" s="2">
        <f xml:space="preserve"> [2]!'00879B.TW-BestAsk1'</f>
        <v>36.9</v>
      </c>
      <c r="H219" s="2">
        <f xml:space="preserve"> [2]!'00879B.TW-Open'</f>
        <v>36.799999999999997</v>
      </c>
      <c r="I219" s="2">
        <f xml:space="preserve"> [2]!'00879BN.TW-Price'</f>
        <v>37.229999999999997</v>
      </c>
    </row>
    <row r="220" spans="1:9">
      <c r="A220" s="26" t="s">
        <v>1798</v>
      </c>
      <c r="B220" t="s">
        <v>1800</v>
      </c>
      <c r="C220">
        <v>34</v>
      </c>
      <c r="D220" s="2">
        <f xml:space="preserve"> [2]!'00880B.TW-PreClose'</f>
        <v>34.200000000000003</v>
      </c>
      <c r="E220" s="2">
        <f xml:space="preserve"> [2]!'00880B.TW-Price'</f>
        <v>34</v>
      </c>
      <c r="F220" s="2">
        <f xml:space="preserve"> [2]!'00880B.TW-BestBid1'</f>
        <v>33.9</v>
      </c>
      <c r="G220" s="2">
        <f xml:space="preserve"> [2]!'00880B.TW-BestAsk1'</f>
        <v>34.409999999999997</v>
      </c>
      <c r="H220" s="2">
        <f xml:space="preserve"> [2]!'00880B.TW-Open'</f>
        <v>34.200000000000003</v>
      </c>
      <c r="I220" s="2">
        <f xml:space="preserve"> [2]!'00880BN.TW-Price'</f>
        <v>34.42</v>
      </c>
    </row>
    <row r="221" spans="1:9">
      <c r="A221" s="26" t="s">
        <v>2354</v>
      </c>
      <c r="B221" t="s">
        <v>2355</v>
      </c>
      <c r="C221">
        <v>16.38</v>
      </c>
      <c r="D221" s="2">
        <f xml:space="preserve"> [2]!'00881.TW-PreClose'</f>
        <v>16.22</v>
      </c>
      <c r="E221" s="2">
        <f xml:space="preserve"> [2]!'00881.TW-Price'</f>
        <v>16.38</v>
      </c>
      <c r="F221" s="2">
        <f xml:space="preserve"> [2]!'00881.TW-BestBid1'</f>
        <v>16.38</v>
      </c>
      <c r="G221" s="2">
        <f xml:space="preserve"> [2]!'00881.TW-BestAsk1'</f>
        <v>16.39</v>
      </c>
      <c r="H221" s="2">
        <f xml:space="preserve"> [2]!'00881.TW-Open'</f>
        <v>16.440000000000001</v>
      </c>
      <c r="I221" s="2">
        <f xml:space="preserve"> [2]!'00881N.TW-Price'</f>
        <v>16.329999999999998</v>
      </c>
    </row>
    <row r="222" spans="1:9">
      <c r="A222" s="26" t="s">
        <v>2477</v>
      </c>
      <c r="B222" t="s">
        <v>2478</v>
      </c>
      <c r="C222">
        <v>15.9</v>
      </c>
      <c r="D222" s="2">
        <f xml:space="preserve"> [2]!'00882.TW-PreClose'</f>
        <v>15.92</v>
      </c>
      <c r="E222" s="2">
        <f xml:space="preserve"> [2]!'00882.TW-Price'</f>
        <v>15.9</v>
      </c>
      <c r="F222" s="2">
        <f xml:space="preserve"> [2]!'00882.TW-BestBid1'</f>
        <v>15.9</v>
      </c>
      <c r="G222" s="2">
        <f xml:space="preserve"> [2]!'00882.TW-BestAsk1'</f>
        <v>15.91</v>
      </c>
      <c r="H222" s="2">
        <f xml:space="preserve"> [2]!'00882.TW-Open'</f>
        <v>15.98</v>
      </c>
      <c r="I222" s="2">
        <f xml:space="preserve"> [2]!'00882N.TW-Price'</f>
        <v>15.91</v>
      </c>
    </row>
    <row r="223" spans="1:9">
      <c r="A223" s="26" t="s">
        <v>2479</v>
      </c>
      <c r="B223" t="s">
        <v>2481</v>
      </c>
      <c r="C223">
        <v>37.42</v>
      </c>
      <c r="D223" s="2">
        <f xml:space="preserve"> [2]!'00883B.TW-PreClose'</f>
        <v>37.21</v>
      </c>
      <c r="E223" s="2">
        <f xml:space="preserve"> [2]!'00883B.TW-Price'</f>
        <v>37.42</v>
      </c>
      <c r="F223" s="2">
        <f xml:space="preserve"> [2]!'00883B.TW-BestBid1'</f>
        <v>37.42</v>
      </c>
      <c r="G223" s="2">
        <f xml:space="preserve"> [2]!'00883B.TW-BestAsk1'</f>
        <v>37.450000000000003</v>
      </c>
      <c r="H223" s="2">
        <f xml:space="preserve"> [2]!'00883B.TW-Open'</f>
        <v>37.409999999999997</v>
      </c>
      <c r="I223" s="2">
        <f xml:space="preserve"> [2]!'00883BN.TW-Price'</f>
        <v>37.49</v>
      </c>
    </row>
    <row r="224" spans="1:9">
      <c r="A224" s="26" t="s">
        <v>2480</v>
      </c>
      <c r="B224" t="s">
        <v>2482</v>
      </c>
      <c r="C224">
        <v>37.49</v>
      </c>
      <c r="D224" s="2">
        <f xml:space="preserve"> [2]!'00884B.TW-PreClose'</f>
        <v>37.4</v>
      </c>
      <c r="E224" s="2">
        <f xml:space="preserve"> [2]!'00884B.TW-Price'</f>
        <v>37.49</v>
      </c>
      <c r="F224" s="2">
        <f xml:space="preserve"> [2]!'00884B.TW-BestBid1'</f>
        <v>37.49</v>
      </c>
      <c r="G224" s="2">
        <f xml:space="preserve"> [2]!'00884B.TW-BestAsk1'</f>
        <v>37.5</v>
      </c>
      <c r="H224" s="2">
        <f xml:space="preserve"> [2]!'00884B.TW-Open'</f>
        <v>37.51</v>
      </c>
      <c r="I224" s="2">
        <f xml:space="preserve"> [2]!'00884BN.TW-Price'</f>
        <v>37.57</v>
      </c>
    </row>
    <row r="225" spans="1:9">
      <c r="A225" s="3" t="s">
        <v>2631</v>
      </c>
      <c r="B225" t="s">
        <v>2633</v>
      </c>
      <c r="C225">
        <v>15.24</v>
      </c>
      <c r="D225" s="2">
        <f xml:space="preserve"> [2]!'00885.TW-PreClose'</f>
        <v>15.26</v>
      </c>
      <c r="E225" s="2">
        <f xml:space="preserve"> [2]!'00885.TW-Price'</f>
        <v>15.24</v>
      </c>
      <c r="F225" s="2">
        <f xml:space="preserve"> [2]!'00885.TW-BestBid1'</f>
        <v>15.23</v>
      </c>
      <c r="G225" s="2">
        <f xml:space="preserve"> [2]!'00885.TW-BestAsk1'</f>
        <v>15.24</v>
      </c>
      <c r="H225" s="2">
        <f xml:space="preserve"> [2]!'00885.TW-Open'</f>
        <v>15.28</v>
      </c>
      <c r="I225" s="2">
        <f xml:space="preserve"> [2]!'00885N.TW-Price'</f>
        <v>15.14</v>
      </c>
    </row>
    <row r="226" spans="1:9">
      <c r="A226" s="26" t="s">
        <v>2608</v>
      </c>
      <c r="B226" t="s">
        <v>2611</v>
      </c>
      <c r="C226">
        <v>19.73</v>
      </c>
      <c r="D226" s="2">
        <f xml:space="preserve"> [2]!'00886.TW-PreClose'</f>
        <v>19.53</v>
      </c>
      <c r="E226" s="2">
        <f xml:space="preserve"> [2]!'00886.TW-Price'</f>
        <v>19.73</v>
      </c>
      <c r="F226" s="2">
        <f xml:space="preserve"> [2]!'00886.TW-BestBid1'</f>
        <v>19.72</v>
      </c>
      <c r="G226" s="2">
        <f xml:space="preserve"> [2]!'00886.TW-BestAsk1'</f>
        <v>19.73</v>
      </c>
      <c r="H226" s="2">
        <f xml:space="preserve"> [2]!'00886.TW-Open'</f>
        <v>19.670000000000002</v>
      </c>
      <c r="I226" s="2">
        <f xml:space="preserve"> [2]!'00886N.TW-Price'</f>
        <v>19.62</v>
      </c>
    </row>
    <row r="227" spans="1:9">
      <c r="A227" s="26" t="s">
        <v>2609</v>
      </c>
      <c r="B227" t="s">
        <v>2612</v>
      </c>
      <c r="C227">
        <v>20.81</v>
      </c>
      <c r="D227" s="2">
        <f xml:space="preserve"> [2]!'00887.TW-PreClose'</f>
        <v>20.45</v>
      </c>
      <c r="E227" s="2">
        <f xml:space="preserve"> [2]!'00887.TW-Price'</f>
        <v>20.81</v>
      </c>
      <c r="F227" s="2">
        <f xml:space="preserve"> [2]!'00887.TW-BestBid1'</f>
        <v>20.81</v>
      </c>
      <c r="G227" s="2">
        <f xml:space="preserve"> [2]!'00887.TW-BestAsk1'</f>
        <v>20.82</v>
      </c>
      <c r="H227" s="2">
        <f xml:space="preserve"> [2]!'00887.TW-Open'</f>
        <v>20.7</v>
      </c>
      <c r="I227" s="2">
        <f xml:space="preserve"> [2]!'00887N.TW-Price'</f>
        <v>21.12</v>
      </c>
    </row>
    <row r="228" spans="1:9">
      <c r="A228" s="26" t="s">
        <v>2610</v>
      </c>
      <c r="B228" t="s">
        <v>2613</v>
      </c>
      <c r="C228">
        <v>14.27</v>
      </c>
      <c r="D228" s="2">
        <f xml:space="preserve"> [2]!'00888.TW-PreClose'</f>
        <v>14.16</v>
      </c>
      <c r="E228" s="2">
        <f xml:space="preserve"> [2]!'00888.TW-Price'</f>
        <v>14.27</v>
      </c>
      <c r="F228" s="2">
        <f xml:space="preserve"> [2]!'00888.TW-BestBid1'</f>
        <v>14.27</v>
      </c>
      <c r="G228" s="2">
        <f xml:space="preserve"> [2]!'00888.TW-BestAsk1'</f>
        <v>14.28</v>
      </c>
      <c r="H228" s="2">
        <f xml:space="preserve"> [2]!'00888.TW-Open'</f>
        <v>14.5</v>
      </c>
      <c r="I228" s="2">
        <f xml:space="preserve"> [2]!'00888N.TW-Price'</f>
        <v>14.23</v>
      </c>
    </row>
    <row r="229" spans="1:9">
      <c r="A229" s="26"/>
    </row>
    <row r="230" spans="1:9">
      <c r="A230" s="26"/>
    </row>
    <row r="231" spans="1:9">
      <c r="A231" s="26"/>
    </row>
    <row r="232" spans="1:9">
      <c r="A232" s="26"/>
    </row>
    <row r="233" spans="1:9">
      <c r="A233" s="26"/>
    </row>
    <row r="234" spans="1:9">
      <c r="A234" s="26"/>
    </row>
    <row r="235" spans="1:9">
      <c r="A235" s="26"/>
    </row>
    <row r="236" spans="1:9">
      <c r="A236" s="26"/>
    </row>
    <row r="237" spans="1:9">
      <c r="A237" s="26"/>
    </row>
    <row r="238" spans="1:9">
      <c r="A238" s="26"/>
    </row>
    <row r="239" spans="1:9">
      <c r="A239" s="26"/>
    </row>
    <row r="240" spans="1:9">
      <c r="A240" s="26"/>
    </row>
    <row r="241" spans="1:1">
      <c r="A241" s="26"/>
    </row>
    <row r="242" spans="1:1">
      <c r="A242" s="26"/>
    </row>
    <row r="243" spans="1:1">
      <c r="A243" s="26"/>
    </row>
    <row r="244" spans="1:1">
      <c r="A244" s="26"/>
    </row>
    <row r="245" spans="1:1">
      <c r="A245" s="26"/>
    </row>
    <row r="246" spans="1:1">
      <c r="A246" s="26"/>
    </row>
    <row r="247" spans="1:1">
      <c r="A247" s="26"/>
    </row>
    <row r="248" spans="1:1">
      <c r="A248" s="26"/>
    </row>
    <row r="249" spans="1:1">
      <c r="A249" s="26"/>
    </row>
    <row r="250" spans="1:1">
      <c r="A250" s="26"/>
    </row>
    <row r="251" spans="1:1">
      <c r="A251" s="26"/>
    </row>
    <row r="252" spans="1:1">
      <c r="A252" s="26"/>
    </row>
    <row r="253" spans="1:1">
      <c r="A253" s="26"/>
    </row>
    <row r="254" spans="1:1">
      <c r="A254" s="26"/>
    </row>
    <row r="255" spans="1:1">
      <c r="A255" s="26"/>
    </row>
    <row r="256" spans="1:1">
      <c r="A256" s="26"/>
    </row>
    <row r="257" spans="1:1">
      <c r="A257" s="26"/>
    </row>
    <row r="258" spans="1:1">
      <c r="A258" s="26"/>
    </row>
    <row r="259" spans="1:1">
      <c r="A259" s="26"/>
    </row>
    <row r="260" spans="1:1">
      <c r="A260" s="26"/>
    </row>
    <row r="261" spans="1:1">
      <c r="A261" s="26"/>
    </row>
    <row r="262" spans="1:1">
      <c r="A262" s="26"/>
    </row>
    <row r="263" spans="1:1">
      <c r="A263" s="26"/>
    </row>
    <row r="264" spans="1:1">
      <c r="A264" s="26"/>
    </row>
    <row r="265" spans="1:1">
      <c r="A265" s="26"/>
    </row>
    <row r="266" spans="1:1">
      <c r="A266" s="26"/>
    </row>
    <row r="267" spans="1:1">
      <c r="A267" s="26"/>
    </row>
    <row r="268" spans="1:1">
      <c r="A268" s="26"/>
    </row>
    <row r="269" spans="1:1">
      <c r="A269" s="26"/>
    </row>
    <row r="270" spans="1:1">
      <c r="A270" s="26"/>
    </row>
    <row r="271" spans="1:1">
      <c r="A271" s="26"/>
    </row>
    <row r="272" spans="1:1">
      <c r="A272" s="26"/>
    </row>
    <row r="273" spans="1:1">
      <c r="A273" s="26"/>
    </row>
    <row r="274" spans="1:1">
      <c r="A274" s="26"/>
    </row>
    <row r="275" spans="1:1">
      <c r="A275" s="26"/>
    </row>
    <row r="276" spans="1:1">
      <c r="A276" s="26"/>
    </row>
    <row r="277" spans="1:1">
      <c r="A277" s="26"/>
    </row>
    <row r="278" spans="1:1">
      <c r="A278" s="26"/>
    </row>
    <row r="279" spans="1:1">
      <c r="A279" s="26"/>
    </row>
    <row r="280" spans="1:1">
      <c r="A280" s="26"/>
    </row>
    <row r="281" spans="1:1">
      <c r="A281" s="26"/>
    </row>
    <row r="282" spans="1:1">
      <c r="A282" s="26"/>
    </row>
    <row r="283" spans="1:1">
      <c r="A283" s="26"/>
    </row>
    <row r="284" spans="1:1">
      <c r="A284" s="26"/>
    </row>
    <row r="285" spans="1:1">
      <c r="A285" s="26"/>
    </row>
    <row r="286" spans="1:1">
      <c r="A286" s="26"/>
    </row>
    <row r="287" spans="1:1">
      <c r="A287" s="26"/>
    </row>
    <row r="288" spans="1:1">
      <c r="A288" s="26"/>
    </row>
    <row r="289" spans="1:1">
      <c r="A289" s="26"/>
    </row>
    <row r="290" spans="1:1">
      <c r="A290" s="26"/>
    </row>
    <row r="291" spans="1:1">
      <c r="A291" s="26"/>
    </row>
    <row r="292" spans="1:1">
      <c r="A292" s="26"/>
    </row>
    <row r="293" spans="1:1">
      <c r="A293" s="26"/>
    </row>
    <row r="294" spans="1:1">
      <c r="A294" s="26"/>
    </row>
    <row r="295" spans="1:1">
      <c r="A295" s="26"/>
    </row>
    <row r="296" spans="1:1">
      <c r="A296" s="26"/>
    </row>
    <row r="297" spans="1:1">
      <c r="A297" s="26"/>
    </row>
    <row r="298" spans="1:1">
      <c r="A298" s="26"/>
    </row>
    <row r="299" spans="1:1">
      <c r="A299" s="26"/>
    </row>
    <row r="300" spans="1:1">
      <c r="A300" s="26"/>
    </row>
    <row r="301" spans="1:1">
      <c r="A301" s="26"/>
    </row>
    <row r="302" spans="1:1">
      <c r="A302" s="26"/>
    </row>
    <row r="303" spans="1:1">
      <c r="A303" s="26"/>
    </row>
    <row r="304" spans="1:1">
      <c r="A304" s="26"/>
    </row>
    <row r="305" spans="1:1">
      <c r="A305" s="26"/>
    </row>
    <row r="306" spans="1:1">
      <c r="A306" s="26"/>
    </row>
    <row r="307" spans="1:1">
      <c r="A307" s="26"/>
    </row>
    <row r="308" spans="1:1">
      <c r="A308" s="26"/>
    </row>
    <row r="309" spans="1:1">
      <c r="A309" s="26"/>
    </row>
    <row r="310" spans="1:1">
      <c r="A310" s="26"/>
    </row>
    <row r="311" spans="1:1">
      <c r="A311" s="26"/>
    </row>
    <row r="312" spans="1:1">
      <c r="A312" s="26"/>
    </row>
    <row r="313" spans="1:1">
      <c r="A313" s="26"/>
    </row>
    <row r="314" spans="1:1">
      <c r="A314" s="26"/>
    </row>
    <row r="315" spans="1:1">
      <c r="A315" s="26"/>
    </row>
    <row r="316" spans="1:1">
      <c r="A316" s="26"/>
    </row>
    <row r="317" spans="1:1">
      <c r="A317" s="26"/>
    </row>
    <row r="318" spans="1:1">
      <c r="A318" s="26"/>
    </row>
    <row r="319" spans="1:1">
      <c r="A319" s="26"/>
    </row>
    <row r="320" spans="1:1">
      <c r="A320" s="26"/>
    </row>
    <row r="321" spans="1:1">
      <c r="A321" s="26"/>
    </row>
    <row r="322" spans="1:1">
      <c r="A322" s="26"/>
    </row>
    <row r="323" spans="1:1">
      <c r="A323" s="26"/>
    </row>
    <row r="324" spans="1:1">
      <c r="A324" s="26"/>
    </row>
    <row r="325" spans="1:1">
      <c r="A325" s="26"/>
    </row>
    <row r="326" spans="1:1">
      <c r="A326" s="26"/>
    </row>
    <row r="327" spans="1:1">
      <c r="A327" s="26"/>
    </row>
    <row r="328" spans="1:1">
      <c r="A328" s="26"/>
    </row>
    <row r="329" spans="1:1">
      <c r="A329" s="26"/>
    </row>
    <row r="330" spans="1:1">
      <c r="A330" s="26"/>
    </row>
    <row r="331" spans="1:1">
      <c r="A331" s="26"/>
    </row>
    <row r="332" spans="1:1">
      <c r="A332" s="26"/>
    </row>
    <row r="333" spans="1:1">
      <c r="A333" s="26"/>
    </row>
    <row r="334" spans="1:1">
      <c r="A334" s="26"/>
    </row>
    <row r="335" spans="1:1">
      <c r="A335" s="26"/>
    </row>
    <row r="336" spans="1:1">
      <c r="A336" s="26"/>
    </row>
    <row r="337" spans="1:1">
      <c r="A337" s="26"/>
    </row>
    <row r="338" spans="1:1">
      <c r="A338" s="26"/>
    </row>
    <row r="339" spans="1:1">
      <c r="A339" s="26"/>
    </row>
    <row r="340" spans="1:1">
      <c r="A340" s="26"/>
    </row>
    <row r="341" spans="1:1">
      <c r="A341" s="26"/>
    </row>
    <row r="342" spans="1:1">
      <c r="A342" s="26"/>
    </row>
    <row r="343" spans="1:1">
      <c r="A343" s="26"/>
    </row>
    <row r="344" spans="1:1">
      <c r="A344" s="26"/>
    </row>
    <row r="345" spans="1:1">
      <c r="A345" s="26"/>
    </row>
    <row r="346" spans="1:1">
      <c r="A346" s="26"/>
    </row>
    <row r="347" spans="1:1">
      <c r="A347" s="26"/>
    </row>
    <row r="348" spans="1:1">
      <c r="A348" s="26"/>
    </row>
    <row r="349" spans="1:1">
      <c r="A349" s="26"/>
    </row>
    <row r="350" spans="1:1">
      <c r="A350" s="26"/>
    </row>
    <row r="351" spans="1:1">
      <c r="A351" s="26"/>
    </row>
    <row r="352" spans="1:1">
      <c r="A352" s="26"/>
    </row>
    <row r="353" spans="1:5">
      <c r="A353" s="26"/>
    </row>
    <row r="354" spans="1:5">
      <c r="A354" s="26"/>
    </row>
    <row r="355" spans="1:5">
      <c r="A355" s="26"/>
    </row>
    <row r="356" spans="1:5">
      <c r="A356" s="26"/>
    </row>
    <row r="357" spans="1:5">
      <c r="A357" s="26"/>
    </row>
    <row r="358" spans="1:5">
      <c r="A358" s="26"/>
    </row>
    <row r="359" spans="1:5">
      <c r="E359" s="4"/>
    </row>
    <row r="360" spans="1:5">
      <c r="E360" s="4"/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XQLiteDDE">
                <anchor moveWithCells="1" sizeWithCells="1">
                  <from>
                    <xdr:col>4</xdr:col>
                    <xdr:colOff>257175</xdr:colOff>
                    <xdr:row>1</xdr:row>
                    <xdr:rowOff>76200</xdr:rowOff>
                  </from>
                  <to>
                    <xdr:col>5</xdr:col>
                    <xdr:colOff>257175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/>
  <dimension ref="A1:Z232"/>
  <sheetViews>
    <sheetView zoomScale="85" zoomScaleNormal="85" workbookViewId="0">
      <pane xSplit="4" ySplit="5" topLeftCell="E183" activePane="bottomRight" state="frozen"/>
      <selection pane="topRight" activeCell="E1" sqref="E1"/>
      <selection pane="bottomLeft" activeCell="A6" sqref="A6"/>
      <selection pane="bottomRight" activeCell="F193" sqref="F193"/>
    </sheetView>
  </sheetViews>
  <sheetFormatPr defaultColWidth="9" defaultRowHeight="16.5"/>
  <cols>
    <col min="1" max="1" width="9" style="2"/>
    <col min="2" max="2" width="16.375" style="2" customWidth="1"/>
    <col min="3" max="3" width="13.125" style="2" customWidth="1"/>
    <col min="4" max="4" width="10.125" style="2" customWidth="1"/>
    <col min="5" max="7" width="9" style="2"/>
    <col min="8" max="8" width="13" style="19" customWidth="1"/>
    <col min="9" max="10" width="12.625" style="2" customWidth="1"/>
    <col min="11" max="11" width="18.125" style="2" customWidth="1"/>
    <col min="12" max="12" width="9" style="43"/>
    <col min="13" max="13" width="11.375" style="43" customWidth="1"/>
    <col min="14" max="14" width="9" style="43"/>
    <col min="15" max="22" width="9" style="2"/>
    <col min="23" max="24" width="9.625" style="2" bestFit="1" customWidth="1"/>
    <col min="25" max="16384" width="9" style="2"/>
  </cols>
  <sheetData>
    <row r="1" spans="1:24">
      <c r="A1" s="1" t="s">
        <v>1107</v>
      </c>
      <c r="B1" s="1" t="s">
        <v>0</v>
      </c>
      <c r="C1" s="1" t="s">
        <v>1</v>
      </c>
      <c r="V1" s="2">
        <v>0</v>
      </c>
    </row>
    <row r="2" spans="1:24">
      <c r="A2" s="1" t="s">
        <v>2</v>
      </c>
      <c r="B2" s="1" t="s">
        <v>3</v>
      </c>
      <c r="C2" s="1"/>
      <c r="U2" s="2" t="s">
        <v>1088</v>
      </c>
      <c r="V2" s="27" t="str">
        <f>IF($V$1=0,"DDE","Cmoney")</f>
        <v>DDE</v>
      </c>
    </row>
    <row r="3" spans="1:24">
      <c r="A3" s="1" t="s">
        <v>4</v>
      </c>
      <c r="B3" s="1" t="s">
        <v>5</v>
      </c>
      <c r="C3" s="1" t="s">
        <v>2733</v>
      </c>
      <c r="L3" s="45" t="e">
        <f>RTD("kgi.tw.der.pricertdserver.2014.1",,$A3 &amp; "_" &amp; L$5 &amp; ":" &amp; $E3 &amp; "@" &amp; $F3)</f>
        <v>#N/A</v>
      </c>
      <c r="N3" s="43">
        <f xml:space="preserve"> [3]!'TSE,00677U,ADJUST_CLS'</f>
        <v>1.99</v>
      </c>
      <c r="O3" s="2">
        <f xml:space="preserve"> [3]!'TSE,00677U,HST_CLOSE'</f>
        <v>0</v>
      </c>
      <c r="P3" s="2">
        <f xml:space="preserve"> [3]!'TSE,00677U,OPEN_PRC'</f>
        <v>1.85</v>
      </c>
      <c r="Q3" s="2">
        <f xml:space="preserve"> [3]!'TSE,00677U,HIGH_1'</f>
        <v>1.86</v>
      </c>
      <c r="R3" s="2">
        <f xml:space="preserve"> [3]!'TSE,00677U,LOW_1'</f>
        <v>1.83</v>
      </c>
      <c r="S3" s="2">
        <f xml:space="preserve"> [3]!'TSE,00677U,TRDPRC_1'</f>
        <v>1.83</v>
      </c>
      <c r="T3" s="2">
        <f xml:space="preserve"> [3]!'TSE,00677U,BID'</f>
        <v>1.83</v>
      </c>
      <c r="U3" s="2">
        <f xml:space="preserve"> [3]!'TSE,00677U,ASK'</f>
        <v>1.84</v>
      </c>
    </row>
    <row r="4" spans="1:24">
      <c r="H4" s="20" t="s">
        <v>453</v>
      </c>
      <c r="I4" s="7" t="s">
        <v>450</v>
      </c>
      <c r="J4" s="7" t="s">
        <v>451</v>
      </c>
      <c r="L4" s="43" t="s">
        <v>453</v>
      </c>
      <c r="M4" s="43" t="s">
        <v>1328</v>
      </c>
      <c r="N4" s="39">
        <f>[3]!'TSE,00677U,ADJUST_CLS'</f>
        <v>1.99</v>
      </c>
      <c r="O4" s="2">
        <f>[3]!'TSE,00677U,HST_CLOSE'</f>
        <v>0</v>
      </c>
      <c r="P4" s="2">
        <f>[3]!'TSE,00677U,OPEN_PRC'</f>
        <v>1.85</v>
      </c>
      <c r="Q4">
        <f>[3]!'TSE,00677U,HIGH_1'</f>
        <v>1.86</v>
      </c>
      <c r="R4">
        <f>[3]!'TSE,00677U,LOW_1'</f>
        <v>1.83</v>
      </c>
      <c r="S4" s="2">
        <f>[3]!'TSE,00677U,TRDPRC_1'</f>
        <v>1.83</v>
      </c>
      <c r="T4" s="2">
        <f>[3]!'TSE,00677U,BID'</f>
        <v>1.83</v>
      </c>
      <c r="U4" s="2">
        <f>[3]!'TSE,00677U,ASK'</f>
        <v>1.84</v>
      </c>
      <c r="V4" s="2" t="s">
        <v>1079</v>
      </c>
    </row>
    <row r="5" spans="1:24">
      <c r="A5" s="2" t="s">
        <v>6</v>
      </c>
      <c r="B5" s="2" t="s">
        <v>7</v>
      </c>
      <c r="C5" s="2" t="s">
        <v>2733</v>
      </c>
      <c r="E5" s="7" t="s">
        <v>442</v>
      </c>
      <c r="F5" s="7" t="s">
        <v>443</v>
      </c>
      <c r="G5" s="7" t="s">
        <v>444</v>
      </c>
      <c r="H5" s="19" t="s">
        <v>445</v>
      </c>
      <c r="I5" s="7" t="s">
        <v>446</v>
      </c>
      <c r="J5" s="7" t="s">
        <v>447</v>
      </c>
      <c r="K5" s="7" t="s">
        <v>448</v>
      </c>
      <c r="L5" s="44" t="s">
        <v>452</v>
      </c>
      <c r="N5" s="43" t="s">
        <v>514</v>
      </c>
      <c r="O5" s="2" t="s">
        <v>509</v>
      </c>
      <c r="P5" s="2" t="s">
        <v>510</v>
      </c>
      <c r="Q5" s="2" t="s">
        <v>511</v>
      </c>
      <c r="R5" s="2" t="s">
        <v>512</v>
      </c>
      <c r="S5" s="2" t="s">
        <v>513</v>
      </c>
      <c r="T5" s="2" t="s">
        <v>10</v>
      </c>
      <c r="U5" s="2" t="s">
        <v>11</v>
      </c>
      <c r="V5" s="2" t="s">
        <v>1078</v>
      </c>
      <c r="W5" s="2" t="s">
        <v>1329</v>
      </c>
      <c r="X5" s="2" t="s">
        <v>1330</v>
      </c>
    </row>
    <row r="6" spans="1:24">
      <c r="A6" s="3" t="s">
        <v>12</v>
      </c>
      <c r="B6" s="2" t="s">
        <v>1459</v>
      </c>
      <c r="C6" s="2">
        <v>128.94999999999999</v>
      </c>
      <c r="E6" s="7" t="s">
        <v>1115</v>
      </c>
      <c r="F6" s="7" t="s">
        <v>1116</v>
      </c>
      <c r="G6" s="8">
        <f xml:space="preserve"> RTD("kgi.tw.der.pricertdserver.2014.1",,$A6 &amp; "_" &amp; $G$5 &amp; ":" &amp; $E6 &amp; "@" &amp; $F6)</f>
        <v>126.7997721</v>
      </c>
      <c r="H6" s="19">
        <f xml:space="preserve"> RTD("kgi.tw.der.pricertdserver.2014.1",,A6 &amp;":"&amp; E6 &amp;"@" &amp; F6)</f>
        <v>128.80427689999999</v>
      </c>
      <c r="I6" s="8">
        <f xml:space="preserve"> RTD("kgi.tw.der.pricertdserver.2014.1",,$A6 &amp; "_" &amp; $I$4 &amp; ":" &amp; $E6 &amp; "@" &amp; $F6)</f>
        <v>128.58574970000001</v>
      </c>
      <c r="J6" s="8">
        <f xml:space="preserve"> RTD("kgi.tw.der.pricertdserver.2014.1",,$A6 &amp; "_" &amp; $J$4 &amp; ":" &amp; $E6 &amp; "@" &amp; $F6)</f>
        <v>128.8508124</v>
      </c>
      <c r="K6" s="7" t="str">
        <f>RTD("kgi.tw.der.pricertdserver.2014.1",,A6 &amp; "_Time" &amp; ":" &amp; E6 &amp; "@" &amp; F6)</f>
        <v>20210514_133036933</v>
      </c>
      <c r="L6" s="45">
        <f>IF(ISERROR($H6),$M6,$H6)</f>
        <v>128.80427689999999</v>
      </c>
      <c r="M6" s="43">
        <f>VLOOKUP($A6,XQKGIAP!$A:$I,9,FALSE)</f>
        <v>128.80000000000001</v>
      </c>
      <c r="N6" s="39">
        <f xml:space="preserve"> [3]!'TSE,0050,ADJUST_CLS'</f>
        <v>127.5</v>
      </c>
      <c r="O6" s="2">
        <f xml:space="preserve"> [3]!'TSE,0050,HST_CLOSE'</f>
        <v>0</v>
      </c>
      <c r="P6" s="2">
        <f xml:space="preserve"> [3]!'TSE,0050,OPEN_PRC'</f>
        <v>128.5</v>
      </c>
      <c r="Q6">
        <f xml:space="preserve"> [3]!'TSE,0050,HIGH_1'</f>
        <v>130.25</v>
      </c>
      <c r="R6">
        <f xml:space="preserve"> [3]!'TSE,0050,LOW_1'</f>
        <v>127.85</v>
      </c>
      <c r="S6" s="2">
        <f xml:space="preserve"> [3]!'TSE,0050,TRDPRC_1'</f>
        <v>128.94999999999999</v>
      </c>
      <c r="T6" s="2">
        <f xml:space="preserve"> [3]!'TSE,0050,BID'</f>
        <v>128.9</v>
      </c>
      <c r="U6" s="2">
        <f xml:space="preserve"> [3]!'TSE,0050,ASK'</f>
        <v>128.94999999999999</v>
      </c>
      <c r="V6" s="2">
        <f>IF($V$1=0,IF(S6&lt;&gt;0,S6,N6),C6)</f>
        <v>128.94999999999999</v>
      </c>
    </row>
    <row r="7" spans="1:24">
      <c r="A7" s="3" t="s">
        <v>13</v>
      </c>
      <c r="B7" s="2" t="s">
        <v>1460</v>
      </c>
      <c r="C7" s="2">
        <v>48.82</v>
      </c>
      <c r="E7" s="7" t="s">
        <v>1115</v>
      </c>
      <c r="F7" s="7" t="s">
        <v>1116</v>
      </c>
      <c r="G7" s="8">
        <f xml:space="preserve"> RTD("kgi.tw.der.pricertdserver.2014.1",,$A7 &amp; "_" &amp; $G$5 &amp; ":" &amp; $E7 &amp; "@" &amp; $F7)</f>
        <v>48.806279539999998</v>
      </c>
      <c r="H7" s="19">
        <f xml:space="preserve"> RTD("kgi.tw.der.pricertdserver.2014.1",,A7 &amp;":"&amp; E7 &amp;"@" &amp; F7)</f>
        <v>48.901789600000001</v>
      </c>
      <c r="I7" s="8">
        <f xml:space="preserve"> RTD("kgi.tw.der.pricertdserver.2014.1",,$A7 &amp; "_" &amp; $I$4 &amp; ":" &amp; $E7 &amp; "@" &amp; $F7)</f>
        <v>48.841083900000001</v>
      </c>
      <c r="J7" s="8">
        <f xml:space="preserve"> RTD("kgi.tw.der.pricertdserver.2014.1",,$A7 &amp; "_" &amp; $J$4 &amp; ":" &amp; $E7 &amp; "@" &amp; $F7)</f>
        <v>48.951443900000001</v>
      </c>
      <c r="K7" s="7" t="str">
        <f>RTD("kgi.tw.der.pricertdserver.2014.1",,A7 &amp; "_Time" &amp; ":" &amp; E7 &amp; "@" &amp; F7)</f>
        <v>20210514_133105998</v>
      </c>
      <c r="L7" s="45">
        <f t="shared" ref="L7:L70" si="0">IF(ISERROR($H7),$M7,$H7)</f>
        <v>48.901789600000001</v>
      </c>
      <c r="M7" s="43">
        <f>VLOOKUP($A7,XQKGIAP!$A:$I,9,FALSE)</f>
        <v>48.9</v>
      </c>
      <c r="N7" s="43">
        <f xml:space="preserve"> [3]!'TSE,0051,ADJUST_CLS'</f>
        <v>48.79</v>
      </c>
      <c r="O7" s="2">
        <f xml:space="preserve"> [3]!'TSE,0051,HST_CLOSE'</f>
        <v>0</v>
      </c>
      <c r="P7" s="2">
        <f xml:space="preserve"> [3]!'TSE,0051,OPEN_PRC'</f>
        <v>49.3</v>
      </c>
      <c r="Q7" s="2">
        <f xml:space="preserve"> [3]!'TSE,0051,HIGH_1'</f>
        <v>50</v>
      </c>
      <c r="R7" s="2">
        <f xml:space="preserve"> [3]!'TSE,0051,LOW_1'</f>
        <v>48.5</v>
      </c>
      <c r="S7" s="2">
        <f xml:space="preserve"> [3]!'TSE,0051,TRDPRC_1'</f>
        <v>48.82</v>
      </c>
      <c r="T7" s="2">
        <f xml:space="preserve"> [3]!'TSE,0051,BID'</f>
        <v>48.82</v>
      </c>
      <c r="U7" s="2">
        <f xml:space="preserve"> [3]!'TSE,0051,ASK'</f>
        <v>49</v>
      </c>
      <c r="V7" s="2">
        <f t="shared" ref="V7:V70" si="1">IF($V$1=0,IF(S7&lt;&gt;0,S7,N7),C7)</f>
        <v>48.82</v>
      </c>
    </row>
    <row r="8" spans="1:24">
      <c r="A8" s="3" t="s">
        <v>14</v>
      </c>
      <c r="B8" s="2" t="s">
        <v>1461</v>
      </c>
      <c r="C8" s="2">
        <v>116.15</v>
      </c>
      <c r="E8" s="7" t="s">
        <v>1115</v>
      </c>
      <c r="F8" s="7" t="s">
        <v>1116</v>
      </c>
      <c r="G8" s="8">
        <f xml:space="preserve"> RTD("kgi.tw.der.pricertdserver.2014.1",,$A8 &amp; "_" &amp; $G$5 &amp; ":" &amp; $E8 &amp; "@" &amp; $F8)</f>
        <v>114.10984332673267</v>
      </c>
      <c r="H8" s="19">
        <f xml:space="preserve"> RTD("kgi.tw.der.pricertdserver.2014.1",,A8 &amp;":"&amp; E8 &amp;"@" &amp; F8)</f>
        <v>115.94325660495048</v>
      </c>
      <c r="I8" s="8">
        <f xml:space="preserve"> RTD("kgi.tw.der.pricertdserver.2014.1",,$A8 &amp; "_" &amp; $I$4 &amp; ":" &amp; $E8 &amp; "@" &amp; $F8)</f>
        <v>115.75655213168316</v>
      </c>
      <c r="J8" s="8">
        <f xml:space="preserve"> RTD("kgi.tw.der.pricertdserver.2014.1",,$A8 &amp; "_" &amp; $J$4 &amp; ":" &amp; $E8 &amp; "@" &amp; $F8)</f>
        <v>115.99447607326731</v>
      </c>
      <c r="K8" s="7" t="str">
        <f>RTD("kgi.tw.der.pricertdserver.2014.1",,A8 &amp; "_Time" &amp; ":" &amp; E8 &amp; "@" &amp; F8)</f>
        <v>20210514_151455304</v>
      </c>
      <c r="L8" s="45">
        <f t="shared" si="0"/>
        <v>115.94325660495048</v>
      </c>
      <c r="M8" s="43">
        <f>VLOOKUP($A8,XQKGIAP!$A:$I,9,FALSE)</f>
        <v>115.94</v>
      </c>
      <c r="N8" s="43">
        <f xml:space="preserve"> [3]!'TSE,0052,ADJUST_CLS'</f>
        <v>114.4</v>
      </c>
      <c r="O8" s="2">
        <f xml:space="preserve"> [3]!'TSE,0052,HST_CLOSE'</f>
        <v>0</v>
      </c>
      <c r="P8" s="2">
        <f xml:space="preserve"> [3]!'TSE,0052,OPEN_PRC'</f>
        <v>116.5</v>
      </c>
      <c r="Q8" s="2">
        <f xml:space="preserve"> [3]!'TSE,0052,HIGH_1'</f>
        <v>117.55</v>
      </c>
      <c r="R8" s="2">
        <f xml:space="preserve"> [3]!'TSE,0052,LOW_1'</f>
        <v>115.2</v>
      </c>
      <c r="S8" s="2">
        <f xml:space="preserve"> [3]!'TSE,0052,TRDPRC_1'</f>
        <v>116.15</v>
      </c>
      <c r="T8" s="2">
        <f xml:space="preserve"> [3]!'TSE,0052,BID'</f>
        <v>116</v>
      </c>
      <c r="U8" s="2">
        <f xml:space="preserve"> [3]!'TSE,0052,ASK'</f>
        <v>116.15</v>
      </c>
      <c r="V8" s="2">
        <f t="shared" si="1"/>
        <v>116.15</v>
      </c>
    </row>
    <row r="9" spans="1:24">
      <c r="A9" s="3" t="s">
        <v>15</v>
      </c>
      <c r="B9" s="2" t="s">
        <v>1462</v>
      </c>
      <c r="C9" s="2">
        <v>61.1</v>
      </c>
      <c r="E9" s="7" t="s">
        <v>1115</v>
      </c>
      <c r="F9" s="7" t="s">
        <v>1116</v>
      </c>
      <c r="G9" s="8">
        <f xml:space="preserve"> RTD("kgi.tw.der.pricertdserver.2014.1",,$A9 &amp; "_" &amp; $G$5 &amp; ":" &amp; $E9 &amp; "@" &amp; $F9)</f>
        <v>60.4384637</v>
      </c>
      <c r="H9" s="19">
        <f xml:space="preserve"> RTD("kgi.tw.der.pricertdserver.2014.1",,A9 &amp;":"&amp; E9 &amp;"@" &amp; F9)</f>
        <v>61.394676500000003</v>
      </c>
      <c r="I9" s="8">
        <f xml:space="preserve"> RTD("kgi.tw.der.pricertdserver.2014.1",,$A9 &amp; "_" &amp; $I$4 &amp; ":" &amp; $E9 &amp; "@" &amp; $F9)</f>
        <v>61.289448399999998</v>
      </c>
      <c r="J9" s="8">
        <f xml:space="preserve"> RTD("kgi.tw.der.pricertdserver.2014.1",,$A9 &amp; "_" &amp; $J$4 &amp; ":" &amp; $E9 &amp; "@" &amp; $F9)</f>
        <v>61.424946499999997</v>
      </c>
      <c r="K9" s="7" t="str">
        <f>RTD("kgi.tw.der.pricertdserver.2014.1",,A9 &amp; "_Time" &amp; ":" &amp; E9 &amp; "@" &amp; F9)</f>
        <v>20210514_133051028</v>
      </c>
      <c r="L9" s="45">
        <f t="shared" si="0"/>
        <v>61.394676500000003</v>
      </c>
      <c r="M9" s="43">
        <f>VLOOKUP($A9,XQKGIAP!$A:$I,9,FALSE)</f>
        <v>61.39</v>
      </c>
      <c r="N9" s="43">
        <f xml:space="preserve"> [3]!'TSE,0053,ADJUST_CLS'</f>
        <v>60</v>
      </c>
      <c r="O9" s="2">
        <f xml:space="preserve"> [3]!'TSE,0053,HST_CLOSE'</f>
        <v>0</v>
      </c>
      <c r="P9" s="2">
        <f xml:space="preserve"> [3]!'TSE,0053,OPEN_PRC'</f>
        <v>61.3</v>
      </c>
      <c r="Q9" s="2">
        <f xml:space="preserve"> [3]!'TSE,0053,HIGH_1'</f>
        <v>61.95</v>
      </c>
      <c r="R9" s="2">
        <f xml:space="preserve"> [3]!'TSE,0053,LOW_1'</f>
        <v>60.9</v>
      </c>
      <c r="S9" s="2">
        <f xml:space="preserve"> [3]!'TSE,0053,TRDPRC_1'</f>
        <v>61.1</v>
      </c>
      <c r="T9" s="2">
        <f xml:space="preserve"> [3]!'TSE,0053,BID'</f>
        <v>60.85</v>
      </c>
      <c r="U9" s="2">
        <f xml:space="preserve"> [3]!'TSE,0053,ASK'</f>
        <v>61.2</v>
      </c>
      <c r="V9" s="2">
        <f t="shared" si="1"/>
        <v>61.1</v>
      </c>
    </row>
    <row r="10" spans="1:24">
      <c r="A10" s="3" t="s">
        <v>16</v>
      </c>
      <c r="B10" s="2" t="s">
        <v>1463</v>
      </c>
      <c r="C10" s="2">
        <v>29.12</v>
      </c>
      <c r="E10" s="7" t="s">
        <v>1115</v>
      </c>
      <c r="F10" s="7" t="s">
        <v>1116</v>
      </c>
      <c r="G10" s="8">
        <f xml:space="preserve"> RTD("kgi.tw.der.pricertdserver.2014.1",,$A10 &amp; "_" &amp; $G$5 &amp; ":" &amp; $E10 &amp; "@" &amp; $F10)</f>
        <v>28.802395499999999</v>
      </c>
      <c r="H10" s="19">
        <f xml:space="preserve"> RTD("kgi.tw.der.pricertdserver.2014.1",,A10 &amp;":"&amp; E10 &amp;"@" &amp; F10)</f>
        <v>29.293906199999999</v>
      </c>
      <c r="I10" s="8">
        <f xml:space="preserve"> RTD("kgi.tw.der.pricertdserver.2014.1",,$A10 &amp; "_" &amp; $I$4 &amp; ":" &amp; $E10 &amp; "@" &amp; $F10)</f>
        <v>29.238204499999998</v>
      </c>
      <c r="J10" s="8">
        <f xml:space="preserve"> RTD("kgi.tw.der.pricertdserver.2014.1",,$A10 &amp; "_" &amp; $J$4 &amp; ":" &amp; $E10 &amp; "@" &amp; $F10)</f>
        <v>29.3218356</v>
      </c>
      <c r="K10" s="7" t="str">
        <f>RTD("kgi.tw.der.pricertdserver.2014.1",,A10 &amp; "_Time" &amp; ":" &amp; E10 &amp; "@" &amp; F10)</f>
        <v>20210514_133050997</v>
      </c>
      <c r="L10" s="45">
        <f t="shared" si="0"/>
        <v>29.293906199999999</v>
      </c>
      <c r="M10" s="43">
        <f>VLOOKUP($A10,XQKGIAP!$A:$I,9,FALSE)</f>
        <v>29.29</v>
      </c>
      <c r="N10" s="43">
        <f xml:space="preserve"> [3]!'TSE,0054,ADJUST_CLS'</f>
        <v>28.74</v>
      </c>
      <c r="O10" s="2">
        <f xml:space="preserve"> [3]!'TSE,0054,HST_CLOSE'</f>
        <v>0</v>
      </c>
      <c r="P10" s="2">
        <f xml:space="preserve"> [3]!'TSE,0054,OPEN_PRC'</f>
        <v>28.88</v>
      </c>
      <c r="Q10" s="2">
        <f xml:space="preserve"> [3]!'TSE,0054,HIGH_1'</f>
        <v>29.33</v>
      </c>
      <c r="R10" s="2">
        <f xml:space="preserve"> [3]!'TSE,0054,LOW_1'</f>
        <v>28.88</v>
      </c>
      <c r="S10" s="2">
        <f xml:space="preserve"> [3]!'TSE,0054,TRDPRC_1'</f>
        <v>29.12</v>
      </c>
      <c r="T10" s="2">
        <f xml:space="preserve"> [3]!'TSE,0054,BID'</f>
        <v>29.12</v>
      </c>
      <c r="U10" s="2">
        <f xml:space="preserve"> [3]!'TSE,0054,ASK'</f>
        <v>29.25</v>
      </c>
      <c r="V10" s="2">
        <f t="shared" si="1"/>
        <v>29.12</v>
      </c>
    </row>
    <row r="11" spans="1:24">
      <c r="A11" s="3" t="s">
        <v>17</v>
      </c>
      <c r="B11" s="2" t="s">
        <v>1464</v>
      </c>
      <c r="C11" s="2">
        <v>20.38</v>
      </c>
      <c r="E11" s="7" t="s">
        <v>1115</v>
      </c>
      <c r="F11" s="7" t="s">
        <v>1116</v>
      </c>
      <c r="G11" s="8">
        <f xml:space="preserve"> RTD("kgi.tw.der.pricertdserver.2014.1",,$A11 &amp; "_" &amp; $G$5 &amp; ":" &amp; $E11 &amp; "@" &amp; $F11)</f>
        <v>20.180979399999998</v>
      </c>
      <c r="H11" s="19">
        <f xml:space="preserve"> RTD("kgi.tw.der.pricertdserver.2014.1",,A11 &amp;":"&amp; E11 &amp;"@" &amp; F11)</f>
        <v>20.432954219999999</v>
      </c>
      <c r="I11" s="8">
        <f xml:space="preserve"> RTD("kgi.tw.der.pricertdserver.2014.1",,$A11 &amp; "_" &amp; $I$4 &amp; ":" &amp; $E11 &amp; "@" &amp; $F11)</f>
        <v>20.398855279999999</v>
      </c>
      <c r="J11" s="8">
        <f xml:space="preserve"> RTD("kgi.tw.der.pricertdserver.2014.1",,$A11 &amp; "_" &amp; $J$4 &amp; ":" &amp; $E11 &amp; "@" &amp; $F11)</f>
        <v>20.44337402</v>
      </c>
      <c r="K11" s="7" t="str">
        <f>RTD("kgi.tw.der.pricertdserver.2014.1",,A11 &amp; "_Time" &amp; ":" &amp; E11 &amp; "@" &amp; F11)</f>
        <v>20210514_133027026</v>
      </c>
      <c r="L11" s="45">
        <f t="shared" si="0"/>
        <v>20.432954219999999</v>
      </c>
      <c r="M11" s="43">
        <f>VLOOKUP($A11,XQKGIAP!$A:$I,9,FALSE)</f>
        <v>20.43</v>
      </c>
      <c r="N11" s="43">
        <f xml:space="preserve"> [3]!'TSE,0055,ADJUST_CLS'</f>
        <v>20.28</v>
      </c>
      <c r="O11" s="2">
        <f xml:space="preserve"> [3]!'TSE,0055,HST_CLOSE'</f>
        <v>0</v>
      </c>
      <c r="P11" s="2">
        <f xml:space="preserve"> [3]!'TSE,0055,OPEN_PRC'</f>
        <v>20.41</v>
      </c>
      <c r="Q11" s="2">
        <f xml:space="preserve"> [3]!'TSE,0055,HIGH_1'</f>
        <v>20.6</v>
      </c>
      <c r="R11" s="2">
        <f xml:space="preserve"> [3]!'TSE,0055,LOW_1'</f>
        <v>20.23</v>
      </c>
      <c r="S11" s="2">
        <f xml:space="preserve"> [3]!'TSE,0055,TRDPRC_1'</f>
        <v>20.38</v>
      </c>
      <c r="T11" s="2">
        <f xml:space="preserve"> [3]!'TSE,0055,BID'</f>
        <v>20.38</v>
      </c>
      <c r="U11" s="2">
        <f xml:space="preserve"> [3]!'TSE,0055,ASK'</f>
        <v>20.39</v>
      </c>
      <c r="V11" s="2">
        <f t="shared" si="1"/>
        <v>20.38</v>
      </c>
    </row>
    <row r="12" spans="1:24">
      <c r="A12" s="3" t="s">
        <v>18</v>
      </c>
      <c r="B12" s="2" t="s">
        <v>1465</v>
      </c>
      <c r="C12" s="2">
        <v>33.65</v>
      </c>
      <c r="E12" s="7" t="s">
        <v>1115</v>
      </c>
      <c r="F12" s="7" t="s">
        <v>1116</v>
      </c>
      <c r="G12" s="8">
        <f xml:space="preserve"> RTD("kgi.tw.der.pricertdserver.2014.1",,$A12 &amp; "_" &amp; $G$5 &amp; ":" &amp; $E12 &amp; "@" &amp; $F12)</f>
        <v>33.297978000000001</v>
      </c>
      <c r="H12" s="19">
        <f xml:space="preserve"> RTD("kgi.tw.der.pricertdserver.2014.1",,A12 &amp;":"&amp; E12 &amp;"@" &amp; F12)</f>
        <v>33.549204600000003</v>
      </c>
      <c r="I12" s="41">
        <f xml:space="preserve"> RTD("kgi.tw.der.pricertdserver.2014.1",,$A12 &amp; "_" &amp; $I$4 &amp; ":" &amp; $E12 &amp; "@" &amp; $F12)</f>
        <v>33.516654299999999</v>
      </c>
      <c r="J12" s="41">
        <f xml:space="preserve"> RTD("kgi.tw.der.pricertdserver.2014.1",,$A12 &amp; "_" &amp; $J$4 &amp; ":" &amp; $E12 &amp; "@" &amp; $F12)</f>
        <v>33.585991300000003</v>
      </c>
      <c r="K12" s="7" t="str">
        <f>RTD("kgi.tw.der.pricertdserver.2014.1",,A12 &amp; "_Time" &amp; ":" &amp; E12 &amp; "@" &amp; F12)</f>
        <v>20210514_133023682</v>
      </c>
      <c r="L12" s="45">
        <f t="shared" si="0"/>
        <v>33.549204600000003</v>
      </c>
      <c r="M12" s="43">
        <f>VLOOKUP($A12,XQKGIAP!$A:$I,9,FALSE)</f>
        <v>33.549999999999997</v>
      </c>
      <c r="N12" s="43">
        <f xml:space="preserve"> [3]!'TSE,0056,ADJUST_CLS'</f>
        <v>33.4</v>
      </c>
      <c r="O12" s="2">
        <f xml:space="preserve"> [3]!'TSE,0056,HST_CLOSE'</f>
        <v>0</v>
      </c>
      <c r="P12" s="2">
        <f xml:space="preserve"> [3]!'TSE,0056,OPEN_PRC'</f>
        <v>33.5</v>
      </c>
      <c r="Q12" s="2">
        <f xml:space="preserve"> [3]!'TSE,0056,HIGH_1'</f>
        <v>34.020000000000003</v>
      </c>
      <c r="R12" s="2">
        <f xml:space="preserve"> [3]!'TSE,0056,LOW_1'</f>
        <v>33.450000000000003</v>
      </c>
      <c r="S12" s="2">
        <f xml:space="preserve"> [3]!'TSE,0056,TRDPRC_1'</f>
        <v>33.65</v>
      </c>
      <c r="T12" s="2">
        <f xml:space="preserve"> [3]!'TSE,0056,BID'</f>
        <v>33.64</v>
      </c>
      <c r="U12" s="2">
        <f xml:space="preserve"> [3]!'TSE,0056,ASK'</f>
        <v>33.65</v>
      </c>
      <c r="V12" s="2">
        <f t="shared" si="1"/>
        <v>33.65</v>
      </c>
    </row>
    <row r="13" spans="1:24">
      <c r="A13" s="3" t="s">
        <v>19</v>
      </c>
      <c r="B13" s="2" t="s">
        <v>1466</v>
      </c>
      <c r="C13" s="2">
        <v>86.8</v>
      </c>
      <c r="E13" s="7" t="s">
        <v>1115</v>
      </c>
      <c r="F13" s="7" t="s">
        <v>1116</v>
      </c>
      <c r="G13" s="8">
        <f xml:space="preserve"> RTD("kgi.tw.der.pricertdserver.2014.1",,$A13 &amp; "_" &amp; $G$5 &amp; ":" &amp; $E13 &amp; "@" &amp; $F13)</f>
        <v>86.512002352089738</v>
      </c>
      <c r="H13" s="19">
        <f xml:space="preserve"> RTD("kgi.tw.der.pricertdserver.2014.1",,A13 &amp;":"&amp; E13 &amp;"@" &amp; F13)</f>
        <v>87.713656752306861</v>
      </c>
      <c r="I13" s="8">
        <f xml:space="preserve"> RTD("kgi.tw.der.pricertdserver.2014.1",,$A13 &amp; "_" &amp; $I$4 &amp; ":" &amp; $E13 &amp; "@" &amp; $F13)</f>
        <v>87.575042220010843</v>
      </c>
      <c r="J13" s="8">
        <f xml:space="preserve"> RTD("kgi.tw.der.pricertdserver.2014.1",,$A13 &amp; "_" &amp; $J$4 &amp; ":" &amp; $E13 &amp; "@" &amp; $F13)</f>
        <v>87.752576690790661</v>
      </c>
      <c r="K13" s="7" t="str">
        <f>RTD("kgi.tw.der.pricertdserver.2014.1",,A13 &amp; "_Time" &amp; ":" &amp; E13 &amp; "@" &amp; F13)</f>
        <v>20210514_151458742</v>
      </c>
      <c r="L13" s="45">
        <f t="shared" si="0"/>
        <v>87.713656752306861</v>
      </c>
      <c r="M13" s="43">
        <f>VLOOKUP($A13,XQKGIAP!$A:$I,9,FALSE)</f>
        <v>87.72</v>
      </c>
      <c r="N13" s="43">
        <f xml:space="preserve"> [3]!'TSE,0057,ADJUST_CLS'</f>
        <v>86</v>
      </c>
      <c r="O13" s="2">
        <f xml:space="preserve"> [3]!'TSE,0057,HST_CLOSE'</f>
        <v>0</v>
      </c>
      <c r="P13" s="2">
        <f xml:space="preserve"> [3]!'TSE,0057,OPEN_PRC'</f>
        <v>87</v>
      </c>
      <c r="Q13" s="2">
        <f xml:space="preserve"> [3]!'TSE,0057,HIGH_1'</f>
        <v>87</v>
      </c>
      <c r="R13" s="2">
        <f xml:space="preserve"> [3]!'TSE,0057,LOW_1'</f>
        <v>86.8</v>
      </c>
      <c r="S13" s="2">
        <f xml:space="preserve"> [3]!'TSE,0057,TRDPRC_1'</f>
        <v>86.8</v>
      </c>
      <c r="T13" s="2">
        <f xml:space="preserve"> [3]!'TSE,0057,BID'</f>
        <v>86.75</v>
      </c>
      <c r="U13" s="2">
        <f xml:space="preserve"> [3]!'TSE,0057,ASK'</f>
        <v>87.15</v>
      </c>
      <c r="V13" s="2">
        <f t="shared" si="1"/>
        <v>86.8</v>
      </c>
    </row>
    <row r="14" spans="1:24">
      <c r="A14" s="3" t="s">
        <v>22</v>
      </c>
      <c r="B14" s="2" t="s">
        <v>1467</v>
      </c>
      <c r="C14" s="2">
        <v>23.37</v>
      </c>
      <c r="E14" s="7" t="s">
        <v>1115</v>
      </c>
      <c r="F14" s="7" t="s">
        <v>1116</v>
      </c>
      <c r="G14" s="8">
        <f xml:space="preserve"> RTD("kgi.tw.der.pricertdserver.2014.1",,$A14 &amp; "_" &amp; $G$5 &amp; ":" &amp; $E14 &amp; "@" &amp; $F14)</f>
        <v>23.04</v>
      </c>
      <c r="H14" s="19">
        <f xml:space="preserve"> RTD("kgi.tw.der.pricertdserver.2014.1",,A14 &amp;":"&amp; E14 &amp;"@" &amp; F14)</f>
        <v>23.05</v>
      </c>
      <c r="I14" s="8">
        <f xml:space="preserve"> RTD("kgi.tw.der.pricertdserver.2014.1",,$A14 &amp; "_" &amp; $I$4 &amp; ":" &amp; $E14 &amp; "@" &amp; $F14)</f>
        <v>-7.9228162514264338E+28</v>
      </c>
      <c r="J14" s="8">
        <f xml:space="preserve"> RTD("kgi.tw.der.pricertdserver.2014.1",,$A14 &amp; "_" &amp; $J$4 &amp; ":" &amp; $E14 &amp; "@" &amp; $F14)</f>
        <v>-7.9228162514264338E+28</v>
      </c>
      <c r="K14" s="7" t="str">
        <f>RTD("kgi.tw.der.pricertdserver.2014.1",,A14 &amp; "_Time" &amp; ":" &amp; E14 &amp; "@" &amp; F14)</f>
        <v>20210514_111445000</v>
      </c>
      <c r="L14" s="45">
        <f t="shared" si="0"/>
        <v>23.05</v>
      </c>
      <c r="M14" s="43">
        <f>VLOOKUP($A14,XQKGIAP!$A:$I,9,FALSE)</f>
        <v>23.71</v>
      </c>
      <c r="N14" s="43">
        <f xml:space="preserve"> [3]!'TSE,0061,ADJUST_CLS'</f>
        <v>22.98</v>
      </c>
      <c r="O14" s="2">
        <f xml:space="preserve"> [3]!'TSE,0061,HST_CLOSE'</f>
        <v>0</v>
      </c>
      <c r="P14" s="2">
        <f xml:space="preserve"> [3]!'TSE,0061,OPEN_PRC'</f>
        <v>22.98</v>
      </c>
      <c r="Q14" s="2">
        <f xml:space="preserve"> [3]!'TSE,0061,HIGH_1'</f>
        <v>23.37</v>
      </c>
      <c r="R14" s="2">
        <f xml:space="preserve"> [3]!'TSE,0061,LOW_1'</f>
        <v>22.91</v>
      </c>
      <c r="S14" s="2">
        <f xml:space="preserve"> [3]!'TSE,0061,TRDPRC_1'</f>
        <v>23.37</v>
      </c>
      <c r="T14" s="2">
        <f xml:space="preserve"> [3]!'TSE,0061,BID'</f>
        <v>23.35</v>
      </c>
      <c r="U14" s="2">
        <f xml:space="preserve"> [3]!'TSE,0061,ASK'</f>
        <v>23.37</v>
      </c>
      <c r="V14" s="2">
        <f t="shared" si="1"/>
        <v>23.37</v>
      </c>
    </row>
    <row r="15" spans="1:24">
      <c r="A15" s="3" t="s">
        <v>23</v>
      </c>
      <c r="B15" s="2" t="s">
        <v>1468</v>
      </c>
      <c r="C15" s="2">
        <v>17.63</v>
      </c>
      <c r="E15" s="7" t="s">
        <v>1115</v>
      </c>
      <c r="F15" s="7" t="s">
        <v>1116</v>
      </c>
      <c r="G15" s="8">
        <f xml:space="preserve"> RTD("kgi.tw.der.pricertdserver.2014.1",,$A15 &amp; "_" &amp; $G$5 &amp; ":" &amp; $E15 &amp; "@" &amp; $F15)</f>
        <v>17.574951455614514</v>
      </c>
      <c r="H15" s="19">
        <f xml:space="preserve"> RTD("kgi.tw.der.pricertdserver.2014.1",,A15 &amp;":"&amp; E15 &amp;"@" &amp; F15)</f>
        <v>17.513891904488741</v>
      </c>
      <c r="I15" s="8">
        <f xml:space="preserve"> RTD("kgi.tw.der.pricertdserver.2014.1",,$A15 &amp; "_" &amp; $I$4 &amp; ":" &amp; $E15 &amp; "@" &amp; $F15)</f>
        <v>17.484469657966443</v>
      </c>
      <c r="J15" s="8">
        <f xml:space="preserve"> RTD("kgi.tw.der.pricertdserver.2014.1",,$A15 &amp; "_" &amp; $J$4 &amp; ":" &amp; $E15 &amp; "@" &amp; $F15)</f>
        <v>17.553451165208664</v>
      </c>
      <c r="K15" s="7" t="str">
        <f>RTD("kgi.tw.der.pricertdserver.2014.1",,A15 &amp; "_Time" &amp; ":" &amp; E15 &amp; "@" &amp; F15)</f>
        <v>20210514_133100998</v>
      </c>
      <c r="L15" s="45">
        <f t="shared" si="0"/>
        <v>17.513891904488741</v>
      </c>
      <c r="M15" s="43">
        <f>VLOOKUP($A15,XQKGIAP!$A:$I,9,FALSE)</f>
        <v>17.510000000000002</v>
      </c>
      <c r="N15" s="43">
        <f xml:space="preserve"> [3]!'TSE,006201,ADJUST_CLS'</f>
        <v>17.64</v>
      </c>
      <c r="O15" s="2">
        <f xml:space="preserve"> [3]!'TSE,006201,HST_CLOSE'</f>
        <v>0</v>
      </c>
      <c r="P15" s="2">
        <f xml:space="preserve"> [3]!'TSE,006201,OPEN_PRC'</f>
        <v>17.760000000000002</v>
      </c>
      <c r="Q15" s="2">
        <f xml:space="preserve"> [3]!'TSE,006201,HIGH_1'</f>
        <v>18.02</v>
      </c>
      <c r="R15" s="2">
        <f xml:space="preserve"> [3]!'TSE,006201,LOW_1'</f>
        <v>17.39</v>
      </c>
      <c r="S15" s="2">
        <f xml:space="preserve"> [3]!'TSE,006201,TRDPRC_1'</f>
        <v>17.63</v>
      </c>
      <c r="T15" s="2">
        <f xml:space="preserve"> [3]!'TSE,006201,BID'</f>
        <v>17.63</v>
      </c>
      <c r="U15" s="2">
        <f xml:space="preserve"> [3]!'TSE,006201,ASK'</f>
        <v>17.690000000000001</v>
      </c>
      <c r="V15" s="2">
        <f t="shared" si="1"/>
        <v>17.63</v>
      </c>
    </row>
    <row r="16" spans="1:24">
      <c r="A16" s="3" t="s">
        <v>24</v>
      </c>
      <c r="B16" s="2" t="s">
        <v>1469</v>
      </c>
      <c r="C16" s="2">
        <v>60.4</v>
      </c>
      <c r="E16" s="7" t="s">
        <v>1115</v>
      </c>
      <c r="F16" s="7" t="s">
        <v>1116</v>
      </c>
      <c r="G16" s="8">
        <f xml:space="preserve"> RTD("kgi.tw.der.pricertdserver.2014.1",,$A16 &amp; "_" &amp; $G$5 &amp; ":" &amp; $E16 &amp; "@" &amp; $F16)</f>
        <v>60.03220014</v>
      </c>
      <c r="H16" s="19">
        <f xml:space="preserve"> RTD("kgi.tw.der.pricertdserver.2014.1",,A16 &amp;":"&amp; E16 &amp;"@" &amp; F16)</f>
        <v>60.867365880000001</v>
      </c>
      <c r="I16" s="8">
        <f xml:space="preserve"> RTD("kgi.tw.der.pricertdserver.2014.1",,$A16 &amp; "_" &amp; $I$4 &amp; ":" &amp; $E16 &amp; "@" &amp; $F16)</f>
        <v>60.769651719999999</v>
      </c>
      <c r="J16" s="8">
        <f xml:space="preserve"> RTD("kgi.tw.der.pricertdserver.2014.1",,$A16 &amp; "_" &amp; $J$4 &amp; ":" &amp; $E16 &amp; "@" &amp; $F16)</f>
        <v>60.894834580000001</v>
      </c>
      <c r="K16" s="7" t="str">
        <f>RTD("kgi.tw.der.pricertdserver.2014.1",,A16 &amp; "_Time" &amp; ":" &amp; E16 &amp; "@" &amp; F16)</f>
        <v>20210514_133105998</v>
      </c>
      <c r="L16" s="45">
        <f t="shared" si="0"/>
        <v>60.867365880000001</v>
      </c>
      <c r="M16" s="43">
        <f>VLOOKUP($A16,XQKGIAP!$A:$I,9,FALSE)</f>
        <v>60.87</v>
      </c>
      <c r="N16" s="43">
        <f xml:space="preserve"> [3]!'TSE,006203,ADJUST_CLS'</f>
        <v>60.15</v>
      </c>
      <c r="O16" s="2">
        <f xml:space="preserve"> [3]!'TSE,006203,HST_CLOSE'</f>
        <v>0</v>
      </c>
      <c r="P16" s="2">
        <f xml:space="preserve"> [3]!'TSE,006203,OPEN_PRC'</f>
        <v>60.9</v>
      </c>
      <c r="Q16" s="2">
        <f xml:space="preserve"> [3]!'TSE,006203,HIGH_1'</f>
        <v>60.9</v>
      </c>
      <c r="R16" s="2">
        <f xml:space="preserve"> [3]!'TSE,006203,LOW_1'</f>
        <v>60.25</v>
      </c>
      <c r="S16" s="2">
        <f xml:space="preserve"> [3]!'TSE,006203,TRDPRC_1'</f>
        <v>60.4</v>
      </c>
      <c r="T16" s="2">
        <f xml:space="preserve"> [3]!'TSE,006203,BID'</f>
        <v>60.45</v>
      </c>
      <c r="U16" s="2">
        <f xml:space="preserve"> [3]!'TSE,006203,ASK'</f>
        <v>60.7</v>
      </c>
      <c r="V16" s="2">
        <f t="shared" si="1"/>
        <v>60.4</v>
      </c>
    </row>
    <row r="17" spans="1:22">
      <c r="A17" s="3" t="s">
        <v>25</v>
      </c>
      <c r="B17" s="2" t="s">
        <v>1470</v>
      </c>
      <c r="C17" s="2">
        <v>80.2</v>
      </c>
      <c r="E17" s="7" t="s">
        <v>1115</v>
      </c>
      <c r="F17" s="7" t="s">
        <v>1116</v>
      </c>
      <c r="G17" s="8">
        <f xml:space="preserve"> RTD("kgi.tw.der.pricertdserver.2014.1",,$A17 &amp; "_" &amp; $G$5 &amp; ":" &amp; $E17 &amp; "@" &amp; $F17)</f>
        <v>79.674036000000001</v>
      </c>
      <c r="H17" s="19">
        <f xml:space="preserve"> RTD("kgi.tw.der.pricertdserver.2014.1",,A17 &amp;":"&amp; E17 &amp;"@" &amp; F17)</f>
        <v>80.374686946666671</v>
      </c>
      <c r="I17" s="8">
        <f xml:space="preserve"> RTD("kgi.tw.der.pricertdserver.2014.1",,$A17 &amp; "_" &amp; $I$4 &amp; ":" &amp; $E17 &amp; "@" &amp; $F17)</f>
        <v>80.260767226666658</v>
      </c>
      <c r="J17" s="8">
        <f xml:space="preserve"> RTD("kgi.tw.der.pricertdserver.2014.1",,$A17 &amp; "_" &amp; $J$4 &amp; ":" &amp; $E17 &amp; "@" &amp; $F17)</f>
        <v>80.415581320000001</v>
      </c>
      <c r="K17" s="7" t="str">
        <f>RTD("kgi.tw.der.pricertdserver.2014.1",,A17 &amp; "_Time" &amp; ":" &amp; E17 &amp; "@" &amp; F17)</f>
        <v>20210514_151444741</v>
      </c>
      <c r="L17" s="45">
        <f t="shared" si="0"/>
        <v>80.374686946666671</v>
      </c>
      <c r="M17" s="43">
        <f>VLOOKUP($A17,XQKGIAP!$A:$I,9,FALSE)</f>
        <v>80.39</v>
      </c>
      <c r="N17" s="43">
        <f xml:space="preserve"> [3]!'TSE,006204,ADJUST_CLS'</f>
        <v>81</v>
      </c>
      <c r="O17" s="2">
        <f xml:space="preserve"> [3]!'TSE,006204,HST_CLOSE'</f>
        <v>0</v>
      </c>
      <c r="P17" s="2">
        <f xml:space="preserve"> [3]!'TSE,006204,OPEN_PRC'</f>
        <v>81</v>
      </c>
      <c r="Q17" s="2">
        <f xml:space="preserve"> [3]!'TSE,006204,HIGH_1'</f>
        <v>81.150000000000006</v>
      </c>
      <c r="R17" s="2">
        <f xml:space="preserve"> [3]!'TSE,006204,LOW_1'</f>
        <v>80.2</v>
      </c>
      <c r="S17" s="2">
        <f xml:space="preserve"> [3]!'TSE,006204,TRDPRC_1'</f>
        <v>80.2</v>
      </c>
      <c r="T17" s="2">
        <f xml:space="preserve"> [3]!'TSE,006204,BID'</f>
        <v>80.150000000000006</v>
      </c>
      <c r="U17" s="2">
        <f xml:space="preserve"> [3]!'TSE,006204,ASK'</f>
        <v>80.45</v>
      </c>
      <c r="V17" s="2">
        <f t="shared" si="1"/>
        <v>80.2</v>
      </c>
    </row>
    <row r="18" spans="1:22">
      <c r="A18" s="3" t="s">
        <v>26</v>
      </c>
      <c r="B18" s="2" t="s">
        <v>1471</v>
      </c>
      <c r="C18" s="2">
        <v>37.950000000000003</v>
      </c>
      <c r="E18" s="7" t="s">
        <v>1115</v>
      </c>
      <c r="F18" s="7" t="s">
        <v>1116</v>
      </c>
      <c r="G18" s="8">
        <f xml:space="preserve"> RTD("kgi.tw.der.pricertdserver.2014.1",,$A18 &amp; "_" &amp; $G$5 &amp; ":" &amp; $E18 &amp; "@" &amp; $F18)</f>
        <v>37.21</v>
      </c>
      <c r="H18" s="19">
        <f xml:space="preserve"> RTD("kgi.tw.der.pricertdserver.2014.1",,A18 &amp;":"&amp; E18 &amp;"@" &amp; F18)</f>
        <v>38.200000000000003</v>
      </c>
      <c r="I18" s="8">
        <f xml:space="preserve"> RTD("kgi.tw.der.pricertdserver.2014.1",,$A18 &amp; "_" &amp; $I$4 &amp; ":" &amp; $E18 &amp; "@" &amp; $F18)</f>
        <v>-7.9228162514264338E+28</v>
      </c>
      <c r="J18" s="8">
        <f xml:space="preserve"> RTD("kgi.tw.der.pricertdserver.2014.1",,$A18 &amp; "_" &amp; $J$4 &amp; ":" &amp; $E18 &amp; "@" &amp; $F18)</f>
        <v>-7.9228162514264338E+28</v>
      </c>
      <c r="K18" s="7" t="str">
        <f>RTD("kgi.tw.der.pricertdserver.2014.1",,A18 &amp; "_Time" &amp; ":" &amp; E18 &amp; "@" &amp; F18)</f>
        <v>20210514_151416000</v>
      </c>
      <c r="L18" s="45">
        <f t="shared" si="0"/>
        <v>38.200000000000003</v>
      </c>
      <c r="M18" s="43">
        <f>VLOOKUP($A18,XQKGIAP!$A:$I,9,FALSE)</f>
        <v>38.200000000000003</v>
      </c>
      <c r="N18" s="43">
        <f xml:space="preserve"> [3]!'TSE,006205,ADJUST_CLS'</f>
        <v>37.15</v>
      </c>
      <c r="O18" s="2">
        <f xml:space="preserve"> [3]!'TSE,006205,HST_CLOSE'</f>
        <v>0</v>
      </c>
      <c r="P18" s="2">
        <f xml:space="preserve"> [3]!'TSE,006205,OPEN_PRC'</f>
        <v>37.299999999999997</v>
      </c>
      <c r="Q18" s="2">
        <f xml:space="preserve"> [3]!'TSE,006205,HIGH_1'</f>
        <v>37.96</v>
      </c>
      <c r="R18" s="2">
        <f xml:space="preserve"> [3]!'TSE,006205,LOW_1'</f>
        <v>37.25</v>
      </c>
      <c r="S18" s="2">
        <f xml:space="preserve"> [3]!'TSE,006205,TRDPRC_1'</f>
        <v>37.950000000000003</v>
      </c>
      <c r="T18" s="2">
        <f xml:space="preserve"> [3]!'TSE,006205,BID'</f>
        <v>37.950000000000003</v>
      </c>
      <c r="U18" s="2">
        <f xml:space="preserve"> [3]!'TSE,006205,ASK'</f>
        <v>37.96</v>
      </c>
      <c r="V18" s="2">
        <f t="shared" si="1"/>
        <v>37.950000000000003</v>
      </c>
    </row>
    <row r="19" spans="1:22">
      <c r="A19" s="3" t="s">
        <v>27</v>
      </c>
      <c r="B19" s="2" t="s">
        <v>1472</v>
      </c>
      <c r="C19" s="2">
        <v>38.049999999999997</v>
      </c>
      <c r="E19" s="7" t="s">
        <v>1115</v>
      </c>
      <c r="F19" s="7" t="s">
        <v>1116</v>
      </c>
      <c r="G19" s="8">
        <f xml:space="preserve"> RTD("kgi.tw.der.pricertdserver.2014.1",,$A19 &amp; "_" &amp; $G$5 &amp; ":" &amp; $E19 &amp; "@" &amp; $F19)</f>
        <v>37.32</v>
      </c>
      <c r="H19" s="19">
        <f xml:space="preserve"> RTD("kgi.tw.der.pricertdserver.2014.1",,A19 &amp;":"&amp; E19 &amp;"@" &amp; F19)</f>
        <v>38.47</v>
      </c>
      <c r="I19" s="8">
        <f xml:space="preserve"> RTD("kgi.tw.der.pricertdserver.2014.1",,$A19 &amp; "_" &amp; $I$4 &amp; ":" &amp; $E19 &amp; "@" &amp; $F19)</f>
        <v>-7.9228162514264338E+28</v>
      </c>
      <c r="J19" s="8">
        <f xml:space="preserve"> RTD("kgi.tw.der.pricertdserver.2014.1",,$A19 &amp; "_" &amp; $J$4 &amp; ":" &amp; $E19 &amp; "@" &amp; $F19)</f>
        <v>-7.9228162514264338E+28</v>
      </c>
      <c r="K19" s="7" t="str">
        <f>RTD("kgi.tw.der.pricertdserver.2014.1",,A19 &amp; "_Time" &amp; ":" &amp; E19 &amp; "@" &amp; F19)</f>
        <v>20210514_151445000</v>
      </c>
      <c r="L19" s="45">
        <f t="shared" si="0"/>
        <v>38.47</v>
      </c>
      <c r="M19" s="43">
        <f>VLOOKUP($A19,XQKGIAP!$A:$I,9,FALSE)</f>
        <v>38.47</v>
      </c>
      <c r="N19" s="43">
        <f xml:space="preserve"> [3]!'TSE,006206,ADJUST_CLS'</f>
        <v>37.15</v>
      </c>
      <c r="O19" s="2">
        <f xml:space="preserve"> [3]!'TSE,006206,HST_CLOSE'</f>
        <v>0</v>
      </c>
      <c r="P19" s="2">
        <f xml:space="preserve"> [3]!'TSE,006206,OPEN_PRC'</f>
        <v>37.31</v>
      </c>
      <c r="Q19" s="2">
        <f xml:space="preserve"> [3]!'TSE,006206,HIGH_1'</f>
        <v>38.090000000000003</v>
      </c>
      <c r="R19" s="2">
        <f xml:space="preserve"> [3]!'TSE,006206,LOW_1'</f>
        <v>37.299999999999997</v>
      </c>
      <c r="S19" s="2">
        <f xml:space="preserve"> [3]!'TSE,006206,TRDPRC_1'</f>
        <v>38.049999999999997</v>
      </c>
      <c r="T19" s="2">
        <f xml:space="preserve"> [3]!'TSE,006206,BID'</f>
        <v>38.049999999999997</v>
      </c>
      <c r="U19" s="2">
        <f xml:space="preserve"> [3]!'TSE,006206,ASK'</f>
        <v>38.06</v>
      </c>
      <c r="V19" s="2">
        <f t="shared" si="1"/>
        <v>38.049999999999997</v>
      </c>
    </row>
    <row r="20" spans="1:22">
      <c r="A20" s="3" t="s">
        <v>28</v>
      </c>
      <c r="B20" s="2" t="s">
        <v>1473</v>
      </c>
      <c r="C20" s="2">
        <v>30.62</v>
      </c>
      <c r="E20" s="7" t="s">
        <v>1115</v>
      </c>
      <c r="F20" s="7" t="s">
        <v>1116</v>
      </c>
      <c r="G20" s="8">
        <f xml:space="preserve"> RTD("kgi.tw.der.pricertdserver.2014.1",,$A20 &amp; "_" &amp; $G$5 &amp; ":" &amp; $E20 &amp; "@" &amp; $F20)</f>
        <v>30.09</v>
      </c>
      <c r="H20" s="19">
        <f xml:space="preserve"> RTD("kgi.tw.der.pricertdserver.2014.1",,A20 &amp;":"&amp; E20 &amp;"@" &amp; F20)</f>
        <v>30.94</v>
      </c>
      <c r="I20" s="8">
        <f xml:space="preserve"> RTD("kgi.tw.der.pricertdserver.2014.1",,$A20 &amp; "_" &amp; $I$4 &amp; ":" &amp; $E20 &amp; "@" &amp; $F20)</f>
        <v>-7.9228162514264338E+28</v>
      </c>
      <c r="J20" s="8">
        <f xml:space="preserve"> RTD("kgi.tw.der.pricertdserver.2014.1",,$A20 &amp; "_" &amp; $J$4 &amp; ":" &amp; $E20 &amp; "@" &amp; $F20)</f>
        <v>-7.9228162514264338E+28</v>
      </c>
      <c r="K20" s="7" t="str">
        <f>RTD("kgi.tw.der.pricertdserver.2014.1",,A20 &amp; "_Time" &amp; ":" &amp; E20 &amp; "@" &amp; F20)</f>
        <v>20210514_151355000</v>
      </c>
      <c r="L20" s="45">
        <f t="shared" si="0"/>
        <v>30.94</v>
      </c>
      <c r="M20" s="43">
        <f>VLOOKUP($A20,XQKGIAP!$A:$I,9,FALSE)</f>
        <v>30.94</v>
      </c>
      <c r="N20" s="43">
        <f xml:space="preserve"> [3]!'TSE,006207,ADJUST_CLS'</f>
        <v>30.03</v>
      </c>
      <c r="O20" s="2">
        <f xml:space="preserve"> [3]!'TSE,006207,HST_CLOSE'</f>
        <v>0</v>
      </c>
      <c r="P20" s="2">
        <f xml:space="preserve"> [3]!'TSE,006207,OPEN_PRC'</f>
        <v>30.05</v>
      </c>
      <c r="Q20" s="2">
        <f xml:space="preserve"> [3]!'TSE,006207,HIGH_1'</f>
        <v>30.62</v>
      </c>
      <c r="R20" s="2">
        <f xml:space="preserve"> [3]!'TSE,006207,LOW_1'</f>
        <v>29.98</v>
      </c>
      <c r="S20" s="2">
        <f xml:space="preserve"> [3]!'TSE,006207,TRDPRC_1'</f>
        <v>30.62</v>
      </c>
      <c r="T20" s="2">
        <f xml:space="preserve"> [3]!'TSE,006207,BID'</f>
        <v>30.61</v>
      </c>
      <c r="U20" s="2">
        <f xml:space="preserve"> [3]!'TSE,006207,ASK'</f>
        <v>30.64</v>
      </c>
      <c r="V20" s="2">
        <f t="shared" si="1"/>
        <v>30.62</v>
      </c>
    </row>
    <row r="21" spans="1:22">
      <c r="A21" s="3" t="s">
        <v>29</v>
      </c>
      <c r="B21" s="2" t="s">
        <v>1474</v>
      </c>
      <c r="C21" s="2">
        <v>74.099999999999994</v>
      </c>
      <c r="E21" s="7" t="s">
        <v>1115</v>
      </c>
      <c r="F21" s="7" t="s">
        <v>1116</v>
      </c>
      <c r="G21" s="8">
        <f xml:space="preserve"> RTD("kgi.tw.der.pricertdserver.2014.1",,$A21 &amp; "_" &amp; $G$5 &amp; ":" &amp; $E21 &amp; "@" &amp; $F21)</f>
        <v>72.770129166141032</v>
      </c>
      <c r="H21" s="19">
        <f xml:space="preserve"> RTD("kgi.tw.der.pricertdserver.2014.1",,A21 &amp;":"&amp; E21 &amp;"@" &amp; F21)</f>
        <v>73.918876656048951</v>
      </c>
      <c r="I21" s="8">
        <f xml:space="preserve"> RTD("kgi.tw.der.pricertdserver.2014.1",,$A21 &amp; "_" &amp; $I$4 &amp; ":" &amp; $E21 &amp; "@" &amp; $F21)</f>
        <v>73.79395621105084</v>
      </c>
      <c r="J21" s="8">
        <f xml:space="preserve"> RTD("kgi.tw.der.pricertdserver.2014.1",,$A21 &amp; "_" &amp; $J$4 &amp; ":" &amp; $E21 &amp; "@" &amp; $F21)</f>
        <v>73.945486183928338</v>
      </c>
      <c r="K21" s="7" t="str">
        <f>RTD("kgi.tw.der.pricertdserver.2014.1",,A21 &amp; "_Time" &amp; ":" &amp; E21 &amp; "@" &amp; F21)</f>
        <v>20210514_151458742</v>
      </c>
      <c r="L21" s="45">
        <f t="shared" si="0"/>
        <v>73.918876656048951</v>
      </c>
      <c r="M21" s="43">
        <f>VLOOKUP($A21,XQKGIAP!$A:$I,9,FALSE)</f>
        <v>73.92</v>
      </c>
      <c r="N21" s="43">
        <f xml:space="preserve"> [3]!'TSE,006208,ADJUST_CLS'</f>
        <v>73.099999999999994</v>
      </c>
      <c r="O21" s="2">
        <f xml:space="preserve"> [3]!'TSE,006208,HST_CLOSE'</f>
        <v>0</v>
      </c>
      <c r="P21" s="2">
        <f xml:space="preserve"> [3]!'TSE,006208,OPEN_PRC'</f>
        <v>73.5</v>
      </c>
      <c r="Q21" s="2">
        <f xml:space="preserve"> [3]!'TSE,006208,HIGH_1'</f>
        <v>74.849999999999994</v>
      </c>
      <c r="R21" s="2">
        <f xml:space="preserve"> [3]!'TSE,006208,LOW_1'</f>
        <v>73.5</v>
      </c>
      <c r="S21" s="2">
        <f xml:space="preserve"> [3]!'TSE,006208,TRDPRC_1'</f>
        <v>74.099999999999994</v>
      </c>
      <c r="T21" s="2">
        <f xml:space="preserve"> [3]!'TSE,006208,BID'</f>
        <v>74.05</v>
      </c>
      <c r="U21" s="2">
        <f xml:space="preserve"> [3]!'TSE,006208,ASK'</f>
        <v>74.099999999999994</v>
      </c>
      <c r="V21" s="2">
        <f t="shared" si="1"/>
        <v>74.099999999999994</v>
      </c>
    </row>
    <row r="22" spans="1:22">
      <c r="A22" s="3" t="s">
        <v>30</v>
      </c>
      <c r="B22" s="2" t="s">
        <v>1475</v>
      </c>
      <c r="C22" s="2">
        <v>8.7100000000000009</v>
      </c>
      <c r="E22" s="7" t="s">
        <v>1115</v>
      </c>
      <c r="F22" s="7" t="s">
        <v>1116</v>
      </c>
      <c r="G22" s="8">
        <f xml:space="preserve"> RTD("kgi.tw.der.pricertdserver.2014.1",,$A22 &amp; "_" &amp; $G$5 &amp; ":" &amp; $E22 &amp; "@" &amp; $F22)</f>
        <v>8.59</v>
      </c>
      <c r="H22" s="19">
        <f xml:space="preserve"> RTD("kgi.tw.der.pricertdserver.2014.1",,A22 &amp;":"&amp; E22 &amp;"@" &amp; F22)</f>
        <v>8.75</v>
      </c>
      <c r="I22" s="8">
        <f xml:space="preserve"> RTD("kgi.tw.der.pricertdserver.2014.1",,$A22 &amp; "_" &amp; $I$4 &amp; ":" &amp; $E22 &amp; "@" &amp; $F22)</f>
        <v>-7.9228162514264338E+28</v>
      </c>
      <c r="J22" s="8">
        <f xml:space="preserve"> RTD("kgi.tw.der.pricertdserver.2014.1",,$A22 &amp; "_" &amp; $J$4 &amp; ":" &amp; $E22 &amp; "@" &amp; $F22)</f>
        <v>-7.9228162514264338E+28</v>
      </c>
      <c r="K22" s="7" t="str">
        <f>RTD("kgi.tw.der.pricertdserver.2014.1",,A22 &amp; "_Time" &amp; ":" &amp; E22 &amp; "@" &amp; F22)</f>
        <v>20210514_132930000</v>
      </c>
      <c r="L22" s="45">
        <f t="shared" si="0"/>
        <v>8.75</v>
      </c>
      <c r="M22" s="43">
        <f>VLOOKUP($A22,XQKGIAP!$A:$I,9,FALSE)</f>
        <v>8.7899999999999991</v>
      </c>
      <c r="N22" s="43">
        <f xml:space="preserve"> [3]!'TSE,00625K,ADJUST_CLS'</f>
        <v>8.7100000000000009</v>
      </c>
      <c r="O22" s="2">
        <f xml:space="preserve"> [3]!'TSE,00625K,HST_CLOSE'</f>
        <v>0</v>
      </c>
      <c r="P22" s="2">
        <f xml:space="preserve"> [3]!'TSE,00625K,OPEN_PRC'</f>
        <v>0</v>
      </c>
      <c r="Q22" s="2">
        <f xml:space="preserve"> [3]!'TSE,00625K,HIGH_1'</f>
        <v>0</v>
      </c>
      <c r="R22" s="2">
        <f xml:space="preserve"> [3]!'TSE,00625K,LOW_1'</f>
        <v>0</v>
      </c>
      <c r="S22" s="2">
        <f xml:space="preserve"> [3]!'TSE,00625K,TRDPRC_1'</f>
        <v>0</v>
      </c>
      <c r="T22" s="2">
        <f xml:space="preserve"> [3]!'TSE,00625K,BID'</f>
        <v>8.69</v>
      </c>
      <c r="U22" s="2">
        <f xml:space="preserve"> [3]!'TSE,00625K,ASK'</f>
        <v>8.8800000000000008</v>
      </c>
      <c r="V22" s="2">
        <f t="shared" si="1"/>
        <v>8.7100000000000009</v>
      </c>
    </row>
    <row r="23" spans="1:22">
      <c r="A23" s="3" t="s">
        <v>31</v>
      </c>
      <c r="B23" s="2" t="s">
        <v>1476</v>
      </c>
      <c r="C23" s="2">
        <v>105.2</v>
      </c>
      <c r="E23" s="7" t="s">
        <v>1115</v>
      </c>
      <c r="F23" s="7" t="s">
        <v>1116</v>
      </c>
      <c r="G23" s="8">
        <f xml:space="preserve"> RTD("kgi.tw.der.pricertdserver.2014.1",,$A23 &amp; "_" &amp; $G$5 &amp; ":" &amp; $E23 &amp; "@" &amp; $F23)</f>
        <v>102.10284434941589</v>
      </c>
      <c r="H23" s="19">
        <f xml:space="preserve"> RTD("kgi.tw.der.pricertdserver.2014.1",,A23 &amp;":"&amp; E23 &amp;"@" &amp; F23)</f>
        <v>104.31464441758854</v>
      </c>
      <c r="I23" s="8">
        <f xml:space="preserve"> RTD("kgi.tw.der.pricertdserver.2014.1",,$A23 &amp; "_" &amp; $I$4 &amp; ":" &amp; $E23 &amp; "@" &amp; $F23)</f>
        <v>104.2917600942022</v>
      </c>
      <c r="J23" s="8">
        <f xml:space="preserve"> RTD("kgi.tw.der.pricertdserver.2014.1",,$A23 &amp; "_" &amp; $J$4 &amp; ":" &amp; $E23 &amp; "@" &amp; $F23)</f>
        <v>104.32590840073129</v>
      </c>
      <c r="K23" s="7" t="str">
        <f>RTD("kgi.tw.der.pricertdserver.2014.1",,A23 &amp; "_Time" &amp; ":" &amp; E23 &amp; "@" &amp; F23)</f>
        <v>20210514_151459304</v>
      </c>
      <c r="L23" s="45">
        <f t="shared" si="0"/>
        <v>104.31464441758854</v>
      </c>
      <c r="M23" s="43">
        <f>VLOOKUP($A23,XQKGIAP!$A:$I,9,FALSE)</f>
        <v>104.77</v>
      </c>
      <c r="N23" s="43">
        <f xml:space="preserve"> [3]!'TSE,00631L,ADJUST_CLS'</f>
        <v>102.6</v>
      </c>
      <c r="O23" s="2">
        <f xml:space="preserve"> [3]!'TSE,00631L,HST_CLOSE'</f>
        <v>0</v>
      </c>
      <c r="P23" s="2">
        <f xml:space="preserve"> [3]!'TSE,00631L,OPEN_PRC'</f>
        <v>105.5</v>
      </c>
      <c r="Q23" s="2">
        <f xml:space="preserve"> [3]!'TSE,00631L,HIGH_1'</f>
        <v>108</v>
      </c>
      <c r="R23" s="2">
        <f xml:space="preserve"> [3]!'TSE,00631L,LOW_1'</f>
        <v>103.5</v>
      </c>
      <c r="S23" s="2">
        <f xml:space="preserve"> [3]!'TSE,00631L,TRDPRC_1'</f>
        <v>105.2</v>
      </c>
      <c r="T23" s="2">
        <f xml:space="preserve"> [3]!'TSE,00631L,BID'</f>
        <v>105.15</v>
      </c>
      <c r="U23" s="2">
        <f xml:space="preserve"> [3]!'TSE,00631L,ASK'</f>
        <v>105.2</v>
      </c>
      <c r="V23" s="2">
        <f t="shared" si="1"/>
        <v>105.2</v>
      </c>
    </row>
    <row r="24" spans="1:22">
      <c r="A24" s="3" t="s">
        <v>32</v>
      </c>
      <c r="B24" s="2" t="s">
        <v>1477</v>
      </c>
      <c r="C24" s="2">
        <v>6.3</v>
      </c>
      <c r="E24" s="7" t="s">
        <v>1115</v>
      </c>
      <c r="F24" s="7" t="s">
        <v>1116</v>
      </c>
      <c r="G24" s="8">
        <f xml:space="preserve"> RTD("kgi.tw.der.pricertdserver.2014.1",,$A24 &amp; "_" &amp; $G$5 &amp; ":" &amp; $E24 &amp; "@" &amp; $F24)</f>
        <v>6.3731573382621409</v>
      </c>
      <c r="H24" s="19">
        <f xml:space="preserve"> RTD("kgi.tw.der.pricertdserver.2014.1",,A24 &amp;":"&amp; E24 &amp;"@" &amp; F24)</f>
        <v>6.3079534366041594</v>
      </c>
      <c r="I24" s="8">
        <f xml:space="preserve"> RTD("kgi.tw.der.pricertdserver.2014.1",,$A24 &amp; "_" &amp; $I$4 &amp; ":" &amp; $E24 &amp; "@" &amp; $F24)</f>
        <v>6.307573781066016</v>
      </c>
      <c r="J24" s="8">
        <f xml:space="preserve"> RTD("kgi.tw.der.pricertdserver.2014.1",,$A24 &amp; "_" &amp; $J$4 &amp; ":" &amp; $E24 &amp; "@" &amp; $F24)</f>
        <v>6.3085074237669607</v>
      </c>
      <c r="K24" s="7" t="str">
        <f>RTD("kgi.tw.der.pricertdserver.2014.1",,A24 &amp; "_Time" &amp; ":" &amp; E24 &amp; "@" &amp; F24)</f>
        <v>20210514_151459304</v>
      </c>
      <c r="L24" s="45">
        <f t="shared" si="0"/>
        <v>6.3079534366041594</v>
      </c>
      <c r="M24" s="43">
        <f>VLOOKUP($A24,XQKGIAP!$A:$I,9,FALSE)</f>
        <v>6.29</v>
      </c>
      <c r="N24" s="43">
        <f xml:space="preserve"> [3]!'TSE,00632R,ADJUST_CLS'</f>
        <v>6.35</v>
      </c>
      <c r="O24" s="2">
        <f xml:space="preserve"> [3]!'TSE,00632R,HST_CLOSE'</f>
        <v>0</v>
      </c>
      <c r="P24" s="2">
        <f xml:space="preserve"> [3]!'TSE,00632R,OPEN_PRC'</f>
        <v>6.26</v>
      </c>
      <c r="Q24" s="2">
        <f xml:space="preserve"> [3]!'TSE,00632R,HIGH_1'</f>
        <v>6.35</v>
      </c>
      <c r="R24" s="2">
        <f xml:space="preserve"> [3]!'TSE,00632R,LOW_1'</f>
        <v>6.19</v>
      </c>
      <c r="S24" s="2">
        <f xml:space="preserve"> [3]!'TSE,00632R,TRDPRC_1'</f>
        <v>6.3</v>
      </c>
      <c r="T24" s="2">
        <f xml:space="preserve"> [3]!'TSE,00632R,BID'</f>
        <v>6.29</v>
      </c>
      <c r="U24" s="2">
        <f xml:space="preserve"> [3]!'TSE,00632R,ASK'</f>
        <v>6.3</v>
      </c>
      <c r="V24" s="2">
        <f t="shared" si="1"/>
        <v>6.3</v>
      </c>
    </row>
    <row r="25" spans="1:22">
      <c r="A25" s="3" t="s">
        <v>33</v>
      </c>
      <c r="B25" s="2" t="s">
        <v>1478</v>
      </c>
      <c r="C25" s="2">
        <v>66.5</v>
      </c>
      <c r="E25" s="7" t="s">
        <v>1115</v>
      </c>
      <c r="F25" s="7" t="s">
        <v>1116</v>
      </c>
      <c r="G25" s="8">
        <f xml:space="preserve"> RTD("kgi.tw.der.pricertdserver.2014.1",,$A25 &amp; "_" &amp; $G$5 &amp; ":" &amp; $E25 &amp; "@" &amp; $F25)</f>
        <v>63.455654738573706</v>
      </c>
      <c r="H25" s="19">
        <f xml:space="preserve"> RTD("kgi.tw.der.pricertdserver.2014.1",,A25 &amp;":"&amp; E25 &amp;"@" &amp; F25)</f>
        <v>66.951831531163378</v>
      </c>
      <c r="I25" s="8">
        <f xml:space="preserve"> RTD("kgi.tw.der.pricertdserver.2014.1",,$A25 &amp; "_" &amp; $I$4 &amp; ":" &amp; $E25 &amp; "@" &amp; $F25)</f>
        <v>66.947388959650667</v>
      </c>
      <c r="J25" s="8">
        <f xml:space="preserve"> RTD("kgi.tw.der.pricertdserver.2014.1",,$A25 &amp; "_" &amp; $J$4 &amp; ":" &amp; $E25 &amp; "@" &amp; $F25)</f>
        <v>66.960328429999677</v>
      </c>
      <c r="K25" s="7" t="str">
        <f>RTD("kgi.tw.der.pricertdserver.2014.1",,A25 &amp; "_Time" &amp; ":" &amp; E25 &amp; "@" &amp; F25)</f>
        <v>20210514_151457742</v>
      </c>
      <c r="L25" s="45">
        <f t="shared" si="0"/>
        <v>66.951831531163378</v>
      </c>
      <c r="M25" s="43">
        <f>VLOOKUP($A25,XQKGIAP!$A:$I,9,FALSE)</f>
        <v>66.97</v>
      </c>
      <c r="N25" s="43">
        <f xml:space="preserve"> [3]!'TSE,00633L,ADJUST_CLS'</f>
        <v>63.1</v>
      </c>
      <c r="O25" s="2">
        <f xml:space="preserve"> [3]!'TSE,00633L,HST_CLOSE'</f>
        <v>0</v>
      </c>
      <c r="P25" s="2">
        <f xml:space="preserve"> [3]!'TSE,00633L,OPEN_PRC'</f>
        <v>64.099999999999994</v>
      </c>
      <c r="Q25" s="2">
        <f xml:space="preserve"> [3]!'TSE,00633L,HIGH_1'</f>
        <v>66.7</v>
      </c>
      <c r="R25" s="2">
        <f xml:space="preserve"> [3]!'TSE,00633L,LOW_1'</f>
        <v>63.4</v>
      </c>
      <c r="S25" s="2">
        <f xml:space="preserve"> [3]!'TSE,00633L,TRDPRC_1'</f>
        <v>66.5</v>
      </c>
      <c r="T25" s="2">
        <f xml:space="preserve"> [3]!'TSE,00633L,BID'</f>
        <v>66.45</v>
      </c>
      <c r="U25" s="2">
        <f xml:space="preserve"> [3]!'TSE,00633L,ASK'</f>
        <v>66.5</v>
      </c>
      <c r="V25" s="2">
        <f t="shared" si="1"/>
        <v>66.5</v>
      </c>
    </row>
    <row r="26" spans="1:22">
      <c r="A26" s="3" t="s">
        <v>34</v>
      </c>
      <c r="B26" s="2" t="s">
        <v>1453</v>
      </c>
      <c r="C26" s="2">
        <v>3.9</v>
      </c>
      <c r="E26" s="7" t="s">
        <v>1115</v>
      </c>
      <c r="F26" s="7" t="s">
        <v>1116</v>
      </c>
      <c r="G26" s="8">
        <f xml:space="preserve"> RTD("kgi.tw.der.pricertdserver.2014.1",,$A26 &amp; "_" &amp; $G$5 &amp; ":" &amp; $E26 &amp; "@" &amp; $F26)</f>
        <v>4.0016763350286082</v>
      </c>
      <c r="H26" s="19">
        <f xml:space="preserve"> RTD("kgi.tw.der.pricertdserver.2014.1",,A26 &amp;":"&amp; E26 &amp;"@" &amp; F26)</f>
        <v>3.8924388345433751</v>
      </c>
      <c r="I26" s="8">
        <f xml:space="preserve"> RTD("kgi.tw.der.pricertdserver.2014.1",,$A26 &amp; "_" &amp; $I$4 &amp; ":" &amp; $E26 &amp; "@" &amp; $F26)</f>
        <v>3.8919250750074568</v>
      </c>
      <c r="J26" s="8">
        <f xml:space="preserve"> RTD("kgi.tw.der.pricertdserver.2014.1",,$A26 &amp; "_" &amp; $J$4 &amp; ":" &amp; $E26 &amp; "@" &amp; $F26)</f>
        <v>3.8949111097429232</v>
      </c>
      <c r="K26" s="7" t="str">
        <f>RTD("kgi.tw.der.pricertdserver.2014.1",,A26 &amp; "_Time" &amp; ":" &amp; E26 &amp; "@" &amp; F26)</f>
        <v>20210514_151457742</v>
      </c>
      <c r="L26" s="45">
        <f t="shared" si="0"/>
        <v>3.8924388345433751</v>
      </c>
      <c r="M26" s="43">
        <f>VLOOKUP($A26,XQKGIAP!$A:$I,9,FALSE)</f>
        <v>3.89</v>
      </c>
      <c r="N26" s="43">
        <f xml:space="preserve"> [3]!'TSE,00634R,ADJUST_CLS'</f>
        <v>4</v>
      </c>
      <c r="O26" s="2">
        <f xml:space="preserve"> [3]!'TSE,00634R,HST_CLOSE'</f>
        <v>0</v>
      </c>
      <c r="P26" s="2">
        <f xml:space="preserve"> [3]!'TSE,00634R,OPEN_PRC'</f>
        <v>3.96</v>
      </c>
      <c r="Q26" s="2">
        <f xml:space="preserve"> [3]!'TSE,00634R,HIGH_1'</f>
        <v>3.99</v>
      </c>
      <c r="R26" s="2">
        <f xml:space="preserve"> [3]!'TSE,00634R,LOW_1'</f>
        <v>3.89</v>
      </c>
      <c r="S26" s="2">
        <f xml:space="preserve"> [3]!'TSE,00634R,TRDPRC_1'</f>
        <v>3.9</v>
      </c>
      <c r="T26" s="2">
        <f xml:space="preserve"> [3]!'TSE,00634R,BID'</f>
        <v>3.89</v>
      </c>
      <c r="U26" s="2">
        <f xml:space="preserve"> [3]!'TSE,00634R,ASK'</f>
        <v>3.9</v>
      </c>
      <c r="V26" s="2">
        <f t="shared" si="1"/>
        <v>3.9</v>
      </c>
    </row>
    <row r="27" spans="1:22">
      <c r="A27" s="3" t="s">
        <v>35</v>
      </c>
      <c r="B27" s="2" t="s">
        <v>2500</v>
      </c>
      <c r="C27" s="2">
        <v>24.46</v>
      </c>
      <c r="E27" s="7" t="s">
        <v>1115</v>
      </c>
      <c r="F27" s="7" t="s">
        <v>1116</v>
      </c>
      <c r="G27" s="8">
        <f xml:space="preserve"> RTD("kgi.tw.der.pricertdserver.2014.1",,$A27 &amp; "_" &amp; $G$5 &amp; ":" &amp; $E27 &amp; "@" &amp; $F27)</f>
        <v>24.502935004851267</v>
      </c>
      <c r="H27" s="19">
        <f xml:space="preserve"> RTD("kgi.tw.der.pricertdserver.2014.1",,A27 &amp;":"&amp; E27 &amp;"@" &amp; F27)</f>
        <v>24.627037927906816</v>
      </c>
      <c r="I27" s="8">
        <f xml:space="preserve"> RTD("kgi.tw.der.pricertdserver.2014.1",,$A27 &amp; "_" &amp; $I$4 &amp; ":" &amp; $E27 &amp; "@" &amp; $F27)</f>
        <v>24.625697144722967</v>
      </c>
      <c r="J27" s="8">
        <f xml:space="preserve"> RTD("kgi.tw.der.pricertdserver.2014.1",,$A27 &amp; "_" &amp; $J$4 &amp; ":" &amp; $E27 &amp; "@" &amp; $F27)</f>
        <v>24.628378711090665</v>
      </c>
      <c r="K27" s="7" t="str">
        <f>RTD("kgi.tw.der.pricertdserver.2014.1",,A27 &amp; "_Time" &amp; ":" &amp; E27 &amp; "@" &amp; F27)</f>
        <v>20210514_151459679</v>
      </c>
      <c r="L27" s="45">
        <f t="shared" si="0"/>
        <v>24.627037927906816</v>
      </c>
      <c r="M27" s="43">
        <f>VLOOKUP($A27,XQKGIAP!$A:$I,9,FALSE)</f>
        <v>24.63</v>
      </c>
      <c r="N27" s="43">
        <f xml:space="preserve"> [3]!'TSE,00635U,ADJUST_CLS'</f>
        <v>24.4</v>
      </c>
      <c r="O27" s="2">
        <f xml:space="preserve"> [3]!'TSE,00635U,HST_CLOSE'</f>
        <v>0</v>
      </c>
      <c r="P27" s="2">
        <f xml:space="preserve"> [3]!'TSE,00635U,OPEN_PRC'</f>
        <v>24.48</v>
      </c>
      <c r="Q27" s="2">
        <f xml:space="preserve"> [3]!'TSE,00635U,HIGH_1'</f>
        <v>24.5</v>
      </c>
      <c r="R27" s="2">
        <f xml:space="preserve"> [3]!'TSE,00635U,LOW_1'</f>
        <v>24.41</v>
      </c>
      <c r="S27" s="2">
        <f xml:space="preserve"> [3]!'TSE,00635U,TRDPRC_1'</f>
        <v>24.46</v>
      </c>
      <c r="T27" s="2">
        <f xml:space="preserve"> [3]!'TSE,00635U,BID'</f>
        <v>24.45</v>
      </c>
      <c r="U27" s="2">
        <f xml:space="preserve"> [3]!'TSE,00635U,ASK'</f>
        <v>24.46</v>
      </c>
      <c r="V27" s="2">
        <f t="shared" si="1"/>
        <v>24.46</v>
      </c>
    </row>
    <row r="28" spans="1:22">
      <c r="A28" s="3" t="s">
        <v>36</v>
      </c>
      <c r="B28" s="2" t="s">
        <v>1479</v>
      </c>
      <c r="C28" s="2">
        <v>27.11</v>
      </c>
      <c r="E28" s="7" t="s">
        <v>1115</v>
      </c>
      <c r="F28" s="7" t="s">
        <v>1116</v>
      </c>
      <c r="G28" s="8">
        <f xml:space="preserve"> RTD("kgi.tw.der.pricertdserver.2014.1",,$A28 &amp; "_" &amp; $G$5 &amp; ":" &amp; $E28 &amp; "@" &amp; $F28)</f>
        <v>26.64</v>
      </c>
      <c r="H28" s="19">
        <f xml:space="preserve"> RTD("kgi.tw.der.pricertdserver.2014.1",,A28 &amp;":"&amp; E28 &amp;"@" &amp; F28)</f>
        <v>27.3</v>
      </c>
      <c r="I28" s="8">
        <f xml:space="preserve"> RTD("kgi.tw.der.pricertdserver.2014.1",,$A28 &amp; "_" &amp; $I$4 &amp; ":" &amp; $E28 &amp; "@" &amp; $F28)</f>
        <v>-7.9228162514264338E+28</v>
      </c>
      <c r="J28" s="8">
        <f xml:space="preserve"> RTD("kgi.tw.der.pricertdserver.2014.1",,$A28 &amp; "_" &amp; $J$4 &amp; ":" &amp; $E28 &amp; "@" &amp; $F28)</f>
        <v>-7.9228162514264338E+28</v>
      </c>
      <c r="K28" s="7" t="str">
        <f>RTD("kgi.tw.der.pricertdserver.2014.1",,A28 &amp; "_Time" &amp; ":" &amp; E28 &amp; "@" &amp; F28)</f>
        <v>20210514_151449000</v>
      </c>
      <c r="L28" s="45">
        <f t="shared" si="0"/>
        <v>27.3</v>
      </c>
      <c r="M28" s="43">
        <f>VLOOKUP($A28,XQKGIAP!$A:$I,9,FALSE)</f>
        <v>27.3</v>
      </c>
      <c r="N28" s="43">
        <f xml:space="preserve"> [3]!'TSE,00636,ADJUST_CLS'</f>
        <v>26.44</v>
      </c>
      <c r="O28" s="2">
        <f xml:space="preserve"> [3]!'TSE,00636,HST_CLOSE'</f>
        <v>0</v>
      </c>
      <c r="P28" s="2">
        <f xml:space="preserve"> [3]!'TSE,00636,OPEN_PRC'</f>
        <v>26.59</v>
      </c>
      <c r="Q28" s="2">
        <f xml:space="preserve"> [3]!'TSE,00636,HIGH_1'</f>
        <v>27.17</v>
      </c>
      <c r="R28" s="2">
        <f xml:space="preserve"> [3]!'TSE,00636,LOW_1'</f>
        <v>26.51</v>
      </c>
      <c r="S28" s="2">
        <f xml:space="preserve"> [3]!'TSE,00636,TRDPRC_1'</f>
        <v>27.11</v>
      </c>
      <c r="T28" s="2">
        <f xml:space="preserve"> [3]!'TSE,00636,BID'</f>
        <v>27.11</v>
      </c>
      <c r="U28" s="2">
        <f xml:space="preserve"> [3]!'TSE,00636,ASK'</f>
        <v>27.12</v>
      </c>
      <c r="V28" s="2">
        <f t="shared" si="1"/>
        <v>27.11</v>
      </c>
    </row>
    <row r="29" spans="1:22">
      <c r="A29" s="3" t="s">
        <v>37</v>
      </c>
      <c r="B29" s="2" t="s">
        <v>1480</v>
      </c>
      <c r="C29" s="2">
        <v>9.68</v>
      </c>
      <c r="E29" s="7" t="s">
        <v>1115</v>
      </c>
      <c r="F29" s="7" t="s">
        <v>1116</v>
      </c>
      <c r="G29" s="8">
        <f xml:space="preserve"> RTD("kgi.tw.der.pricertdserver.2014.1",,$A29 &amp; "_" &amp; $G$5 &amp; ":" &amp; $E29 &amp; "@" &amp; $F29)</f>
        <v>9.52</v>
      </c>
      <c r="H29" s="19">
        <f xml:space="preserve"> RTD("kgi.tw.der.pricertdserver.2014.1",,A29 &amp;":"&amp; E29 &amp;"@" &amp; F29)</f>
        <v>9.69</v>
      </c>
      <c r="I29" s="8">
        <f xml:space="preserve"> RTD("kgi.tw.der.pricertdserver.2014.1",,$A29 &amp; "_" &amp; $I$4 &amp; ":" &amp; $E29 &amp; "@" &amp; $F29)</f>
        <v>-7.9228162514264338E+28</v>
      </c>
      <c r="J29" s="8">
        <f xml:space="preserve"> RTD("kgi.tw.der.pricertdserver.2014.1",,$A29 &amp; "_" &amp; $J$4 &amp; ":" &amp; $E29 &amp; "@" &amp; $F29)</f>
        <v>-7.9228162514264338E+28</v>
      </c>
      <c r="K29" s="7" t="str">
        <f>RTD("kgi.tw.der.pricertdserver.2014.1",,A29 &amp; "_Time" &amp; ":" &amp; E29 &amp; "@" &amp; F29)</f>
        <v>20210514_132928000</v>
      </c>
      <c r="L29" s="45">
        <f t="shared" si="0"/>
        <v>9.69</v>
      </c>
      <c r="M29" s="43">
        <f>VLOOKUP($A29,XQKGIAP!$A:$I,9,FALSE)</f>
        <v>9.75</v>
      </c>
      <c r="N29" s="43">
        <f xml:space="preserve"> [3]!'TSE,00636K,ADJUST_CLS'</f>
        <v>9.5</v>
      </c>
      <c r="O29" s="2">
        <f xml:space="preserve"> [3]!'TSE,00636K,HST_CLOSE'</f>
        <v>0</v>
      </c>
      <c r="P29" s="2">
        <f xml:space="preserve"> [3]!'TSE,00636K,OPEN_PRC'</f>
        <v>9.68</v>
      </c>
      <c r="Q29" s="2">
        <f xml:space="preserve"> [3]!'TSE,00636K,HIGH_1'</f>
        <v>9.68</v>
      </c>
      <c r="R29" s="2">
        <f xml:space="preserve"> [3]!'TSE,00636K,LOW_1'</f>
        <v>9.68</v>
      </c>
      <c r="S29" s="2">
        <f xml:space="preserve"> [3]!'TSE,00636K,TRDPRC_1'</f>
        <v>9.68</v>
      </c>
      <c r="T29" s="2">
        <f xml:space="preserve"> [3]!'TSE,00636K,BID'</f>
        <v>9.66</v>
      </c>
      <c r="U29" s="2">
        <f xml:space="preserve"> [3]!'TSE,00636K,ASK'</f>
        <v>9.7200000000000006</v>
      </c>
      <c r="V29" s="2">
        <f t="shared" si="1"/>
        <v>9.68</v>
      </c>
    </row>
    <row r="30" spans="1:22">
      <c r="A30" s="3" t="s">
        <v>38</v>
      </c>
      <c r="B30" s="2" t="s">
        <v>1481</v>
      </c>
      <c r="C30" s="2">
        <v>26.26</v>
      </c>
      <c r="E30" s="7" t="s">
        <v>1115</v>
      </c>
      <c r="F30" s="7" t="s">
        <v>1116</v>
      </c>
      <c r="G30" s="8">
        <f xml:space="preserve"> RTD("kgi.tw.der.pricertdserver.2014.1",,$A30 &amp; "_" &amp; $G$5 &amp; ":" &amp; $E30 &amp; "@" &amp; $F30)</f>
        <v>25.080012516681798</v>
      </c>
      <c r="H30" s="19">
        <f xml:space="preserve"> RTD("kgi.tw.der.pricertdserver.2014.1",,A30 &amp;":"&amp; E30 &amp;"@" &amp; F30)</f>
        <v>26.454259594079158</v>
      </c>
      <c r="I30" s="8">
        <f xml:space="preserve"> RTD("kgi.tw.der.pricertdserver.2014.1",,$A30 &amp; "_" &amp; $I$4 &amp; ":" &amp; $E30 &amp; "@" &amp; $F30)</f>
        <v>26.453603014696135</v>
      </c>
      <c r="J30" s="8">
        <f xml:space="preserve"> RTD("kgi.tw.der.pricertdserver.2014.1",,$A30 &amp; "_" &amp; $J$4 &amp; ":" &amp; $E30 &amp; "@" &amp; $F30)</f>
        <v>26.457166596169333</v>
      </c>
      <c r="K30" s="7" t="str">
        <f>RTD("kgi.tw.der.pricertdserver.2014.1",,A30 &amp; "_Time" &amp; ":" &amp; E30 &amp; "@" &amp; F30)</f>
        <v>20210514_151457742</v>
      </c>
      <c r="L30" s="45">
        <f t="shared" si="0"/>
        <v>26.454259594079158</v>
      </c>
      <c r="M30" s="43">
        <f>VLOOKUP($A30,XQKGIAP!$A:$I,9,FALSE)</f>
        <v>26.49</v>
      </c>
      <c r="N30" s="43">
        <f xml:space="preserve"> [3]!'TSE,00637L,ADJUST_CLS'</f>
        <v>24.98</v>
      </c>
      <c r="O30" s="2">
        <f xml:space="preserve"> [3]!'TSE,00637L,HST_CLOSE'</f>
        <v>0</v>
      </c>
      <c r="P30" s="2">
        <f xml:space="preserve"> [3]!'TSE,00637L,OPEN_PRC'</f>
        <v>25.36</v>
      </c>
      <c r="Q30" s="2">
        <f xml:space="preserve"> [3]!'TSE,00637L,HIGH_1'</f>
        <v>26.32</v>
      </c>
      <c r="R30" s="2">
        <f xml:space="preserve"> [3]!'TSE,00637L,LOW_1'</f>
        <v>25.06</v>
      </c>
      <c r="S30" s="2">
        <f xml:space="preserve"> [3]!'TSE,00637L,TRDPRC_1'</f>
        <v>26.26</v>
      </c>
      <c r="T30" s="2">
        <f xml:space="preserve"> [3]!'TSE,00637L,BID'</f>
        <v>26.26</v>
      </c>
      <c r="U30" s="2">
        <f xml:space="preserve"> [3]!'TSE,00637L,ASK'</f>
        <v>26.27</v>
      </c>
      <c r="V30" s="2">
        <f t="shared" si="1"/>
        <v>26.26</v>
      </c>
    </row>
    <row r="31" spans="1:22">
      <c r="A31" s="3" t="s">
        <v>39</v>
      </c>
      <c r="B31" s="2" t="s">
        <v>1482</v>
      </c>
      <c r="C31" s="2">
        <v>7.87</v>
      </c>
      <c r="E31" s="7" t="s">
        <v>1115</v>
      </c>
      <c r="F31" s="7" t="s">
        <v>1116</v>
      </c>
      <c r="G31" s="8">
        <f xml:space="preserve"> RTD("kgi.tw.der.pricertdserver.2014.1",,$A31 &amp; "_" &amp; $G$5 &amp; ":" &amp; $E31 &amp; "@" &amp; $F31)</f>
        <v>8.0603656583629881</v>
      </c>
      <c r="H31" s="19">
        <f xml:space="preserve"> RTD("kgi.tw.der.pricertdserver.2014.1",,A31 &amp;":"&amp; E31 &amp;"@" &amp; F31)</f>
        <v>7.843024382842156</v>
      </c>
      <c r="I31" s="8">
        <f xml:space="preserve"> RTD("kgi.tw.der.pricertdserver.2014.1",,$A31 &amp; "_" &amp; $I$4 &amp; ":" &amp; $E31 &amp; "@" &amp; $F31)</f>
        <v>7.8425528643128652</v>
      </c>
      <c r="J31" s="8">
        <f xml:space="preserve"> RTD("kgi.tw.der.pricertdserver.2014.1",,$A31 &amp; "_" &amp; $J$4 &amp; ":" &amp; $E31 &amp; "@" &amp; $F31)</f>
        <v>7.843024382842156</v>
      </c>
      <c r="K31" s="7" t="str">
        <f>RTD("kgi.tw.der.pricertdserver.2014.1",,A31 &amp; "_Time" &amp; ":" &amp; E31 &amp; "@" &amp; F31)</f>
        <v>20210514_151457742</v>
      </c>
      <c r="L31" s="45">
        <f t="shared" si="0"/>
        <v>7.843024382842156</v>
      </c>
      <c r="M31" s="43">
        <f>VLOOKUP($A31,XQKGIAP!$A:$I,9,FALSE)</f>
        <v>7.84</v>
      </c>
      <c r="N31" s="43">
        <f xml:space="preserve"> [3]!'TSE,00638R,ADJUST_CLS'</f>
        <v>8.08</v>
      </c>
      <c r="O31" s="2">
        <f xml:space="preserve"> [3]!'TSE,00638R,HST_CLOSE'</f>
        <v>0</v>
      </c>
      <c r="P31" s="2">
        <f xml:space="preserve"> [3]!'TSE,00638R,OPEN_PRC'</f>
        <v>8.02</v>
      </c>
      <c r="Q31" s="2">
        <f xml:space="preserve"> [3]!'TSE,00638R,HIGH_1'</f>
        <v>8.0500000000000007</v>
      </c>
      <c r="R31" s="2">
        <f xml:space="preserve"> [3]!'TSE,00638R,LOW_1'</f>
        <v>7.85</v>
      </c>
      <c r="S31" s="2">
        <f xml:space="preserve"> [3]!'TSE,00638R,TRDPRC_1'</f>
        <v>7.87</v>
      </c>
      <c r="T31" s="2">
        <f xml:space="preserve"> [3]!'TSE,00638R,BID'</f>
        <v>7.86</v>
      </c>
      <c r="U31" s="2">
        <f xml:space="preserve"> [3]!'TSE,00638R,ASK'</f>
        <v>7.87</v>
      </c>
      <c r="V31" s="2">
        <f t="shared" si="1"/>
        <v>7.87</v>
      </c>
    </row>
    <row r="32" spans="1:22">
      <c r="A32" s="3" t="s">
        <v>40</v>
      </c>
      <c r="B32" s="2" t="s">
        <v>1483</v>
      </c>
      <c r="C32" s="2">
        <v>16.57</v>
      </c>
      <c r="E32" s="7" t="s">
        <v>1115</v>
      </c>
      <c r="F32" s="7" t="s">
        <v>1116</v>
      </c>
      <c r="G32" s="8">
        <f xml:space="preserve"> RTD("kgi.tw.der.pricertdserver.2014.1",,$A32 &amp; "_" &amp; $G$5 &amp; ":" &amp; $E32 &amp; "@" &amp; $F32)</f>
        <v>16.25</v>
      </c>
      <c r="H32" s="19">
        <f xml:space="preserve"> RTD("kgi.tw.der.pricertdserver.2014.1",,A32 &amp;":"&amp; E32 &amp;"@" &amp; F32)</f>
        <v>16.72</v>
      </c>
      <c r="I32" s="8">
        <f xml:space="preserve"> RTD("kgi.tw.der.pricertdserver.2014.1",,$A32 &amp; "_" &amp; $I$4 &amp; ":" &amp; $E32 &amp; "@" &amp; $F32)</f>
        <v>-7.9228162514264338E+28</v>
      </c>
      <c r="J32" s="8">
        <f xml:space="preserve"> RTD("kgi.tw.der.pricertdserver.2014.1",,$A32 &amp; "_" &amp; $J$4 &amp; ":" &amp; $E32 &amp; "@" &amp; $F32)</f>
        <v>-7.9228162514264338E+28</v>
      </c>
      <c r="K32" s="7" t="str">
        <f>RTD("kgi.tw.der.pricertdserver.2014.1",,A32 &amp; "_Time" &amp; ":" &amp; E32 &amp; "@" &amp; F32)</f>
        <v>20210514_151416000</v>
      </c>
      <c r="L32" s="45">
        <f t="shared" si="0"/>
        <v>16.72</v>
      </c>
      <c r="M32" s="43">
        <f>VLOOKUP($A32,XQKGIAP!$A:$I,9,FALSE)</f>
        <v>16.72</v>
      </c>
      <c r="N32" s="43">
        <f xml:space="preserve"> [3]!'TSE,00639,ADJUST_CLS'</f>
        <v>16.190000000000001</v>
      </c>
      <c r="O32" s="2">
        <f xml:space="preserve"> [3]!'TSE,00639,HST_CLOSE'</f>
        <v>0</v>
      </c>
      <c r="P32" s="2">
        <f xml:space="preserve"> [3]!'TSE,00639,OPEN_PRC'</f>
        <v>16.190000000000001</v>
      </c>
      <c r="Q32" s="2">
        <f xml:space="preserve"> [3]!'TSE,00639,HIGH_1'</f>
        <v>16.579999999999998</v>
      </c>
      <c r="R32" s="2">
        <f xml:space="preserve"> [3]!'TSE,00639,LOW_1'</f>
        <v>16.18</v>
      </c>
      <c r="S32" s="2">
        <f xml:space="preserve"> [3]!'TSE,00639,TRDPRC_1'</f>
        <v>16.57</v>
      </c>
      <c r="T32" s="2">
        <f xml:space="preserve"> [3]!'TSE,00639,BID'</f>
        <v>16.559999999999999</v>
      </c>
      <c r="U32" s="2">
        <f xml:space="preserve"> [3]!'TSE,00639,ASK'</f>
        <v>16.57</v>
      </c>
      <c r="V32" s="2">
        <f t="shared" si="1"/>
        <v>16.57</v>
      </c>
    </row>
    <row r="33" spans="1:22">
      <c r="A33" s="3" t="s">
        <v>41</v>
      </c>
      <c r="B33" s="2" t="s">
        <v>1484</v>
      </c>
      <c r="C33" s="2">
        <v>26.95</v>
      </c>
      <c r="E33" s="7" t="s">
        <v>1115</v>
      </c>
      <c r="F33" s="7" t="s">
        <v>1116</v>
      </c>
      <c r="G33" s="8">
        <f xml:space="preserve"> RTD("kgi.tw.der.pricertdserver.2014.1",,$A33 &amp; "_" &amp; $G$5 &amp; ":" &amp; $E33 &amp; "@" &amp; $F33)</f>
        <v>26.107314809482677</v>
      </c>
      <c r="H33" s="19">
        <f xml:space="preserve"> RTD("kgi.tw.der.pricertdserver.2014.1",,A33 &amp;":"&amp; E33 &amp;"@" &amp; F33)</f>
        <v>26.847061626761306</v>
      </c>
      <c r="I33" s="8">
        <f xml:space="preserve"> RTD("kgi.tw.der.pricertdserver.2014.1",,$A33 &amp; "_" &amp; $I$4 &amp; ":" &amp; $E33 &amp; "@" &amp; $F33)</f>
        <v>26.742263546331323</v>
      </c>
      <c r="J33" s="8">
        <f xml:space="preserve"> RTD("kgi.tw.der.pricertdserver.2014.1",,$A33 &amp; "_" &amp; $J$4 &amp; ":" &amp; $E33 &amp; "@" &amp; $F33)</f>
        <v>26.990857307728771</v>
      </c>
      <c r="K33" s="7" t="str">
        <f>RTD("kgi.tw.der.pricertdserver.2014.1",,A33 &amp; "_Time" &amp; ":" &amp; E33 &amp; "@" &amp; F33)</f>
        <v>20210514_151419535</v>
      </c>
      <c r="L33" s="45">
        <f t="shared" si="0"/>
        <v>26.847061626761306</v>
      </c>
      <c r="M33" s="43">
        <f>VLOOKUP($A33,XQKGIAP!$A:$I,9,FALSE)</f>
        <v>26.83</v>
      </c>
      <c r="N33" s="43">
        <f xml:space="preserve"> [3]!'TSE,00640L,ADJUST_CLS'</f>
        <v>25.92</v>
      </c>
      <c r="O33" s="2">
        <f xml:space="preserve"> [3]!'TSE,00640L,HST_CLOSE'</f>
        <v>0</v>
      </c>
      <c r="P33" s="2">
        <f xml:space="preserve"> [3]!'TSE,00640L,OPEN_PRC'</f>
        <v>26.62</v>
      </c>
      <c r="Q33" s="2">
        <f xml:space="preserve"> [3]!'TSE,00640L,HIGH_1'</f>
        <v>27.02</v>
      </c>
      <c r="R33" s="2">
        <f xml:space="preserve"> [3]!'TSE,00640L,LOW_1'</f>
        <v>26.49</v>
      </c>
      <c r="S33" s="2">
        <f xml:space="preserve"> [3]!'TSE,00640L,TRDPRC_1'</f>
        <v>26.95</v>
      </c>
      <c r="T33" s="2">
        <f xml:space="preserve"> [3]!'TSE,00640L,BID'</f>
        <v>26.95</v>
      </c>
      <c r="U33" s="2">
        <f xml:space="preserve"> [3]!'TSE,00640L,ASK'</f>
        <v>27</v>
      </c>
      <c r="V33" s="2">
        <f t="shared" si="1"/>
        <v>26.95</v>
      </c>
    </row>
    <row r="34" spans="1:22">
      <c r="A34" s="3" t="s">
        <v>42</v>
      </c>
      <c r="B34" s="2" t="s">
        <v>1485</v>
      </c>
      <c r="C34" s="2">
        <v>11.02</v>
      </c>
      <c r="E34" s="7" t="s">
        <v>1115</v>
      </c>
      <c r="F34" s="7" t="s">
        <v>1116</v>
      </c>
      <c r="G34" s="8">
        <f xml:space="preserve"> RTD("kgi.tw.der.pricertdserver.2014.1",,$A34 &amp; "_" &amp; $G$5 &amp; ":" &amp; $E34 &amp; "@" &amp; $F34)</f>
        <v>11.197046880950566</v>
      </c>
      <c r="H34" s="19">
        <f xml:space="preserve"> RTD("kgi.tw.der.pricertdserver.2014.1",,A34 &amp;":"&amp; E34 &amp;"@" &amp; F34)</f>
        <v>11.049647815340487</v>
      </c>
      <c r="I34" s="8">
        <f xml:space="preserve"> RTD("kgi.tw.der.pricertdserver.2014.1",,$A34 &amp; "_" &amp; $I$4 &amp; ":" &amp; $E34 &amp; "@" &amp; $F34)</f>
        <v>11.01803209441734</v>
      </c>
      <c r="J34" s="8">
        <f xml:space="preserve"> RTD("kgi.tw.der.pricertdserver.2014.1",,$A34 &amp; "_" &amp; $J$4 &amp; ":" &amp; $E34 &amp; "@" &amp; $F34)</f>
        <v>11.073245408454966</v>
      </c>
      <c r="K34" s="7" t="str">
        <f>RTD("kgi.tw.der.pricertdserver.2014.1",,A34 &amp; "_Time" &amp; ":" &amp; E34 &amp; "@" &amp; F34)</f>
        <v>20210514_151419535</v>
      </c>
      <c r="L34" s="45">
        <f t="shared" si="0"/>
        <v>11.049647815340487</v>
      </c>
      <c r="M34" s="43">
        <f>VLOOKUP($A34,XQKGIAP!$A:$I,9,FALSE)</f>
        <v>11.04</v>
      </c>
      <c r="N34" s="43">
        <f xml:space="preserve"> [3]!'TSE,00641R,ADJUST_CLS'</f>
        <v>11.26</v>
      </c>
      <c r="O34" s="2">
        <f xml:space="preserve"> [3]!'TSE,00641R,HST_CLOSE'</f>
        <v>0</v>
      </c>
      <c r="P34" s="2">
        <f xml:space="preserve"> [3]!'TSE,00641R,OPEN_PRC'</f>
        <v>11.07</v>
      </c>
      <c r="Q34" s="2">
        <f xml:space="preserve"> [3]!'TSE,00641R,HIGH_1'</f>
        <v>11.12</v>
      </c>
      <c r="R34" s="2">
        <f xml:space="preserve"> [3]!'TSE,00641R,LOW_1'</f>
        <v>11.01</v>
      </c>
      <c r="S34" s="2">
        <f xml:space="preserve"> [3]!'TSE,00641R,TRDPRC_1'</f>
        <v>11.02</v>
      </c>
      <c r="T34" s="2">
        <f xml:space="preserve"> [3]!'TSE,00641R,BID'</f>
        <v>11</v>
      </c>
      <c r="U34" s="2">
        <f xml:space="preserve"> [3]!'TSE,00641R,ASK'</f>
        <v>11.02</v>
      </c>
      <c r="V34" s="2">
        <f t="shared" si="1"/>
        <v>11.02</v>
      </c>
    </row>
    <row r="35" spans="1:22">
      <c r="A35" s="3" t="s">
        <v>43</v>
      </c>
      <c r="B35" s="2" t="s">
        <v>2501</v>
      </c>
      <c r="C35" s="2">
        <v>10.87</v>
      </c>
      <c r="E35" s="7" t="s">
        <v>1115</v>
      </c>
      <c r="F35" s="7" t="s">
        <v>1116</v>
      </c>
      <c r="G35" s="8">
        <f xml:space="preserve"> RTD("kgi.tw.der.pricertdserver.2014.1",,$A35 &amp; "_" &amp; $G$5 &amp; ":" &amp; $E35 &amp; "@" &amp; $F35)</f>
        <v>10.909035000187169</v>
      </c>
      <c r="H35" s="19">
        <f xml:space="preserve"> RTD("kgi.tw.der.pricertdserver.2014.1",,A35 &amp;":"&amp; E35 &amp;"@" &amp; F35)</f>
        <v>10.91518321777497</v>
      </c>
      <c r="I35" s="8">
        <f xml:space="preserve"> RTD("kgi.tw.der.pricertdserver.2014.1",,$A35 &amp; "_" &amp; $I$4 &amp; ":" &amp; $E35 &amp; "@" &amp; $F35)</f>
        <v>10.91518321777497</v>
      </c>
      <c r="J35" s="8">
        <f xml:space="preserve"> RTD("kgi.tw.der.pricertdserver.2014.1",,$A35 &amp; "_" &amp; $J$4 &amp; ":" &amp; $E35 &amp; "@" &amp; $F35)</f>
        <v>10.916892998234506</v>
      </c>
      <c r="K35" s="7" t="str">
        <f>RTD("kgi.tw.der.pricertdserver.2014.1",,A35 &amp; "_Time" &amp; ":" &amp; E35 &amp; "@" &amp; F35)</f>
        <v>20210514_151457398</v>
      </c>
      <c r="L35" s="45">
        <f t="shared" si="0"/>
        <v>10.91518321777497</v>
      </c>
      <c r="M35" s="43">
        <f>VLOOKUP($A35,XQKGIAP!$A:$I,9,FALSE)</f>
        <v>10.92</v>
      </c>
      <c r="N35" s="43">
        <f xml:space="preserve"> [3]!'TSE,00642U,ADJUST_CLS'</f>
        <v>11.1</v>
      </c>
      <c r="O35" s="2">
        <f xml:space="preserve"> [3]!'TSE,00642U,HST_CLOSE'</f>
        <v>0</v>
      </c>
      <c r="P35" s="2">
        <f xml:space="preserve"> [3]!'TSE,00642U,OPEN_PRC'</f>
        <v>10.89</v>
      </c>
      <c r="Q35" s="2">
        <f xml:space="preserve"> [3]!'TSE,00642U,HIGH_1'</f>
        <v>10.89</v>
      </c>
      <c r="R35" s="2">
        <f xml:space="preserve"> [3]!'TSE,00642U,LOW_1'</f>
        <v>10.8</v>
      </c>
      <c r="S35" s="2">
        <f xml:space="preserve"> [3]!'TSE,00642U,TRDPRC_1'</f>
        <v>10.87</v>
      </c>
      <c r="T35" s="2">
        <f xml:space="preserve"> [3]!'TSE,00642U,BID'</f>
        <v>10.87</v>
      </c>
      <c r="U35" s="2">
        <f xml:space="preserve"> [3]!'TSE,00642U,ASK'</f>
        <v>10.88</v>
      </c>
      <c r="V35" s="2">
        <f t="shared" si="1"/>
        <v>10.87</v>
      </c>
    </row>
    <row r="36" spans="1:22">
      <c r="A36" s="3" t="s">
        <v>44</v>
      </c>
      <c r="B36" s="2" t="s">
        <v>1486</v>
      </c>
      <c r="C36" s="2">
        <v>17.21</v>
      </c>
      <c r="E36" s="7" t="s">
        <v>1115</v>
      </c>
      <c r="F36" s="7" t="s">
        <v>1116</v>
      </c>
      <c r="G36" s="8">
        <f xml:space="preserve"> RTD("kgi.tw.der.pricertdserver.2014.1",,$A36 &amp; "_" &amp; $G$5 &amp; ":" &amp; $E36 &amp; "@" &amp; $F36)</f>
        <v>17.12</v>
      </c>
      <c r="H36" s="19">
        <f xml:space="preserve"> RTD("kgi.tw.der.pricertdserver.2014.1",,A36 &amp;":"&amp; E36 &amp;"@" &amp; F36)</f>
        <v>17.440000000000001</v>
      </c>
      <c r="I36" s="8">
        <f xml:space="preserve"> RTD("kgi.tw.der.pricertdserver.2014.1",,$A36 &amp; "_" &amp; $I$4 &amp; ":" &amp; $E36 &amp; "@" &amp; $F36)</f>
        <v>-7.9228162514264338E+28</v>
      </c>
      <c r="J36" s="8">
        <f xml:space="preserve"> RTD("kgi.tw.der.pricertdserver.2014.1",,$A36 &amp; "_" &amp; $J$4 &amp; ":" &amp; $E36 &amp; "@" &amp; $F36)</f>
        <v>-7.9228162514264338E+28</v>
      </c>
      <c r="K36" s="7" t="str">
        <f>RTD("kgi.tw.der.pricertdserver.2014.1",,A36 &amp; "_Time" &amp; ":" &amp; E36 &amp; "@" &amp; F36)</f>
        <v>20210514_151445000</v>
      </c>
      <c r="L36" s="45">
        <f t="shared" si="0"/>
        <v>17.440000000000001</v>
      </c>
      <c r="M36" s="43">
        <f>VLOOKUP($A36,XQKGIAP!$A:$I,9,FALSE)</f>
        <v>17.43</v>
      </c>
      <c r="N36" s="43">
        <f xml:space="preserve"> [3]!'TSE,00643,ADJUST_CLS'</f>
        <v>17.010000000000002</v>
      </c>
      <c r="O36" s="2">
        <f xml:space="preserve"> [3]!'TSE,00643,HST_CLOSE'</f>
        <v>0</v>
      </c>
      <c r="P36" s="2">
        <f xml:space="preserve"> [3]!'TSE,00643,OPEN_PRC'</f>
        <v>16.989999999999998</v>
      </c>
      <c r="Q36" s="2">
        <f xml:space="preserve"> [3]!'TSE,00643,HIGH_1'</f>
        <v>17.260000000000002</v>
      </c>
      <c r="R36" s="2">
        <f xml:space="preserve"> [3]!'TSE,00643,LOW_1'</f>
        <v>16.98</v>
      </c>
      <c r="S36" s="2">
        <f xml:space="preserve"> [3]!'TSE,00643,TRDPRC_1'</f>
        <v>17.21</v>
      </c>
      <c r="T36" s="2">
        <f xml:space="preserve"> [3]!'TSE,00643,BID'</f>
        <v>17.21</v>
      </c>
      <c r="U36" s="2">
        <f xml:space="preserve"> [3]!'TSE,00643,ASK'</f>
        <v>17.22</v>
      </c>
      <c r="V36" s="2">
        <f t="shared" si="1"/>
        <v>17.21</v>
      </c>
    </row>
    <row r="37" spans="1:22">
      <c r="A37" s="3" t="s">
        <v>45</v>
      </c>
      <c r="B37" s="2" t="s">
        <v>1487</v>
      </c>
      <c r="C37" s="2">
        <v>4.0199999999999996</v>
      </c>
      <c r="E37" s="7" t="s">
        <v>1115</v>
      </c>
      <c r="F37" s="7" t="s">
        <v>1116</v>
      </c>
      <c r="G37" s="8">
        <f xml:space="preserve"> RTD("kgi.tw.der.pricertdserver.2014.1",,$A37 &amp; "_" &amp; $G$5 &amp; ":" &amp; $E37 &amp; "@" &amp; $F37)</f>
        <v>3.93</v>
      </c>
      <c r="H37" s="19">
        <f xml:space="preserve"> RTD("kgi.tw.der.pricertdserver.2014.1",,A37 &amp;":"&amp; E37 &amp;"@" &amp; F37)</f>
        <v>4</v>
      </c>
      <c r="I37" s="8">
        <f xml:space="preserve"> RTD("kgi.tw.der.pricertdserver.2014.1",,$A37 &amp; "_" &amp; $I$4 &amp; ":" &amp; $E37 &amp; "@" &amp; $F37)</f>
        <v>-7.9228162514264338E+28</v>
      </c>
      <c r="J37" s="8">
        <f xml:space="preserve"> RTD("kgi.tw.der.pricertdserver.2014.1",,$A37 &amp; "_" &amp; $J$4 &amp; ":" &amp; $E37 &amp; "@" &amp; $F37)</f>
        <v>-7.9228162514264338E+28</v>
      </c>
      <c r="K37" s="7" t="str">
        <f>RTD("kgi.tw.der.pricertdserver.2014.1",,A37 &amp; "_Time" &amp; ":" &amp; E37 &amp; "@" &amp; F37)</f>
        <v>20210514_132945000</v>
      </c>
      <c r="L37" s="45">
        <f t="shared" si="0"/>
        <v>4</v>
      </c>
      <c r="M37" s="43">
        <f>VLOOKUP($A37,XQKGIAP!$A:$I,9,FALSE)</f>
        <v>4.01</v>
      </c>
      <c r="N37" s="43">
        <f xml:space="preserve"> [3]!'TSE,00643K,ADJUST_CLS'</f>
        <v>4.01</v>
      </c>
      <c r="O37" s="2">
        <f xml:space="preserve"> [3]!'TSE,00643K,HST_CLOSE'</f>
        <v>0</v>
      </c>
      <c r="P37" s="2">
        <f xml:space="preserve"> [3]!'TSE,00643K,OPEN_PRC'</f>
        <v>0</v>
      </c>
      <c r="Q37" s="2">
        <f xml:space="preserve"> [3]!'TSE,00643K,HIGH_1'</f>
        <v>0</v>
      </c>
      <c r="R37" s="2">
        <f xml:space="preserve"> [3]!'TSE,00643K,LOW_1'</f>
        <v>0</v>
      </c>
      <c r="S37" s="2">
        <f xml:space="preserve"> [3]!'TSE,00643K,TRDPRC_1'</f>
        <v>0</v>
      </c>
      <c r="T37" s="2">
        <f xml:space="preserve"> [3]!'TSE,00643K,BID'</f>
        <v>4.0199999999999996</v>
      </c>
      <c r="U37" s="2">
        <f xml:space="preserve"> [3]!'TSE,00643K,ASK'</f>
        <v>4.09</v>
      </c>
      <c r="V37" s="2">
        <f t="shared" si="1"/>
        <v>4.01</v>
      </c>
    </row>
    <row r="38" spans="1:22">
      <c r="A38" s="3" t="s">
        <v>46</v>
      </c>
      <c r="B38" s="2" t="s">
        <v>1488</v>
      </c>
      <c r="C38" s="2">
        <v>24.56</v>
      </c>
      <c r="E38" s="7" t="s">
        <v>1115</v>
      </c>
      <c r="F38" s="7" t="s">
        <v>1116</v>
      </c>
      <c r="G38" s="8">
        <f xml:space="preserve"> RTD("kgi.tw.der.pricertdserver.2014.1",,$A38 &amp; "_" &amp; $G$5 &amp; ":" &amp; $E38 &amp; "@" &amp; $F38)</f>
        <v>24.17</v>
      </c>
      <c r="H38" s="19">
        <f xml:space="preserve"> RTD("kgi.tw.der.pricertdserver.2014.1",,A38 &amp;":"&amp; E38 &amp;"@" &amp; F38)</f>
        <v>24.68</v>
      </c>
      <c r="I38" s="8">
        <f xml:space="preserve"> RTD("kgi.tw.der.pricertdserver.2014.1",,$A38 &amp; "_" &amp; $I$4 &amp; ":" &amp; $E38 &amp; "@" &amp; $F38)</f>
        <v>-7.9228162514264338E+28</v>
      </c>
      <c r="J38" s="8">
        <f xml:space="preserve"> RTD("kgi.tw.der.pricertdserver.2014.1",,$A38 &amp; "_" &amp; $J$4 &amp; ":" &amp; $E38 &amp; "@" &amp; $F38)</f>
        <v>-7.9228162514264338E+28</v>
      </c>
      <c r="K38" s="7" t="str">
        <f>RTD("kgi.tw.der.pricertdserver.2014.1",,A38 &amp; "_Time" &amp; ":" &amp; E38 &amp; "@" &amp; F38)</f>
        <v>20210514_132930000</v>
      </c>
      <c r="L38" s="45">
        <f t="shared" si="0"/>
        <v>24.68</v>
      </c>
      <c r="M38" s="43">
        <f>VLOOKUP($A38,XQKGIAP!$A:$I,9,FALSE)</f>
        <v>24.63</v>
      </c>
      <c r="N38" s="43">
        <f xml:space="preserve"> [3]!'TSE,00645,ADJUST_CLS'</f>
        <v>24.2</v>
      </c>
      <c r="O38" s="2">
        <f xml:space="preserve"> [3]!'TSE,00645,HST_CLOSE'</f>
        <v>0</v>
      </c>
      <c r="P38" s="2">
        <f xml:space="preserve"> [3]!'TSE,00645,OPEN_PRC'</f>
        <v>24.43</v>
      </c>
      <c r="Q38" s="2">
        <f xml:space="preserve"> [3]!'TSE,00645,HIGH_1'</f>
        <v>24.57</v>
      </c>
      <c r="R38" s="2">
        <f xml:space="preserve"> [3]!'TSE,00645,LOW_1'</f>
        <v>24.4</v>
      </c>
      <c r="S38" s="2">
        <f xml:space="preserve"> [3]!'TSE,00645,TRDPRC_1'</f>
        <v>24.56</v>
      </c>
      <c r="T38" s="2">
        <f xml:space="preserve"> [3]!'TSE,00645,BID'</f>
        <v>24.57</v>
      </c>
      <c r="U38" s="2">
        <f xml:space="preserve"> [3]!'TSE,00645,ASK'</f>
        <v>24.6</v>
      </c>
      <c r="V38" s="2">
        <f t="shared" si="1"/>
        <v>24.56</v>
      </c>
    </row>
    <row r="39" spans="1:22">
      <c r="A39" s="3" t="s">
        <v>47</v>
      </c>
      <c r="B39" s="2" t="s">
        <v>1489</v>
      </c>
      <c r="C39" s="2">
        <v>35.340000000000003</v>
      </c>
      <c r="E39" s="7" t="s">
        <v>1115</v>
      </c>
      <c r="F39" s="7" t="s">
        <v>1116</v>
      </c>
      <c r="G39" s="8">
        <f xml:space="preserve"> RTD("kgi.tw.der.pricertdserver.2014.1",,$A39 &amp; "_" &amp; $G$5 &amp; ":" &amp; $E39 &amp; "@" &amp; $F39)</f>
        <v>35.22</v>
      </c>
      <c r="H39" s="19">
        <f xml:space="preserve"> RTD("kgi.tw.der.pricertdserver.2014.1",,A39 &amp;":"&amp; E39 &amp;"@" &amp; F39)</f>
        <v>35.229999999999997</v>
      </c>
      <c r="I39" s="8">
        <f xml:space="preserve"> RTD("kgi.tw.der.pricertdserver.2014.1",,$A39 &amp; "_" &amp; $I$4 &amp; ":" &amp; $E39 &amp; "@" &amp; $F39)</f>
        <v>-7.9228162514264338E+28</v>
      </c>
      <c r="J39" s="8">
        <f xml:space="preserve"> RTD("kgi.tw.der.pricertdserver.2014.1",,$A39 &amp; "_" &amp; $J$4 &amp; ":" &amp; $E39 &amp; "@" &amp; $F39)</f>
        <v>-7.9228162514264338E+28</v>
      </c>
      <c r="K39" s="7" t="str">
        <f>RTD("kgi.tw.der.pricertdserver.2014.1",,A39 &amp; "_Time" &amp; ":" &amp; E39 &amp; "@" &amp; F39)</f>
        <v>20210514_132945000</v>
      </c>
      <c r="L39" s="45">
        <f t="shared" si="0"/>
        <v>35.229999999999997</v>
      </c>
      <c r="M39" s="43">
        <f>VLOOKUP($A39,XQKGIAP!$A:$I,9,FALSE)</f>
        <v>35.26</v>
      </c>
      <c r="N39" s="43">
        <f xml:space="preserve"> [3]!'TSE,00646,ADJUST_CLS'</f>
        <v>34.799999999999997</v>
      </c>
      <c r="O39" s="2">
        <f xml:space="preserve"> [3]!'TSE,00646,HST_CLOSE'</f>
        <v>0</v>
      </c>
      <c r="P39" s="2">
        <f xml:space="preserve"> [3]!'TSE,00646,OPEN_PRC'</f>
        <v>35.25</v>
      </c>
      <c r="Q39" s="2">
        <f xml:space="preserve"> [3]!'TSE,00646,HIGH_1'</f>
        <v>35.369999999999997</v>
      </c>
      <c r="R39" s="2">
        <f xml:space="preserve"> [3]!'TSE,00646,LOW_1'</f>
        <v>35.25</v>
      </c>
      <c r="S39" s="2">
        <f xml:space="preserve"> [3]!'TSE,00646,TRDPRC_1'</f>
        <v>35.340000000000003</v>
      </c>
      <c r="T39" s="2">
        <f xml:space="preserve"> [3]!'TSE,00646,BID'</f>
        <v>35.340000000000003</v>
      </c>
      <c r="U39" s="2">
        <f xml:space="preserve"> [3]!'TSE,00646,ASK'</f>
        <v>35.35</v>
      </c>
      <c r="V39" s="2">
        <f t="shared" si="1"/>
        <v>35.340000000000003</v>
      </c>
    </row>
    <row r="40" spans="1:22">
      <c r="A40" s="3" t="s">
        <v>48</v>
      </c>
      <c r="B40" s="2" t="s">
        <v>1490</v>
      </c>
      <c r="C40" s="2">
        <v>60.35</v>
      </c>
      <c r="E40" s="7" t="s">
        <v>1115</v>
      </c>
      <c r="F40" s="7" t="s">
        <v>1116</v>
      </c>
      <c r="G40" s="8">
        <f xml:space="preserve"> RTD("kgi.tw.der.pricertdserver.2014.1",,$A40 &amp; "_" &amp; $G$5 &amp; ":" &amp; $E40 &amp; "@" &amp; $F40)</f>
        <v>59.760813049357672</v>
      </c>
      <c r="H40" s="19">
        <f xml:space="preserve"> RTD("kgi.tw.der.pricertdserver.2014.1",,A40 &amp;":"&amp; E40 &amp;"@" &amp; F40)</f>
        <v>60.416474351059613</v>
      </c>
      <c r="I40" s="8">
        <f xml:space="preserve"> RTD("kgi.tw.der.pricertdserver.2014.1",,$A40 &amp; "_" &amp; $I$4 &amp; ":" &amp; $E40 &amp; "@" &amp; $F40)</f>
        <v>60.416474351059613</v>
      </c>
      <c r="J40" s="8">
        <f xml:space="preserve"> RTD("kgi.tw.der.pricertdserver.2014.1",,$A40 &amp; "_" &amp; $J$4 &amp; ":" &amp; $E40 &amp; "@" &amp; $F40)</f>
        <v>60.43089895383175</v>
      </c>
      <c r="K40" s="7" t="str">
        <f>RTD("kgi.tw.der.pricertdserver.2014.1",,A40 &amp; "_Time" &amp; ":" &amp; E40 &amp; "@" &amp; F40)</f>
        <v>20210514_151459523</v>
      </c>
      <c r="L40" s="45">
        <f t="shared" si="0"/>
        <v>60.416474351059613</v>
      </c>
      <c r="M40" s="43">
        <f>VLOOKUP($A40,XQKGIAP!$A:$I,9,FALSE)</f>
        <v>60.45</v>
      </c>
      <c r="N40" s="43">
        <f xml:space="preserve"> [3]!'TSE,00647L,ADJUST_CLS'</f>
        <v>58.7</v>
      </c>
      <c r="O40" s="2">
        <f xml:space="preserve"> [3]!'TSE,00647L,HST_CLOSE'</f>
        <v>0</v>
      </c>
      <c r="P40" s="2">
        <f xml:space="preserve"> [3]!'TSE,00647L,OPEN_PRC'</f>
        <v>60.1</v>
      </c>
      <c r="Q40" s="2">
        <f xml:space="preserve"> [3]!'TSE,00647L,HIGH_1'</f>
        <v>60.35</v>
      </c>
      <c r="R40" s="2">
        <f xml:space="preserve"> [3]!'TSE,00647L,LOW_1'</f>
        <v>60.1</v>
      </c>
      <c r="S40" s="2">
        <f xml:space="preserve"> [3]!'TSE,00647L,TRDPRC_1'</f>
        <v>60.35</v>
      </c>
      <c r="T40" s="2">
        <f xml:space="preserve"> [3]!'TSE,00647L,BID'</f>
        <v>60.35</v>
      </c>
      <c r="U40" s="2">
        <f xml:space="preserve"> [3]!'TSE,00647L,ASK'</f>
        <v>60.4</v>
      </c>
      <c r="V40" s="2">
        <f t="shared" si="1"/>
        <v>60.35</v>
      </c>
    </row>
    <row r="41" spans="1:22">
      <c r="A41" s="3" t="s">
        <v>49</v>
      </c>
      <c r="B41" s="2" t="s">
        <v>1491</v>
      </c>
      <c r="C41" s="2">
        <v>7.5</v>
      </c>
      <c r="E41" s="7" t="s">
        <v>1115</v>
      </c>
      <c r="F41" s="7" t="s">
        <v>1116</v>
      </c>
      <c r="G41" s="8">
        <f xml:space="preserve"> RTD("kgi.tw.der.pricertdserver.2014.1",,$A41 &amp; "_" &amp; $G$5 &amp; ":" &amp; $E41 &amp; "@" &amp; $F41)</f>
        <v>7.5277690022864716</v>
      </c>
      <c r="H41" s="19">
        <f xml:space="preserve"> RTD("kgi.tw.der.pricertdserver.2014.1",,A41 &amp;":"&amp; E41 &amp;"@" &amp; F41)</f>
        <v>7.4842955843688852</v>
      </c>
      <c r="I41" s="8">
        <f xml:space="preserve"> RTD("kgi.tw.der.pricertdserver.2014.1",,$A41 &amp; "_" &amp; $I$4 &amp; ":" &amp; $E41 &amp; "@" &amp; $F41)</f>
        <v>7.4833576597957281</v>
      </c>
      <c r="J41" s="8">
        <f xml:space="preserve"> RTD("kgi.tw.der.pricertdserver.2014.1",,$A41 &amp; "_" &amp; $J$4 &amp; ":" &amp; $E41 &amp; "@" &amp; $F41)</f>
        <v>7.4842955843688852</v>
      </c>
      <c r="K41" s="7" t="str">
        <f>RTD("kgi.tw.der.pricertdserver.2014.1",,A41 &amp; "_Time" &amp; ":" &amp; E41 &amp; "@" &amp; F41)</f>
        <v>20210514_151459523</v>
      </c>
      <c r="L41" s="45">
        <f t="shared" si="0"/>
        <v>7.4842955843688852</v>
      </c>
      <c r="M41" s="43">
        <f>VLOOKUP($A41,XQKGIAP!$A:$I,9,FALSE)</f>
        <v>7.49</v>
      </c>
      <c r="N41" s="43">
        <f xml:space="preserve"> [3]!'TSE,00648R,ADJUST_CLS'</f>
        <v>7.62</v>
      </c>
      <c r="O41" s="2">
        <f xml:space="preserve"> [3]!'TSE,00648R,HST_CLOSE'</f>
        <v>0</v>
      </c>
      <c r="P41" s="2">
        <f xml:space="preserve"> [3]!'TSE,00648R,OPEN_PRC'</f>
        <v>7.52</v>
      </c>
      <c r="Q41" s="2">
        <f xml:space="preserve"> [3]!'TSE,00648R,HIGH_1'</f>
        <v>7.52</v>
      </c>
      <c r="R41" s="2">
        <f xml:space="preserve"> [3]!'TSE,00648R,LOW_1'</f>
        <v>7.5</v>
      </c>
      <c r="S41" s="2">
        <f xml:space="preserve"> [3]!'TSE,00648R,TRDPRC_1'</f>
        <v>7.5</v>
      </c>
      <c r="T41" s="2">
        <f xml:space="preserve"> [3]!'TSE,00648R,BID'</f>
        <v>7.5</v>
      </c>
      <c r="U41" s="2">
        <f xml:space="preserve"> [3]!'TSE,00648R,ASK'</f>
        <v>7.51</v>
      </c>
      <c r="V41" s="2">
        <f t="shared" si="1"/>
        <v>7.5</v>
      </c>
    </row>
    <row r="42" spans="1:22">
      <c r="A42" s="3" t="s">
        <v>51</v>
      </c>
      <c r="B42" s="2" t="s">
        <v>1492</v>
      </c>
      <c r="C42" s="2">
        <v>28.44</v>
      </c>
      <c r="E42" s="7" t="s">
        <v>1115</v>
      </c>
      <c r="F42" s="7" t="s">
        <v>1116</v>
      </c>
      <c r="G42" s="8">
        <f xml:space="preserve"> RTD("kgi.tw.der.pricertdserver.2014.1",,$A42 &amp; "_" &amp; $G$5 &amp; ":" &amp; $E42 &amp; "@" &amp; $F42)</f>
        <v>27.925361129221539</v>
      </c>
      <c r="H42" s="19">
        <f xml:space="preserve"> RTD("kgi.tw.der.pricertdserver.2014.1",,A42 &amp;":"&amp; E42 &amp;"@" &amp; F42)</f>
        <v>28.679023876320251</v>
      </c>
      <c r="I42" s="8">
        <f xml:space="preserve"> RTD("kgi.tw.der.pricertdserver.2014.1",,$A42 &amp; "_" &amp; $I$4 &amp; ":" &amp; $E42 &amp; "@" &amp; $F42)</f>
        <v>28.676992440344243</v>
      </c>
      <c r="J42" s="8">
        <f xml:space="preserve"> RTD("kgi.tw.der.pricertdserver.2014.1",,$A42 &amp; "_" &amp; $J$4 &amp; ":" &amp; $E42 &amp; "@" &amp; $F42)</f>
        <v>28.679023876320251</v>
      </c>
      <c r="K42" s="7" t="str">
        <f>RTD("kgi.tw.der.pricertdserver.2014.1",,A42 &amp; "_Time" &amp; ":" &amp; E42 &amp; "@" &amp; F42)</f>
        <v>20210514_151459773</v>
      </c>
      <c r="L42" s="45">
        <f t="shared" si="0"/>
        <v>28.679023876320251</v>
      </c>
      <c r="M42" s="43">
        <f>VLOOKUP($A42,XQKGIAP!$A:$I,9,FALSE)</f>
        <v>28.68</v>
      </c>
      <c r="N42" s="43">
        <f xml:space="preserve"> [3]!'TSE,00650L,ADJUST_CLS'</f>
        <v>28.2</v>
      </c>
      <c r="O42" s="2">
        <f xml:space="preserve"> [3]!'TSE,00650L,HST_CLOSE'</f>
        <v>0</v>
      </c>
      <c r="P42" s="2">
        <f xml:space="preserve"> [3]!'TSE,00650L,OPEN_PRC'</f>
        <v>28.21</v>
      </c>
      <c r="Q42" s="2">
        <f xml:space="preserve"> [3]!'TSE,00650L,HIGH_1'</f>
        <v>28.55</v>
      </c>
      <c r="R42" s="2">
        <f xml:space="preserve"> [3]!'TSE,00650L,LOW_1'</f>
        <v>28.08</v>
      </c>
      <c r="S42" s="2">
        <f xml:space="preserve"> [3]!'TSE,00650L,TRDPRC_1'</f>
        <v>28.44</v>
      </c>
      <c r="T42" s="2">
        <f xml:space="preserve"> [3]!'TSE,00650L,BID'</f>
        <v>28.44</v>
      </c>
      <c r="U42" s="2">
        <f xml:space="preserve"> [3]!'TSE,00650L,ASK'</f>
        <v>28.51</v>
      </c>
      <c r="V42" s="2">
        <f t="shared" si="1"/>
        <v>28.44</v>
      </c>
    </row>
    <row r="43" spans="1:22">
      <c r="A43" s="3" t="s">
        <v>52</v>
      </c>
      <c r="B43" s="2" t="s">
        <v>1493</v>
      </c>
      <c r="C43" s="2">
        <v>7.08</v>
      </c>
      <c r="E43" s="7" t="s">
        <v>1115</v>
      </c>
      <c r="F43" s="7" t="s">
        <v>1116</v>
      </c>
      <c r="G43" s="8">
        <f xml:space="preserve"> RTD("kgi.tw.der.pricertdserver.2014.1",,$A43 &amp; "_" &amp; $G$5 &amp; ":" &amp; $E43 &amp; "@" &amp; $F43)</f>
        <v>7.1906377728174604</v>
      </c>
      <c r="H43" s="19">
        <f xml:space="preserve"> RTD("kgi.tw.der.pricertdserver.2014.1",,A43 &amp;":"&amp; E43 &amp;"@" &amp; F43)</f>
        <v>7.0939668309771831</v>
      </c>
      <c r="I43" s="8">
        <f xml:space="preserve"> RTD("kgi.tw.der.pricertdserver.2014.1",,$A43 &amp; "_" &amp; $I$4 &amp; ":" &amp; $E43 &amp; "@" &amp; $F43)</f>
        <v>7.0939668309771831</v>
      </c>
      <c r="J43" s="8">
        <f xml:space="preserve"> RTD("kgi.tw.der.pricertdserver.2014.1",,$A43 &amp; "_" &amp; $J$4 &amp; ":" &amp; $E43 &amp; "@" &amp; $F43)</f>
        <v>7.0942273995535725</v>
      </c>
      <c r="K43" s="7" t="str">
        <f>RTD("kgi.tw.der.pricertdserver.2014.1",,A43 &amp; "_Time" &amp; ":" &amp; E43 &amp; "@" &amp; F43)</f>
        <v>20210514_151459773</v>
      </c>
      <c r="L43" s="45">
        <f t="shared" si="0"/>
        <v>7.0939668309771831</v>
      </c>
      <c r="M43" s="43">
        <f>VLOOKUP($A43,XQKGIAP!$A:$I,9,FALSE)</f>
        <v>7.09</v>
      </c>
      <c r="N43" s="43">
        <f xml:space="preserve"> [3]!'TSE,00651R,ADJUST_CLS'</f>
        <v>7.14</v>
      </c>
      <c r="O43" s="2">
        <f xml:space="preserve"> [3]!'TSE,00651R,HST_CLOSE'</f>
        <v>0</v>
      </c>
      <c r="P43" s="2">
        <f xml:space="preserve"> [3]!'TSE,00651R,OPEN_PRC'</f>
        <v>7.13</v>
      </c>
      <c r="Q43" s="2">
        <f xml:space="preserve"> [3]!'TSE,00651R,HIGH_1'</f>
        <v>7.14</v>
      </c>
      <c r="R43" s="2">
        <f xml:space="preserve"> [3]!'TSE,00651R,LOW_1'</f>
        <v>7.06</v>
      </c>
      <c r="S43" s="2">
        <f xml:space="preserve"> [3]!'TSE,00651R,TRDPRC_1'</f>
        <v>7.08</v>
      </c>
      <c r="T43" s="2">
        <f xml:space="preserve"> [3]!'TSE,00651R,BID'</f>
        <v>7.07</v>
      </c>
      <c r="U43" s="2">
        <f xml:space="preserve"> [3]!'TSE,00651R,ASK'</f>
        <v>7.09</v>
      </c>
      <c r="V43" s="2">
        <f t="shared" si="1"/>
        <v>7.08</v>
      </c>
    </row>
    <row r="44" spans="1:22">
      <c r="A44" s="3" t="s">
        <v>53</v>
      </c>
      <c r="B44" s="2" t="s">
        <v>1494</v>
      </c>
      <c r="C44" s="2">
        <v>24.76</v>
      </c>
      <c r="E44" s="7" t="s">
        <v>1115</v>
      </c>
      <c r="F44" s="7" t="s">
        <v>1116</v>
      </c>
      <c r="G44" s="8">
        <f xml:space="preserve"> RTD("kgi.tw.der.pricertdserver.2014.1",,$A44 &amp; "_" &amp; $G$5 &amp; ":" &amp; $E44 &amp; "@" &amp; $F44)</f>
        <v>25.17</v>
      </c>
      <c r="H44" s="19">
        <f xml:space="preserve"> RTD("kgi.tw.der.pricertdserver.2014.1",,A44 &amp;":"&amp; E44 &amp;"@" &amp; F44)</f>
        <v>25.17</v>
      </c>
      <c r="I44" s="8">
        <f xml:space="preserve"> RTD("kgi.tw.der.pricertdserver.2014.1",,$A44 &amp; "_" &amp; $I$4 &amp; ":" &amp; $E44 &amp; "@" &amp; $F44)</f>
        <v>-7.9228162514264338E+28</v>
      </c>
      <c r="J44" s="8">
        <f xml:space="preserve"> RTD("kgi.tw.der.pricertdserver.2014.1",,$A44 &amp; "_" &amp; $J$4 &amp; ":" &amp; $E44 &amp; "@" &amp; $F44)</f>
        <v>-7.9228162514264338E+28</v>
      </c>
      <c r="K44" s="7" t="str">
        <f>RTD("kgi.tw.der.pricertdserver.2014.1",,A44 &amp; "_Time" &amp; ":" &amp; E44 &amp; "@" &amp; F44)</f>
        <v>20210514_132930000</v>
      </c>
      <c r="L44" s="45">
        <f t="shared" si="0"/>
        <v>25.17</v>
      </c>
      <c r="M44" s="43">
        <f>VLOOKUP($A44,XQKGIAP!$A:$I,9,FALSE)</f>
        <v>25.14</v>
      </c>
      <c r="N44" s="43">
        <f xml:space="preserve"> [3]!'TSE,00652,ADJUST_CLS'</f>
        <v>24.31</v>
      </c>
      <c r="O44" s="2">
        <f xml:space="preserve"> [3]!'TSE,00652,HST_CLOSE'</f>
        <v>0</v>
      </c>
      <c r="P44" s="2">
        <f xml:space="preserve"> [3]!'TSE,00652,OPEN_PRC'</f>
        <v>24.4</v>
      </c>
      <c r="Q44" s="2">
        <f xml:space="preserve"> [3]!'TSE,00652,HIGH_1'</f>
        <v>24.78</v>
      </c>
      <c r="R44" s="2">
        <f xml:space="preserve"> [3]!'TSE,00652,LOW_1'</f>
        <v>24.4</v>
      </c>
      <c r="S44" s="2">
        <f xml:space="preserve"> [3]!'TSE,00652,TRDPRC_1'</f>
        <v>24.76</v>
      </c>
      <c r="T44" s="2">
        <f xml:space="preserve"> [3]!'TSE,00652,BID'</f>
        <v>24.74</v>
      </c>
      <c r="U44" s="2">
        <f xml:space="preserve"> [3]!'TSE,00652,ASK'</f>
        <v>24.76</v>
      </c>
      <c r="V44" s="2">
        <f t="shared" si="1"/>
        <v>24.76</v>
      </c>
    </row>
    <row r="45" spans="1:22">
      <c r="A45" s="3" t="s">
        <v>54</v>
      </c>
      <c r="B45" s="2" t="s">
        <v>1495</v>
      </c>
      <c r="C45" s="2">
        <v>33.83</v>
      </c>
      <c r="E45" s="7" t="s">
        <v>1115</v>
      </c>
      <c r="F45" s="7" t="s">
        <v>1116</v>
      </c>
      <c r="G45" s="8">
        <f xml:space="preserve"> RTD("kgi.tw.der.pricertdserver.2014.1",,$A45 &amp; "_" &amp; $G$5 &amp; ":" &amp; $E45 &amp; "@" &amp; $F45)</f>
        <v>33.945402121387104</v>
      </c>
      <c r="H45" s="19">
        <f xml:space="preserve"> RTD("kgi.tw.der.pricertdserver.2014.1",,A45 &amp;":"&amp; E45 &amp;"@" &amp; F45)</f>
        <v>33.815686637206333</v>
      </c>
      <c r="I45" s="8">
        <f xml:space="preserve"> RTD("kgi.tw.der.pricertdserver.2014.1",,$A45 &amp; "_" &amp; $I$4 &amp; ":" &amp; $E45 &amp; "@" &amp; $F45)</f>
        <v>33.815686637206333</v>
      </c>
      <c r="J45" s="8">
        <f xml:space="preserve"> RTD("kgi.tw.der.pricertdserver.2014.1",,$A45 &amp; "_" &amp; $J$4 &amp; ":" &amp; $E45 &amp; "@" &amp; $F45)</f>
        <v>33.820319333069932</v>
      </c>
      <c r="K45" s="7" t="str">
        <f>RTD("kgi.tw.der.pricertdserver.2014.1",,A45 &amp; "_Time" &amp; ":" &amp; E45 &amp; "@" &amp; F45)</f>
        <v>20210514_151459867</v>
      </c>
      <c r="L45" s="45">
        <f t="shared" si="0"/>
        <v>33.815686637206333</v>
      </c>
      <c r="M45" s="43">
        <f>VLOOKUP($A45,XQKGIAP!$A:$I,9,FALSE)</f>
        <v>33.79</v>
      </c>
      <c r="N45" s="43">
        <f xml:space="preserve"> [3]!'TSE,00653L,ADJUST_CLS'</f>
        <v>32.950000000000003</v>
      </c>
      <c r="O45" s="2">
        <f xml:space="preserve"> [3]!'TSE,00653L,HST_CLOSE'</f>
        <v>0</v>
      </c>
      <c r="P45" s="2">
        <f xml:space="preserve"> [3]!'TSE,00653L,OPEN_PRC'</f>
        <v>33.590000000000003</v>
      </c>
      <c r="Q45" s="2">
        <f xml:space="preserve"> [3]!'TSE,00653L,HIGH_1'</f>
        <v>34.01</v>
      </c>
      <c r="R45" s="2">
        <f xml:space="preserve"> [3]!'TSE,00653L,LOW_1'</f>
        <v>33.58</v>
      </c>
      <c r="S45" s="2">
        <f xml:space="preserve"> [3]!'TSE,00653L,TRDPRC_1'</f>
        <v>33.83</v>
      </c>
      <c r="T45" s="2">
        <f xml:space="preserve"> [3]!'TSE,00653L,BID'</f>
        <v>33.83</v>
      </c>
      <c r="U45" s="2">
        <f xml:space="preserve"> [3]!'TSE,00653L,ASK'</f>
        <v>33.85</v>
      </c>
      <c r="V45" s="2">
        <f t="shared" si="1"/>
        <v>33.83</v>
      </c>
    </row>
    <row r="46" spans="1:22">
      <c r="A46" s="3" t="s">
        <v>55</v>
      </c>
      <c r="B46" s="2" t="s">
        <v>1496</v>
      </c>
      <c r="C46" s="2">
        <v>9.86</v>
      </c>
      <c r="E46" s="7" t="s">
        <v>1115</v>
      </c>
      <c r="F46" s="7" t="s">
        <v>1116</v>
      </c>
      <c r="G46" s="8">
        <f xml:space="preserve"> RTD("kgi.tw.der.pricertdserver.2014.1",,$A46 &amp; "_" &amp; $G$5 &amp; ":" &amp; $E46 &amp; "@" &amp; $F46)</f>
        <v>9.8373683409436836</v>
      </c>
      <c r="H46" s="19">
        <f xml:space="preserve"> RTD("kgi.tw.der.pricertdserver.2014.1",,A46 &amp;":"&amp; E46 &amp;"@" &amp; F46)</f>
        <v>9.8559448010894819</v>
      </c>
      <c r="I46" s="8">
        <f xml:space="preserve"> RTD("kgi.tw.der.pricertdserver.2014.1",,$A46 &amp; "_" &amp; $I$4 &amp; ":" &amp; $E46 &amp; "@" &amp; $F46)</f>
        <v>9.8552813560842747</v>
      </c>
      <c r="J46" s="8">
        <f xml:space="preserve"> RTD("kgi.tw.der.pricertdserver.2014.1",,$A46 &amp; "_" &amp; $J$4 &amp; ":" &amp; $E46 &amp; "@" &amp; $F46)</f>
        <v>9.8559448010894819</v>
      </c>
      <c r="K46" s="7" t="str">
        <f>RTD("kgi.tw.der.pricertdserver.2014.1",,A46 &amp; "_Time" &amp; ":" &amp; E46 &amp; "@" &amp; F46)</f>
        <v>20210514_151459867</v>
      </c>
      <c r="L46" s="45">
        <f t="shared" si="0"/>
        <v>9.8559448010894819</v>
      </c>
      <c r="M46" s="43">
        <f>VLOOKUP($A46,XQKGIAP!$A:$I,9,FALSE)</f>
        <v>9.86</v>
      </c>
      <c r="N46" s="43">
        <f xml:space="preserve"> [3]!'TSE,00654R,ADJUST_CLS'</f>
        <v>10.02</v>
      </c>
      <c r="O46" s="2">
        <f xml:space="preserve"> [3]!'TSE,00654R,HST_CLOSE'</f>
        <v>0</v>
      </c>
      <c r="P46" s="2">
        <f xml:space="preserve"> [3]!'TSE,00654R,OPEN_PRC'</f>
        <v>9.9600000000000009</v>
      </c>
      <c r="Q46" s="2">
        <f xml:space="preserve"> [3]!'TSE,00654R,HIGH_1'</f>
        <v>9.9600000000000009</v>
      </c>
      <c r="R46" s="2">
        <f xml:space="preserve"> [3]!'TSE,00654R,LOW_1'</f>
        <v>9.83</v>
      </c>
      <c r="S46" s="2">
        <f xml:space="preserve"> [3]!'TSE,00654R,TRDPRC_1'</f>
        <v>9.86</v>
      </c>
      <c r="T46" s="2">
        <f xml:space="preserve"> [3]!'TSE,00654R,BID'</f>
        <v>9.86</v>
      </c>
      <c r="U46" s="2">
        <f xml:space="preserve"> [3]!'TSE,00654R,ASK'</f>
        <v>9.8800000000000008</v>
      </c>
      <c r="V46" s="2">
        <f t="shared" si="1"/>
        <v>9.86</v>
      </c>
    </row>
    <row r="47" spans="1:22">
      <c r="A47" s="3" t="s">
        <v>56</v>
      </c>
      <c r="B47" s="2" t="s">
        <v>1497</v>
      </c>
      <c r="C47" s="2">
        <v>49.97</v>
      </c>
      <c r="E47" s="7" t="s">
        <v>1115</v>
      </c>
      <c r="F47" s="7" t="s">
        <v>1116</v>
      </c>
      <c r="G47" s="8">
        <f xml:space="preserve"> RTD("kgi.tw.der.pricertdserver.2014.1",,$A47 &amp; "_" &amp; $G$5 &amp; ":" &amp; $E47 &amp; "@" &amp; $F47)</f>
        <v>47.691108803043029</v>
      </c>
      <c r="H47" s="19">
        <f xml:space="preserve"> RTD("kgi.tw.der.pricertdserver.2014.1",,A47 &amp;":"&amp; E47 &amp;"@" &amp; F47)</f>
        <v>50.269175012005675</v>
      </c>
      <c r="I47" s="8">
        <f xml:space="preserve"> RTD("kgi.tw.der.pricertdserver.2014.1",,$A47 &amp; "_" &amp; $I$4 &amp; ":" &amp; $E47 &amp; "@" &amp; $F47)</f>
        <v>50.269175012005675</v>
      </c>
      <c r="J47" s="8">
        <f xml:space="preserve"> RTD("kgi.tw.der.pricertdserver.2014.1",,$A47 &amp; "_" &amp; $J$4 &amp; ":" &amp; $E47 &amp; "@" &amp; $F47)</f>
        <v>50.274987170644877</v>
      </c>
      <c r="K47" s="7" t="str">
        <f>RTD("kgi.tw.der.pricertdserver.2014.1",,A47 &amp; "_Time" &amp; ":" &amp; E47 &amp; "@" &amp; F47)</f>
        <v>20210514_151457742</v>
      </c>
      <c r="L47" s="45">
        <f t="shared" si="0"/>
        <v>50.269175012005675</v>
      </c>
      <c r="M47" s="43">
        <f>VLOOKUP($A47,XQKGIAP!$A:$I,9,FALSE)</f>
        <v>50.3</v>
      </c>
      <c r="N47" s="43">
        <f xml:space="preserve"> [3]!'TSE,00655L,ADJUST_CLS'</f>
        <v>47.54</v>
      </c>
      <c r="O47" s="2">
        <f xml:space="preserve"> [3]!'TSE,00655L,HST_CLOSE'</f>
        <v>0</v>
      </c>
      <c r="P47" s="2">
        <f xml:space="preserve"> [3]!'TSE,00655L,OPEN_PRC'</f>
        <v>48.4</v>
      </c>
      <c r="Q47" s="2">
        <f xml:space="preserve"> [3]!'TSE,00655L,HIGH_1'</f>
        <v>50.15</v>
      </c>
      <c r="R47" s="2">
        <f xml:space="preserve"> [3]!'TSE,00655L,LOW_1'</f>
        <v>47.7</v>
      </c>
      <c r="S47" s="2">
        <f xml:space="preserve"> [3]!'TSE,00655L,TRDPRC_1'</f>
        <v>49.97</v>
      </c>
      <c r="T47" s="2">
        <f xml:space="preserve"> [3]!'TSE,00655L,BID'</f>
        <v>49.97</v>
      </c>
      <c r="U47" s="2">
        <f xml:space="preserve"> [3]!'TSE,00655L,ASK'</f>
        <v>49.99</v>
      </c>
      <c r="V47" s="2">
        <f t="shared" si="1"/>
        <v>49.97</v>
      </c>
    </row>
    <row r="48" spans="1:22">
      <c r="A48" s="3" t="s">
        <v>57</v>
      </c>
      <c r="B48" s="2" t="s">
        <v>1498</v>
      </c>
      <c r="C48" s="2">
        <v>7.19</v>
      </c>
      <c r="E48" s="7" t="s">
        <v>1115</v>
      </c>
      <c r="F48" s="7" t="s">
        <v>1116</v>
      </c>
      <c r="G48" s="8">
        <f xml:space="preserve"> RTD("kgi.tw.der.pricertdserver.2014.1",,$A48 &amp; "_" &amp; $G$5 &amp; ":" &amp; $E48 &amp; "@" &amp; $F48)</f>
        <v>7.3841587577831929</v>
      </c>
      <c r="H48" s="19">
        <f xml:space="preserve"> RTD("kgi.tw.der.pricertdserver.2014.1",,A48 &amp;":"&amp; E48 &amp;"@" &amp; F48)</f>
        <v>7.1793778987386059</v>
      </c>
      <c r="I48" s="8">
        <f xml:space="preserve"> RTD("kgi.tw.der.pricertdserver.2014.1",,$A48 &amp; "_" &amp; $I$4 &amp; ":" &amp; $E48 &amp; "@" &amp; $F48)</f>
        <v>7.1789385796373955</v>
      </c>
      <c r="J48" s="8">
        <f xml:space="preserve"> RTD("kgi.tw.der.pricertdserver.2014.1",,$A48 &amp; "_" &amp; $J$4 &amp; ":" &amp; $E48 &amp; "@" &amp; $F48)</f>
        <v>7.1793778987386059</v>
      </c>
      <c r="K48" s="7" t="str">
        <f>RTD("kgi.tw.der.pricertdserver.2014.1",,A48 &amp; "_Time" &amp; ":" &amp; E48 &amp; "@" &amp; F48)</f>
        <v>20210514_151457742</v>
      </c>
      <c r="L48" s="45">
        <f t="shared" si="0"/>
        <v>7.1793778987386059</v>
      </c>
      <c r="M48" s="43">
        <f>VLOOKUP($A48,XQKGIAP!$A:$I,9,FALSE)</f>
        <v>7.18</v>
      </c>
      <c r="N48" s="43">
        <f xml:space="preserve"> [3]!'TSE,00656R,ADJUST_CLS'</f>
        <v>7.35</v>
      </c>
      <c r="O48" s="2">
        <f xml:space="preserve"> [3]!'TSE,00656R,HST_CLOSE'</f>
        <v>0</v>
      </c>
      <c r="P48" s="2">
        <f xml:space="preserve"> [3]!'TSE,00656R,OPEN_PRC'</f>
        <v>7.32</v>
      </c>
      <c r="Q48" s="2">
        <f xml:space="preserve"> [3]!'TSE,00656R,HIGH_1'</f>
        <v>7.32</v>
      </c>
      <c r="R48" s="2">
        <f xml:space="preserve"> [3]!'TSE,00656R,LOW_1'</f>
        <v>7.18</v>
      </c>
      <c r="S48" s="2">
        <f xml:space="preserve"> [3]!'TSE,00656R,TRDPRC_1'</f>
        <v>7.19</v>
      </c>
      <c r="T48" s="2">
        <f xml:space="preserve"> [3]!'TSE,00656R,BID'</f>
        <v>7.19</v>
      </c>
      <c r="U48" s="2">
        <f xml:space="preserve"> [3]!'TSE,00656R,ASK'</f>
        <v>7.2</v>
      </c>
      <c r="V48" s="2">
        <f t="shared" si="1"/>
        <v>7.19</v>
      </c>
    </row>
    <row r="49" spans="1:26">
      <c r="A49" s="3" t="s">
        <v>58</v>
      </c>
      <c r="B49" s="2" t="s">
        <v>1499</v>
      </c>
      <c r="C49" s="2">
        <v>34.380000000000003</v>
      </c>
      <c r="E49" s="7" t="s">
        <v>1115</v>
      </c>
      <c r="F49" s="7" t="s">
        <v>1116</v>
      </c>
      <c r="G49" s="8">
        <f xml:space="preserve"> RTD("kgi.tw.der.pricertdserver.2014.1",,$A49 &amp; "_" &amp; $G$5 &amp; ":" &amp; $E49 &amp; "@" &amp; $F49)</f>
        <v>33.619999999999997</v>
      </c>
      <c r="H49" s="19">
        <f xml:space="preserve"> RTD("kgi.tw.der.pricertdserver.2014.1",,A49 &amp;":"&amp; E49 &amp;"@" &amp; F49)</f>
        <v>34.409999999999997</v>
      </c>
      <c r="I49" s="8">
        <f xml:space="preserve"> RTD("kgi.tw.der.pricertdserver.2014.1",,$A49 &amp; "_" &amp; $I$4 &amp; ":" &amp; $E49 &amp; "@" &amp; $F49)</f>
        <v>-7.9228162514264338E+28</v>
      </c>
      <c r="J49" s="8">
        <f xml:space="preserve"> RTD("kgi.tw.der.pricertdserver.2014.1",,$A49 &amp; "_" &amp; $J$4 &amp; ":" &amp; $E49 &amp; "@" &amp; $F49)</f>
        <v>-7.9228162514264338E+28</v>
      </c>
      <c r="K49" s="7" t="str">
        <f>RTD("kgi.tw.der.pricertdserver.2014.1",,A49 &amp; "_Time" &amp; ":" &amp; E49 &amp; "@" &amp; F49)</f>
        <v>20210514_132943000</v>
      </c>
      <c r="L49" s="45">
        <f t="shared" si="0"/>
        <v>34.409999999999997</v>
      </c>
      <c r="M49" s="43">
        <f>VLOOKUP($A49,XQKGIAP!$A:$I,9,FALSE)</f>
        <v>34.39</v>
      </c>
      <c r="N49" s="43">
        <f xml:space="preserve"> [3]!'TSE,00657,ADJUST_CLS'</f>
        <v>33.83</v>
      </c>
      <c r="O49" s="2">
        <f xml:space="preserve"> [3]!'TSE,00657,HST_CLOSE'</f>
        <v>0</v>
      </c>
      <c r="P49" s="2">
        <f xml:space="preserve"> [3]!'TSE,00657,OPEN_PRC'</f>
        <v>34.15</v>
      </c>
      <c r="Q49" s="2">
        <f xml:space="preserve"> [3]!'TSE,00657,HIGH_1'</f>
        <v>34.380000000000003</v>
      </c>
      <c r="R49" s="2">
        <f xml:space="preserve"> [3]!'TSE,00657,LOW_1'</f>
        <v>34.15</v>
      </c>
      <c r="S49" s="2">
        <f xml:space="preserve"> [3]!'TSE,00657,TRDPRC_1'</f>
        <v>34.380000000000003</v>
      </c>
      <c r="T49" s="2">
        <f xml:space="preserve"> [3]!'TSE,00657,BID'</f>
        <v>34.380000000000003</v>
      </c>
      <c r="U49" s="2">
        <f xml:space="preserve"> [3]!'TSE,00657,ASK'</f>
        <v>34.46</v>
      </c>
      <c r="V49" s="2">
        <f t="shared" si="1"/>
        <v>34.380000000000003</v>
      </c>
    </row>
    <row r="50" spans="1:26">
      <c r="A50" s="3" t="s">
        <v>59</v>
      </c>
      <c r="B50" s="2" t="s">
        <v>1500</v>
      </c>
      <c r="C50" s="2">
        <v>12.3</v>
      </c>
      <c r="E50" s="7" t="s">
        <v>1115</v>
      </c>
      <c r="F50" s="7" t="s">
        <v>1116</v>
      </c>
      <c r="G50" s="8">
        <f xml:space="preserve"> RTD("kgi.tw.der.pricertdserver.2014.1",,$A50 &amp; "_" &amp; $G$5 &amp; ":" &amp; $E50 &amp; "@" &amp; $F50)</f>
        <v>12.01</v>
      </c>
      <c r="H50" s="19">
        <f xml:space="preserve"> RTD("kgi.tw.der.pricertdserver.2014.1",,A50 &amp;":"&amp; E50 &amp;"@" &amp; F50)</f>
        <v>12.3</v>
      </c>
      <c r="I50" s="8">
        <f xml:space="preserve"> RTD("kgi.tw.der.pricertdserver.2014.1",,$A50 &amp; "_" &amp; $I$4 &amp; ":" &amp; $E50 &amp; "@" &amp; $F50)</f>
        <v>-7.9228162514264338E+28</v>
      </c>
      <c r="J50" s="8">
        <f xml:space="preserve"> RTD("kgi.tw.der.pricertdserver.2014.1",,$A50 &amp; "_" &amp; $J$4 &amp; ":" &amp; $E50 &amp; "@" &amp; $F50)</f>
        <v>-7.9228162514264338E+28</v>
      </c>
      <c r="K50" s="7" t="str">
        <f>RTD("kgi.tw.der.pricertdserver.2014.1",,A50 &amp; "_Time" &amp; ":" &amp; E50 &amp; "@" &amp; F50)</f>
        <v>20210514_132943000</v>
      </c>
      <c r="L50" s="45">
        <f t="shared" si="0"/>
        <v>12.3</v>
      </c>
      <c r="M50" s="43">
        <f>VLOOKUP($A50,XQKGIAP!$A:$I,9,FALSE)</f>
        <v>12.28</v>
      </c>
      <c r="N50" s="43">
        <f xml:space="preserve"> [3]!'TSE,00657K,ADJUST_CLS'</f>
        <v>12.07</v>
      </c>
      <c r="O50" s="2">
        <f xml:space="preserve"> [3]!'TSE,00657K,HST_CLOSE'</f>
        <v>0</v>
      </c>
      <c r="P50" s="2">
        <f xml:space="preserve"> [3]!'TSE,00657K,OPEN_PRC'</f>
        <v>12.3</v>
      </c>
      <c r="Q50" s="2">
        <f xml:space="preserve"> [3]!'TSE,00657K,HIGH_1'</f>
        <v>12.3</v>
      </c>
      <c r="R50" s="2">
        <f xml:space="preserve"> [3]!'TSE,00657K,LOW_1'</f>
        <v>12.3</v>
      </c>
      <c r="S50" s="2">
        <f xml:space="preserve"> [3]!'TSE,00657K,TRDPRC_1'</f>
        <v>12.3</v>
      </c>
      <c r="T50" s="2">
        <f xml:space="preserve"> [3]!'TSE,00657K,BID'</f>
        <v>12.26</v>
      </c>
      <c r="U50" s="2">
        <f xml:space="preserve"> [3]!'TSE,00657K,ASK'</f>
        <v>12.33</v>
      </c>
      <c r="V50" s="2">
        <f t="shared" si="1"/>
        <v>12.3</v>
      </c>
    </row>
    <row r="51" spans="1:26">
      <c r="A51" s="3" t="s">
        <v>62</v>
      </c>
      <c r="B51" s="2" t="s">
        <v>1501</v>
      </c>
      <c r="C51" s="2">
        <v>28.32</v>
      </c>
      <c r="E51" s="7" t="s">
        <v>1115</v>
      </c>
      <c r="F51" s="7" t="s">
        <v>1116</v>
      </c>
      <c r="G51" s="8">
        <f xml:space="preserve"> RTD("kgi.tw.der.pricertdserver.2014.1",,$A51 &amp; "_" &amp; $G$5 &amp; ":" &amp; $E51 &amp; "@" &amp; $F51)</f>
        <v>28.36</v>
      </c>
      <c r="H51" s="19">
        <f xml:space="preserve"> RTD("kgi.tw.der.pricertdserver.2014.1",,A51 &amp;":"&amp; E51 &amp;"@" &amp; F51)</f>
        <v>28.32</v>
      </c>
      <c r="I51" s="8">
        <f xml:space="preserve"> RTD("kgi.tw.der.pricertdserver.2014.1",,$A51 &amp; "_" &amp; $I$4 &amp; ":" &amp; $E51 &amp; "@" &amp; $F51)</f>
        <v>-7.9228162514264338E+28</v>
      </c>
      <c r="J51" s="8">
        <f xml:space="preserve"> RTD("kgi.tw.der.pricertdserver.2014.1",,$A51 &amp; "_" &amp; $J$4 &amp; ":" &amp; $E51 &amp; "@" &amp; $F51)</f>
        <v>-7.9228162514264338E+28</v>
      </c>
      <c r="K51" s="7" t="str">
        <f>RTD("kgi.tw.der.pricertdserver.2014.1",,A51 &amp; "_Time" &amp; ":" &amp; E51 &amp; "@" &amp; F51)</f>
        <v>20210514_132945000</v>
      </c>
      <c r="L51" s="45">
        <f t="shared" si="0"/>
        <v>28.32</v>
      </c>
      <c r="M51" s="43">
        <f>VLOOKUP($A51,XQKGIAP!$A:$I,9,FALSE)</f>
        <v>28.55</v>
      </c>
      <c r="N51" s="43">
        <f xml:space="preserve"> [3]!'TSE,00660,ADJUST_CLS'</f>
        <v>27.86</v>
      </c>
      <c r="O51" s="2">
        <f xml:space="preserve"> [3]!'TSE,00660,HST_CLOSE'</f>
        <v>0</v>
      </c>
      <c r="P51" s="2">
        <f xml:space="preserve"> [3]!'TSE,00660,OPEN_PRC'</f>
        <v>28.25</v>
      </c>
      <c r="Q51" s="2">
        <f xml:space="preserve"> [3]!'TSE,00660,HIGH_1'</f>
        <v>28.32</v>
      </c>
      <c r="R51" s="2">
        <f xml:space="preserve"> [3]!'TSE,00660,LOW_1'</f>
        <v>28.19</v>
      </c>
      <c r="S51" s="2">
        <f xml:space="preserve"> [3]!'TSE,00660,TRDPRC_1'</f>
        <v>28.32</v>
      </c>
      <c r="T51" s="2">
        <f xml:space="preserve"> [3]!'TSE,00660,BID'</f>
        <v>28.3</v>
      </c>
      <c r="U51" s="2">
        <f xml:space="preserve"> [3]!'TSE,00660,ASK'</f>
        <v>28.35</v>
      </c>
      <c r="V51" s="2">
        <f t="shared" si="1"/>
        <v>28.32</v>
      </c>
    </row>
    <row r="52" spans="1:26">
      <c r="A52" s="3" t="s">
        <v>63</v>
      </c>
      <c r="B52" s="2" t="s">
        <v>1431</v>
      </c>
      <c r="C52" s="2">
        <v>34.65</v>
      </c>
      <c r="E52" s="7" t="s">
        <v>1115</v>
      </c>
      <c r="F52" s="7" t="s">
        <v>1116</v>
      </c>
      <c r="G52" s="8">
        <f xml:space="preserve"> RTD("kgi.tw.der.pricertdserver.2014.1",,$A52 &amp; "_" &amp; $G$5 &amp; ":" &amp; $E52 &amp; "@" &amp; $F52)</f>
        <v>34.6</v>
      </c>
      <c r="H52" s="19">
        <f xml:space="preserve"> RTD("kgi.tw.der.pricertdserver.2014.1",,A52 &amp;":"&amp; E52 &amp;"@" &amp; F52)</f>
        <v>35.409999999999997</v>
      </c>
      <c r="I52" s="8">
        <f xml:space="preserve"> RTD("kgi.tw.der.pricertdserver.2014.1",,$A52 &amp; "_" &amp; $I$4 &amp; ":" &amp; $E52 &amp; "@" &amp; $F52)</f>
        <v>-7.9228162514264338E+28</v>
      </c>
      <c r="J52" s="8">
        <f xml:space="preserve"> RTD("kgi.tw.der.pricertdserver.2014.1",,$A52 &amp; "_" &amp; $J$4 &amp; ":" &amp; $E52 &amp; "@" &amp; $F52)</f>
        <v>-7.9228162514264338E+28</v>
      </c>
      <c r="K52" s="7" t="str">
        <f>RTD("kgi.tw.der.pricertdserver.2014.1",,A52 &amp; "_Time" &amp; ":" &amp; E52 &amp; "@" &amp; F52)</f>
        <v>20210514_132945000</v>
      </c>
      <c r="L52" s="45">
        <f t="shared" si="0"/>
        <v>35.409999999999997</v>
      </c>
      <c r="M52" s="43">
        <f>VLOOKUP($A52,XQKGIAP!$A:$I,9,FALSE)</f>
        <v>35.369999999999997</v>
      </c>
      <c r="N52" s="43">
        <f xml:space="preserve"> [3]!'TSE,00661,ADJUST_CLS'</f>
        <v>34.33</v>
      </c>
      <c r="O52" s="2">
        <f xml:space="preserve"> [3]!'TSE,00661,HST_CLOSE'</f>
        <v>0</v>
      </c>
      <c r="P52" s="2">
        <f xml:space="preserve"> [3]!'TSE,00661,OPEN_PRC'</f>
        <v>34.51</v>
      </c>
      <c r="Q52" s="2">
        <f xml:space="preserve"> [3]!'TSE,00661,HIGH_1'</f>
        <v>34.65</v>
      </c>
      <c r="R52" s="2">
        <f xml:space="preserve"> [3]!'TSE,00661,LOW_1'</f>
        <v>34.380000000000003</v>
      </c>
      <c r="S52" s="2">
        <f xml:space="preserve"> [3]!'TSE,00661,TRDPRC_1'</f>
        <v>34.65</v>
      </c>
      <c r="T52" s="2">
        <f xml:space="preserve"> [3]!'TSE,00661,BID'</f>
        <v>34.65</v>
      </c>
      <c r="U52" s="2">
        <f xml:space="preserve"> [3]!'TSE,00661,ASK'</f>
        <v>34.67</v>
      </c>
      <c r="V52" s="2">
        <f t="shared" si="1"/>
        <v>34.65</v>
      </c>
    </row>
    <row r="53" spans="1:26">
      <c r="A53" s="3" t="s">
        <v>64</v>
      </c>
      <c r="B53" s="2" t="s">
        <v>1502</v>
      </c>
      <c r="C53" s="2">
        <v>47.46</v>
      </c>
      <c r="E53" s="7" t="s">
        <v>1115</v>
      </c>
      <c r="F53" s="7" t="s">
        <v>1116</v>
      </c>
      <c r="G53" s="8">
        <f xml:space="preserve"> RTD("kgi.tw.der.pricertdserver.2014.1",,$A53 &amp; "_" &amp; $G$5 &amp; ":" &amp; $E53 &amp; "@" &amp; $F53)</f>
        <v>47.15</v>
      </c>
      <c r="H53" s="19">
        <f xml:space="preserve"> RTD("kgi.tw.der.pricertdserver.2014.1",,A53 &amp;":"&amp; E53 &amp;"@" &amp; F53)</f>
        <v>47.18</v>
      </c>
      <c r="I53" s="8">
        <f xml:space="preserve"> RTD("kgi.tw.der.pricertdserver.2014.1",,$A53 &amp; "_" &amp; $I$4 &amp; ":" &amp; $E53 &amp; "@" &amp; $F53)</f>
        <v>-7.9228162514264338E+28</v>
      </c>
      <c r="J53" s="8">
        <f xml:space="preserve"> RTD("kgi.tw.der.pricertdserver.2014.1",,$A53 &amp; "_" &amp; $J$4 &amp; ":" &amp; $E53 &amp; "@" &amp; $F53)</f>
        <v>-7.9228162514264338E+28</v>
      </c>
      <c r="K53" s="7" t="str">
        <f>RTD("kgi.tw.der.pricertdserver.2014.1",,A53 &amp; "_Time" &amp; ":" &amp; E53 &amp; "@" &amp; F53)</f>
        <v>20210514_132930000</v>
      </c>
      <c r="L53" s="45">
        <f t="shared" si="0"/>
        <v>47.18</v>
      </c>
      <c r="M53" s="43">
        <f>VLOOKUP($A53,XQKGIAP!$A:$I,9,FALSE)</f>
        <v>47.19</v>
      </c>
      <c r="N53" s="43">
        <f xml:space="preserve"> [3]!'TSE,00662,ADJUST_CLS'</f>
        <v>46.84</v>
      </c>
      <c r="O53" s="2">
        <f xml:space="preserve"> [3]!'TSE,00662,HST_CLOSE'</f>
        <v>0</v>
      </c>
      <c r="P53" s="2">
        <f xml:space="preserve"> [3]!'TSE,00662,OPEN_PRC'</f>
        <v>47.08</v>
      </c>
      <c r="Q53" s="2">
        <f xml:space="preserve"> [3]!'TSE,00662,HIGH_1'</f>
        <v>47.46</v>
      </c>
      <c r="R53" s="2">
        <f xml:space="preserve"> [3]!'TSE,00662,LOW_1'</f>
        <v>47.08</v>
      </c>
      <c r="S53" s="2">
        <f xml:space="preserve"> [3]!'TSE,00662,TRDPRC_1'</f>
        <v>47.46</v>
      </c>
      <c r="T53" s="2">
        <f xml:space="preserve"> [3]!'TSE,00662,BID'</f>
        <v>47.45</v>
      </c>
      <c r="U53" s="2">
        <f xml:space="preserve"> [3]!'TSE,00662,ASK'</f>
        <v>47.46</v>
      </c>
      <c r="V53" s="2">
        <f t="shared" si="1"/>
        <v>47.46</v>
      </c>
    </row>
    <row r="54" spans="1:26">
      <c r="A54" s="3" t="s">
        <v>65</v>
      </c>
      <c r="B54" s="2" t="s">
        <v>1503</v>
      </c>
      <c r="C54" s="2">
        <v>93.9</v>
      </c>
      <c r="E54" s="7" t="s">
        <v>1115</v>
      </c>
      <c r="F54" s="7" t="s">
        <v>1116</v>
      </c>
      <c r="G54" s="8">
        <f xml:space="preserve"> RTD("kgi.tw.der.pricertdserver.2014.1",,$A54 &amp; "_" &amp; $G$5 &amp; ":" &amp; $E54 &amp; "@" &amp; $F54)</f>
        <v>91.476323484799934</v>
      </c>
      <c r="H54" s="19">
        <f xml:space="preserve"> RTD("kgi.tw.der.pricertdserver.2014.1",,A54 &amp;":"&amp; E54 &amp;"@" &amp; F54)</f>
        <v>93.267500395223138</v>
      </c>
      <c r="I54" s="8">
        <f xml:space="preserve"> RTD("kgi.tw.der.pricertdserver.2014.1",,$A54 &amp; "_" &amp; $I$4 &amp; ":" &amp; $E54 &amp; "@" &amp; $F54)</f>
        <v>93.255716336601935</v>
      </c>
      <c r="J54" s="8">
        <f xml:space="preserve"> RTD("kgi.tw.der.pricertdserver.2014.1",,$A54 &amp; "_" &amp; $J$4 &amp; ":" &amp; $E54 &amp; "@" &amp; $F54)</f>
        <v>93.27928445384434</v>
      </c>
      <c r="K54" s="7" t="str">
        <f>RTD("kgi.tw.der.pricertdserver.2014.1",,A54 &amp; "_Time" &amp; ":" &amp; E54 &amp; "@" &amp; F54)</f>
        <v>20210514_151459304</v>
      </c>
      <c r="L54" s="45">
        <f t="shared" si="0"/>
        <v>93.267500395223138</v>
      </c>
      <c r="M54" s="43">
        <f>VLOOKUP($A54,XQKGIAP!$A:$I,9,FALSE)</f>
        <v>93.88</v>
      </c>
      <c r="N54" s="43">
        <f xml:space="preserve"> [3]!'TSE,00663L,ADJUST_CLS'</f>
        <v>91.65</v>
      </c>
      <c r="O54" s="2">
        <f xml:space="preserve"> [3]!'TSE,00663L,HST_CLOSE'</f>
        <v>0</v>
      </c>
      <c r="P54" s="2">
        <f xml:space="preserve"> [3]!'TSE,00663L,OPEN_PRC'</f>
        <v>94.65</v>
      </c>
      <c r="Q54" s="2">
        <f xml:space="preserve"> [3]!'TSE,00663L,HIGH_1'</f>
        <v>96.3</v>
      </c>
      <c r="R54" s="2">
        <f xml:space="preserve"> [3]!'TSE,00663L,LOW_1'</f>
        <v>92.95</v>
      </c>
      <c r="S54" s="2">
        <f xml:space="preserve"> [3]!'TSE,00663L,TRDPRC_1'</f>
        <v>93.9</v>
      </c>
      <c r="T54" s="2">
        <f xml:space="preserve"> [3]!'TSE,00663L,BID'</f>
        <v>93.9</v>
      </c>
      <c r="U54" s="2">
        <f xml:space="preserve"> [3]!'TSE,00663L,ASK'</f>
        <v>94.1</v>
      </c>
      <c r="V54" s="2">
        <f t="shared" si="1"/>
        <v>93.9</v>
      </c>
    </row>
    <row r="55" spans="1:26">
      <c r="A55" s="3" t="s">
        <v>66</v>
      </c>
      <c r="B55" s="2" t="s">
        <v>1504</v>
      </c>
      <c r="C55" s="2">
        <v>7.15</v>
      </c>
      <c r="E55" s="7" t="s">
        <v>1115</v>
      </c>
      <c r="F55" s="7" t="s">
        <v>1116</v>
      </c>
      <c r="G55" s="8">
        <f xml:space="preserve"> RTD("kgi.tw.der.pricertdserver.2014.1",,$A55 &amp; "_" &amp; $G$5 &amp; ":" &amp; $E55 &amp; "@" &amp; $F55)</f>
        <v>7.232485188888317</v>
      </c>
      <c r="H55" s="19">
        <f xml:space="preserve"> RTD("kgi.tw.der.pricertdserver.2014.1",,A55 &amp;":"&amp; E55 &amp;"@" &amp; F55)</f>
        <v>7.1621059691800246</v>
      </c>
      <c r="I55" s="8">
        <f xml:space="preserve"> RTD("kgi.tw.der.pricertdserver.2014.1",,$A55 &amp; "_" &amp; $I$4 &amp; ":" &amp; $E55 &amp; "@" &amp; $F55)</f>
        <v>7.1616429479977324</v>
      </c>
      <c r="J55" s="8">
        <f xml:space="preserve"> RTD("kgi.tw.der.pricertdserver.2014.1",,$A55 &amp; "_" &amp; $J$4 &amp; ":" &amp; $E55 &amp; "@" &amp; $F55)</f>
        <v>7.1625689903623151</v>
      </c>
      <c r="K55" s="7" t="str">
        <f>RTD("kgi.tw.der.pricertdserver.2014.1",,A55 &amp; "_Time" &amp; ":" &amp; E55 &amp; "@" &amp; F55)</f>
        <v>20210514_151459304</v>
      </c>
      <c r="L55" s="45">
        <f t="shared" si="0"/>
        <v>7.1621059691800246</v>
      </c>
      <c r="M55" s="43">
        <f>VLOOKUP($A55,XQKGIAP!$A:$I,9,FALSE)</f>
        <v>7.14</v>
      </c>
      <c r="N55" s="43">
        <f xml:space="preserve"> [3]!'TSE,00664R,ADJUST_CLS'</f>
        <v>7.22</v>
      </c>
      <c r="O55" s="2">
        <f xml:space="preserve"> [3]!'TSE,00664R,HST_CLOSE'</f>
        <v>0</v>
      </c>
      <c r="P55" s="2">
        <f xml:space="preserve"> [3]!'TSE,00664R,OPEN_PRC'</f>
        <v>7.11</v>
      </c>
      <c r="Q55" s="2">
        <f xml:space="preserve"> [3]!'TSE,00664R,HIGH_1'</f>
        <v>7.19</v>
      </c>
      <c r="R55" s="2">
        <f xml:space="preserve"> [3]!'TSE,00664R,LOW_1'</f>
        <v>7.03</v>
      </c>
      <c r="S55" s="2">
        <f xml:space="preserve"> [3]!'TSE,00664R,TRDPRC_1'</f>
        <v>7.15</v>
      </c>
      <c r="T55" s="2">
        <f xml:space="preserve"> [3]!'TSE,00664R,BID'</f>
        <v>7.14</v>
      </c>
      <c r="U55" s="2">
        <f xml:space="preserve"> [3]!'TSE,00664R,ASK'</f>
        <v>7.15</v>
      </c>
      <c r="V55" s="2">
        <f t="shared" si="1"/>
        <v>7.15</v>
      </c>
    </row>
    <row r="56" spans="1:26">
      <c r="A56" s="3" t="s">
        <v>67</v>
      </c>
      <c r="B56" s="2" t="s">
        <v>1505</v>
      </c>
      <c r="C56" s="2">
        <v>22.69</v>
      </c>
      <c r="E56" s="7" t="s">
        <v>1115</v>
      </c>
      <c r="F56" s="7" t="s">
        <v>1116</v>
      </c>
      <c r="G56" s="8">
        <f xml:space="preserve"> RTD("kgi.tw.der.pricertdserver.2014.1",,$A56 &amp; "_" &amp; $G$5 &amp; ":" &amp; $E56 &amp; "@" &amp; $F56)</f>
        <v>22.4213188490139</v>
      </c>
      <c r="H56" s="19">
        <f xml:space="preserve"> RTD("kgi.tw.der.pricertdserver.2014.1",,A56 &amp;":"&amp; E56 &amp;"@" &amp; F56)</f>
        <v>22.77425796760588</v>
      </c>
      <c r="I56" s="8">
        <f xml:space="preserve"> RTD("kgi.tw.der.pricertdserver.2014.1",,$A56 &amp; "_" &amp; $I$4 &amp; ":" &amp; $E56 &amp; "@" &amp; $F56)</f>
        <v>22.76989072706272</v>
      </c>
      <c r="J56" s="8">
        <f xml:space="preserve"> RTD("kgi.tw.der.pricertdserver.2014.1",,$A56 &amp; "_" &amp; $J$4 &amp; ":" &amp; $E56 &amp; "@" &amp; $F56)</f>
        <v>22.774257967605884</v>
      </c>
      <c r="K56" s="7" t="str">
        <f>RTD("kgi.tw.der.pricertdserver.2014.1",,A56 &amp; "_Time" &amp; ":" &amp; E56 &amp; "@" &amp; F56)</f>
        <v>20210514_151459273</v>
      </c>
      <c r="L56" s="45">
        <f t="shared" si="0"/>
        <v>22.77425796760588</v>
      </c>
      <c r="M56" s="43">
        <f>VLOOKUP($A56,XQKGIAP!$A:$I,9,FALSE)</f>
        <v>22.78</v>
      </c>
      <c r="N56" s="43">
        <f xml:space="preserve"> [3]!'TSE,00665L,ADJUST_CLS'</f>
        <v>22.7</v>
      </c>
      <c r="O56" s="2">
        <f xml:space="preserve"> [3]!'TSE,00665L,HST_CLOSE'</f>
        <v>0</v>
      </c>
      <c r="P56" s="2">
        <f xml:space="preserve"> [3]!'TSE,00665L,OPEN_PRC'</f>
        <v>22.71</v>
      </c>
      <c r="Q56" s="2">
        <f xml:space="preserve"> [3]!'TSE,00665L,HIGH_1'</f>
        <v>22.71</v>
      </c>
      <c r="R56" s="2">
        <f xml:space="preserve"> [3]!'TSE,00665L,LOW_1'</f>
        <v>22.3</v>
      </c>
      <c r="S56" s="2">
        <f xml:space="preserve"> [3]!'TSE,00665L,TRDPRC_1'</f>
        <v>22.69</v>
      </c>
      <c r="T56" s="2">
        <f xml:space="preserve"> [3]!'TSE,00665L,BID'</f>
        <v>22.59</v>
      </c>
      <c r="U56" s="2">
        <f xml:space="preserve"> [3]!'TSE,00665L,ASK'</f>
        <v>22.7</v>
      </c>
      <c r="V56" s="2">
        <f t="shared" si="1"/>
        <v>22.69</v>
      </c>
    </row>
    <row r="57" spans="1:26">
      <c r="A57" s="3" t="s">
        <v>68</v>
      </c>
      <c r="B57" s="2" t="s">
        <v>1506</v>
      </c>
      <c r="C57" s="2">
        <v>11.49</v>
      </c>
      <c r="E57" s="7" t="s">
        <v>1115</v>
      </c>
      <c r="F57" s="7" t="s">
        <v>1116</v>
      </c>
      <c r="G57" s="8">
        <f xml:space="preserve"> RTD("kgi.tw.der.pricertdserver.2014.1",,$A57 &amp; "_" &amp; $G$5 &amp; ":" &amp; $E57 &amp; "@" &amp; $F57)</f>
        <v>11.674702202826266</v>
      </c>
      <c r="H57" s="19">
        <f xml:space="preserve"> RTD("kgi.tw.der.pricertdserver.2014.1",,A57 &amp;":"&amp; E57 &amp;"@" &amp; F57)</f>
        <v>11.588010649003877</v>
      </c>
      <c r="I57" s="8">
        <f xml:space="preserve"> RTD("kgi.tw.der.pricertdserver.2014.1",,$A57 &amp; "_" &amp; $I$4 &amp; ":" &amp; $E57 &amp; "@" &amp; $F57)</f>
        <v>11.588010649003877</v>
      </c>
      <c r="J57" s="8">
        <f xml:space="preserve"> RTD("kgi.tw.der.pricertdserver.2014.1",,$A57 &amp; "_" &amp; $J$4 &amp; ":" &amp; $E57 &amp; "@" &amp; $F57)</f>
        <v>11.589133498131059</v>
      </c>
      <c r="K57" s="7" t="str">
        <f>RTD("kgi.tw.der.pricertdserver.2014.1",,A57 &amp; "_Time" &amp; ":" &amp; E57 &amp; "@" &amp; F57)</f>
        <v>20210514_151459273</v>
      </c>
      <c r="L57" s="45">
        <f t="shared" si="0"/>
        <v>11.588010649003877</v>
      </c>
      <c r="M57" s="43">
        <f>VLOOKUP($A57,XQKGIAP!$A:$I,9,FALSE)</f>
        <v>11.59</v>
      </c>
      <c r="N57" s="43">
        <f xml:space="preserve"> [3]!'TSE,00666R,ADJUST_CLS'</f>
        <v>11.45</v>
      </c>
      <c r="O57" s="2">
        <f xml:space="preserve"> [3]!'TSE,00666R,HST_CLOSE'</f>
        <v>0</v>
      </c>
      <c r="P57" s="2">
        <f xml:space="preserve"> [3]!'TSE,00666R,OPEN_PRC'</f>
        <v>11.48</v>
      </c>
      <c r="Q57" s="2">
        <f xml:space="preserve"> [3]!'TSE,00666R,HIGH_1'</f>
        <v>11.52</v>
      </c>
      <c r="R57" s="2">
        <f xml:space="preserve"> [3]!'TSE,00666R,LOW_1'</f>
        <v>11.48</v>
      </c>
      <c r="S57" s="2">
        <f xml:space="preserve"> [3]!'TSE,00666R,TRDPRC_1'</f>
        <v>11.49</v>
      </c>
      <c r="T57" s="2">
        <f xml:space="preserve"> [3]!'TSE,00666R,BID'</f>
        <v>11.46</v>
      </c>
      <c r="U57" s="2">
        <f xml:space="preserve"> [3]!'TSE,00666R,ASK'</f>
        <v>11.51</v>
      </c>
      <c r="V57" s="2">
        <f t="shared" si="1"/>
        <v>11.49</v>
      </c>
    </row>
    <row r="58" spans="1:26">
      <c r="A58" s="3" t="s">
        <v>69</v>
      </c>
      <c r="B58" s="2" t="s">
        <v>1507</v>
      </c>
      <c r="C58" s="2">
        <v>34.549999999999997</v>
      </c>
      <c r="E58" s="7" t="s">
        <v>1115</v>
      </c>
      <c r="F58" s="7" t="s">
        <v>1116</v>
      </c>
      <c r="G58" s="8">
        <f xml:space="preserve"> RTD("kgi.tw.der.pricertdserver.2014.1",,$A58 &amp; "_" &amp; $G$5 &amp; ":" &amp; $E58 &amp; "@" &amp; $F58)</f>
        <v>34.47</v>
      </c>
      <c r="H58" s="19">
        <f xml:space="preserve"> RTD("kgi.tw.der.pricertdserver.2014.1",,A58 &amp;":"&amp; E58 &amp;"@" &amp; F58)</f>
        <v>34.44</v>
      </c>
      <c r="I58" s="8">
        <f xml:space="preserve"> RTD("kgi.tw.der.pricertdserver.2014.1",,$A58 &amp; "_" &amp; $I$4 &amp; ":" &amp; $E58 &amp; "@" &amp; $F58)</f>
        <v>-7.9228162514264338E+28</v>
      </c>
      <c r="J58" s="8">
        <f xml:space="preserve"> RTD("kgi.tw.der.pricertdserver.2014.1",,$A58 &amp; "_" &amp; $J$4 &amp; ":" &amp; $E58 &amp; "@" &amp; $F58)</f>
        <v>-7.9228162514264338E+28</v>
      </c>
      <c r="K58" s="7" t="str">
        <f>RTD("kgi.tw.der.pricertdserver.2014.1",,A58 &amp; "_Time" &amp; ":" &amp; E58 &amp; "@" &amp; F58)</f>
        <v>20210514_132943000</v>
      </c>
      <c r="L58" s="45">
        <f t="shared" si="0"/>
        <v>34.44</v>
      </c>
      <c r="M58" s="43">
        <f>VLOOKUP($A58,XQKGIAP!$A:$I,9,FALSE)</f>
        <v>34.46</v>
      </c>
      <c r="N58" s="43">
        <f xml:space="preserve"> [3]!'TSE,00668,ADJUST_CLS'</f>
        <v>33.979999999999997</v>
      </c>
      <c r="O58" s="2">
        <f xml:space="preserve"> [3]!'TSE,00668,HST_CLOSE'</f>
        <v>0</v>
      </c>
      <c r="P58" s="2">
        <f xml:space="preserve"> [3]!'TSE,00668,OPEN_PRC'</f>
        <v>34.4</v>
      </c>
      <c r="Q58" s="2">
        <f xml:space="preserve"> [3]!'TSE,00668,HIGH_1'</f>
        <v>34.549999999999997</v>
      </c>
      <c r="R58" s="2">
        <f xml:space="preserve"> [3]!'TSE,00668,LOW_1'</f>
        <v>34.32</v>
      </c>
      <c r="S58" s="2">
        <f xml:space="preserve"> [3]!'TSE,00668,TRDPRC_1'</f>
        <v>34.549999999999997</v>
      </c>
      <c r="T58" s="2">
        <f xml:space="preserve"> [3]!'TSE,00668,BID'</f>
        <v>34.46</v>
      </c>
      <c r="U58" s="2">
        <f xml:space="preserve"> [3]!'TSE,00668,ASK'</f>
        <v>34.549999999999997</v>
      </c>
      <c r="V58" s="2">
        <f t="shared" si="1"/>
        <v>34.549999999999997</v>
      </c>
    </row>
    <row r="59" spans="1:26">
      <c r="A59" s="3" t="s">
        <v>70</v>
      </c>
      <c r="B59" s="2" t="s">
        <v>1508</v>
      </c>
      <c r="C59" s="2">
        <v>12.3</v>
      </c>
      <c r="E59" s="7" t="s">
        <v>1115</v>
      </c>
      <c r="F59" s="7" t="s">
        <v>1116</v>
      </c>
      <c r="G59" s="8">
        <f xml:space="preserve"> RTD("kgi.tw.der.pricertdserver.2014.1",,$A59 &amp; "_" &amp; $G$5 &amp; ":" &amp; $E59 &amp; "@" &amp; $F59)</f>
        <v>12.31</v>
      </c>
      <c r="H59" s="19">
        <f xml:space="preserve"> RTD("kgi.tw.der.pricertdserver.2014.1",,A59 &amp;":"&amp; E59 &amp;"@" &amp; F59)</f>
        <v>12.31</v>
      </c>
      <c r="I59" s="8">
        <f xml:space="preserve"> RTD("kgi.tw.der.pricertdserver.2014.1",,$A59 &amp; "_" &amp; $I$4 &amp; ":" &amp; $E59 &amp; "@" &amp; $F59)</f>
        <v>-7.9228162514264338E+28</v>
      </c>
      <c r="J59" s="8">
        <f xml:space="preserve"> RTD("kgi.tw.der.pricertdserver.2014.1",,$A59 &amp; "_" &amp; $J$4 &amp; ":" &amp; $E59 &amp; "@" &amp; $F59)</f>
        <v>-7.9228162514264338E+28</v>
      </c>
      <c r="K59" s="7" t="str">
        <f>RTD("kgi.tw.der.pricertdserver.2014.1",,A59 &amp; "_Time" &amp; ":" &amp; E59 &amp; "@" &amp; F59)</f>
        <v>20210514_132928000</v>
      </c>
      <c r="L59" s="45">
        <f t="shared" si="0"/>
        <v>12.31</v>
      </c>
      <c r="M59" s="43">
        <f>VLOOKUP($A59,XQKGIAP!$A:$I,9,FALSE)</f>
        <v>12.31</v>
      </c>
      <c r="N59" s="43">
        <f xml:space="preserve"> [3]!'TSE,00668K,ADJUST_CLS'</f>
        <v>12.15</v>
      </c>
      <c r="O59" s="2">
        <f xml:space="preserve"> [3]!'TSE,00668K,HST_CLOSE'</f>
        <v>0</v>
      </c>
      <c r="P59" s="2">
        <f xml:space="preserve"> [3]!'TSE,00668K,OPEN_PRC'</f>
        <v>12.3</v>
      </c>
      <c r="Q59" s="2">
        <f xml:space="preserve"> [3]!'TSE,00668K,HIGH_1'</f>
        <v>12.3</v>
      </c>
      <c r="R59" s="2">
        <f xml:space="preserve"> [3]!'TSE,00668K,LOW_1'</f>
        <v>12.3</v>
      </c>
      <c r="S59" s="2">
        <f xml:space="preserve"> [3]!'TSE,00668K,TRDPRC_1'</f>
        <v>12.3</v>
      </c>
      <c r="T59" s="2">
        <f xml:space="preserve"> [3]!'TSE,00668K,BID'</f>
        <v>12.27</v>
      </c>
      <c r="U59" s="2">
        <f xml:space="preserve"> [3]!'TSE,00668K,ASK'</f>
        <v>12.37</v>
      </c>
      <c r="V59" s="2">
        <f t="shared" si="1"/>
        <v>12.3</v>
      </c>
    </row>
    <row r="60" spans="1:26">
      <c r="A60" s="3" t="s">
        <v>71</v>
      </c>
      <c r="B60" s="2" t="s">
        <v>1509</v>
      </c>
      <c r="C60" s="2">
        <v>8.17</v>
      </c>
      <c r="E60" s="7" t="s">
        <v>1115</v>
      </c>
      <c r="F60" s="7" t="s">
        <v>1116</v>
      </c>
      <c r="G60" s="8">
        <f xml:space="preserve"> RTD("kgi.tw.der.pricertdserver.2014.1",,$A60 &amp; "_" &amp; $G$5 &amp; ":" &amp; $E60 &amp; "@" &amp; $F60)</f>
        <v>8.2069704333068447</v>
      </c>
      <c r="H60" s="19">
        <f xml:space="preserve"> RTD("kgi.tw.der.pricertdserver.2014.1",,A60 &amp;":"&amp; E60 &amp;"@" &amp; F60)</f>
        <v>8.1643330170814679</v>
      </c>
      <c r="I60" s="8">
        <f xml:space="preserve"> RTD("kgi.tw.der.pricertdserver.2014.1",,$A60 &amp; "_" &amp; $I$4 &amp; ":" &amp; $E60 &amp; "@" &amp; $F60)</f>
        <v>8.1640865432952552</v>
      </c>
      <c r="J60" s="8">
        <f xml:space="preserve"> RTD("kgi.tw.der.pricertdserver.2014.1",,$A60 &amp; "_" &amp; $J$4 &amp; ":" &amp; $E60 &amp; "@" &amp; $F60)</f>
        <v>8.1645794908676805</v>
      </c>
      <c r="K60" s="7" t="str">
        <f>RTD("kgi.tw.der.pricertdserver.2014.1",,A60 &amp; "_Time" &amp; ":" &amp; E60 &amp; "@" &amp; F60)</f>
        <v>20210514_151459664</v>
      </c>
      <c r="L60" s="45">
        <f t="shared" si="0"/>
        <v>8.1643330170814679</v>
      </c>
      <c r="M60" s="43">
        <f>VLOOKUP($A60,XQKGIAP!$A:$I,9,FALSE)</f>
        <v>8.17</v>
      </c>
      <c r="N60" s="43">
        <f xml:space="preserve"> [3]!'TSE,00669R,ADJUST_CLS'</f>
        <v>8.32</v>
      </c>
      <c r="O60" s="2">
        <f xml:space="preserve"> [3]!'TSE,00669R,HST_CLOSE'</f>
        <v>0</v>
      </c>
      <c r="P60" s="2">
        <f xml:space="preserve"> [3]!'TSE,00669R,OPEN_PRC'</f>
        <v>8.19</v>
      </c>
      <c r="Q60" s="2">
        <f xml:space="preserve"> [3]!'TSE,00669R,HIGH_1'</f>
        <v>8.2100000000000009</v>
      </c>
      <c r="R60" s="2">
        <f xml:space="preserve"> [3]!'TSE,00669R,LOW_1'</f>
        <v>8.17</v>
      </c>
      <c r="S60" s="2">
        <f xml:space="preserve"> [3]!'TSE,00669R,TRDPRC_1'</f>
        <v>8.17</v>
      </c>
      <c r="T60" s="2">
        <f xml:space="preserve"> [3]!'TSE,00669R,BID'</f>
        <v>8.17</v>
      </c>
      <c r="U60" s="2">
        <f xml:space="preserve"> [3]!'TSE,00669R,ASK'</f>
        <v>8.18</v>
      </c>
      <c r="V60" s="2">
        <f t="shared" si="1"/>
        <v>8.17</v>
      </c>
    </row>
    <row r="61" spans="1:26">
      <c r="A61" s="3" t="s">
        <v>72</v>
      </c>
      <c r="B61" s="2" t="s">
        <v>1510</v>
      </c>
      <c r="C61" s="2">
        <v>84.05</v>
      </c>
      <c r="E61" s="7" t="s">
        <v>1115</v>
      </c>
      <c r="F61" s="7" t="s">
        <v>1116</v>
      </c>
      <c r="G61" s="8">
        <f xml:space="preserve"> RTD("kgi.tw.der.pricertdserver.2014.1",,$A61 &amp; "_" &amp; $G$5 &amp; ":" &amp; $E61 &amp; "@" &amp; $F61)</f>
        <v>82.910000066028388</v>
      </c>
      <c r="H61" s="19">
        <f xml:space="preserve"> RTD("kgi.tw.der.pricertdserver.2014.1",,A61 &amp;":"&amp; E61 &amp;"@" &amp; F61)</f>
        <v>84.142946529031718</v>
      </c>
      <c r="I61" s="8">
        <f xml:space="preserve"> RTD("kgi.tw.der.pricertdserver.2014.1",,$A61 &amp; "_" &amp; $I$4 &amp; ":" &amp; $E61 &amp; "@" &amp; $F61)</f>
        <v>84.142946529031704</v>
      </c>
      <c r="J61" s="8">
        <f xml:space="preserve"> RTD("kgi.tw.der.pricertdserver.2014.1",,$A61 &amp; "_" &amp; $J$4 &amp; ":" &amp; $E61 &amp; "@" &amp; $F61)</f>
        <v>84.158695685519007</v>
      </c>
      <c r="K61" s="7" t="str">
        <f>RTD("kgi.tw.der.pricertdserver.2014.1",,A61 &amp; "_Time" &amp; ":" &amp; E61 &amp; "@" &amp; F61)</f>
        <v>20210514_151458851</v>
      </c>
      <c r="L61" s="45">
        <f t="shared" si="0"/>
        <v>84.142946529031718</v>
      </c>
      <c r="M61" s="43">
        <f>VLOOKUP($A61,XQKGIAP!$A:$I,9,FALSE)</f>
        <v>84.18</v>
      </c>
      <c r="N61" s="43">
        <f xml:space="preserve"> [3]!'TSE,00670L,ADJUST_CLS'</f>
        <v>82.1</v>
      </c>
      <c r="O61" s="2">
        <f xml:space="preserve"> [3]!'TSE,00670L,HST_CLOSE'</f>
        <v>0</v>
      </c>
      <c r="P61" s="2">
        <f xml:space="preserve"> [3]!'TSE,00670L,OPEN_PRC'</f>
        <v>83.5</v>
      </c>
      <c r="Q61" s="2">
        <f xml:space="preserve"> [3]!'TSE,00670L,HIGH_1'</f>
        <v>84.15</v>
      </c>
      <c r="R61" s="2">
        <f xml:space="preserve"> [3]!'TSE,00670L,LOW_1'</f>
        <v>83.5</v>
      </c>
      <c r="S61" s="2">
        <f xml:space="preserve"> [3]!'TSE,00670L,TRDPRC_1'</f>
        <v>84.05</v>
      </c>
      <c r="T61" s="2">
        <f xml:space="preserve"> [3]!'TSE,00670L,BID'</f>
        <v>84</v>
      </c>
      <c r="U61" s="2">
        <f xml:space="preserve"> [3]!'TSE,00670L,ASK'</f>
        <v>84.05</v>
      </c>
      <c r="V61" s="2">
        <f t="shared" si="1"/>
        <v>84.05</v>
      </c>
    </row>
    <row r="62" spans="1:26">
      <c r="A62" s="3" t="s">
        <v>73</v>
      </c>
      <c r="B62" s="2" t="s">
        <v>1511</v>
      </c>
      <c r="C62" s="2">
        <v>6.17</v>
      </c>
      <c r="E62" s="7" t="s">
        <v>1115</v>
      </c>
      <c r="F62" s="7" t="s">
        <v>1116</v>
      </c>
      <c r="G62" s="8">
        <f xml:space="preserve"> RTD("kgi.tw.der.pricertdserver.2014.1",,$A62 &amp; "_" &amp; $G$5 &amp; ":" &amp; $E62 &amp; "@" &amp; $F62)</f>
        <v>6.2083369295744717</v>
      </c>
      <c r="H62" s="19">
        <f xml:space="preserve"> RTD("kgi.tw.der.pricertdserver.2014.1",,A62 &amp;":"&amp; E62 &amp;"@" &amp; F62)</f>
        <v>6.16222799730975</v>
      </c>
      <c r="I62" s="8">
        <f xml:space="preserve"> RTD("kgi.tw.der.pricertdserver.2014.1",,$A62 &amp; "_" &amp; $I$4 &amp; ":" &amp; $E62 &amp; "@" &amp; $F62)</f>
        <v>6.161624158060401</v>
      </c>
      <c r="J62" s="8">
        <f xml:space="preserve"> RTD("kgi.tw.der.pricertdserver.2014.1",,$A62 &amp; "_" &amp; $J$4 &amp; ":" &amp; $E62 &amp; "@" &amp; $F62)</f>
        <v>6.16222799730975</v>
      </c>
      <c r="K62" s="7" t="str">
        <f>RTD("kgi.tw.der.pricertdserver.2014.1",,A62 &amp; "_Time" &amp; ":" &amp; E62 &amp; "@" &amp; F62)</f>
        <v>20210514_151458851</v>
      </c>
      <c r="L62" s="45">
        <f t="shared" si="0"/>
        <v>6.16222799730975</v>
      </c>
      <c r="M62" s="43">
        <f>VLOOKUP($A62,XQKGIAP!$A:$I,9,FALSE)</f>
        <v>6.16</v>
      </c>
      <c r="N62" s="43">
        <f xml:space="preserve"> [3]!'TSE,00671R,ADJUST_CLS'</f>
        <v>6.23</v>
      </c>
      <c r="O62" s="2">
        <f xml:space="preserve"> [3]!'TSE,00671R,HST_CLOSE'</f>
        <v>0</v>
      </c>
      <c r="P62" s="2">
        <f xml:space="preserve"> [3]!'TSE,00671R,OPEN_PRC'</f>
        <v>6.17</v>
      </c>
      <c r="Q62" s="2">
        <f xml:space="preserve"> [3]!'TSE,00671R,HIGH_1'</f>
        <v>6.19</v>
      </c>
      <c r="R62" s="2">
        <f xml:space="preserve"> [3]!'TSE,00671R,LOW_1'</f>
        <v>6.15</v>
      </c>
      <c r="S62" s="2">
        <f xml:space="preserve"> [3]!'TSE,00671R,TRDPRC_1'</f>
        <v>6.17</v>
      </c>
      <c r="T62" s="2">
        <f xml:space="preserve"> [3]!'TSE,00671R,BID'</f>
        <v>6.16</v>
      </c>
      <c r="U62" s="2">
        <f xml:space="preserve"> [3]!'TSE,00671R,ASK'</f>
        <v>6.17</v>
      </c>
      <c r="V62" s="2">
        <f t="shared" si="1"/>
        <v>6.17</v>
      </c>
    </row>
    <row r="63" spans="1:26">
      <c r="A63" s="109" t="s">
        <v>75</v>
      </c>
      <c r="B63" s="40" t="s">
        <v>2502</v>
      </c>
      <c r="C63" s="40">
        <v>17.739999999999998</v>
      </c>
      <c r="E63" s="7" t="s">
        <v>1115</v>
      </c>
      <c r="F63" s="7" t="s">
        <v>1116</v>
      </c>
      <c r="G63" s="8">
        <f xml:space="preserve"> RTD("kgi.tw.der.pricertdserver.2014.1",,$A63 &amp; "_" &amp; $G$5 &amp; ":" &amp; $E63 &amp; "@" &amp; $F63)</f>
        <v>17.762537026145537</v>
      </c>
      <c r="H63" s="19">
        <f xml:space="preserve"> RTD("kgi.tw.der.pricertdserver.2014.1",,A63 &amp;":"&amp; E63 &amp;"@" &amp; F63)</f>
        <v>17.751176906536106</v>
      </c>
      <c r="I63" s="8">
        <f xml:space="preserve"> RTD("kgi.tw.der.pricertdserver.2014.1",,$A63 &amp; "_" &amp; $I$4 &amp; ":" &amp; $E63 &amp; "@" &amp; $F63)</f>
        <v>17.74857393054295</v>
      </c>
      <c r="J63" s="8">
        <f xml:space="preserve"> RTD("kgi.tw.der.pricertdserver.2014.1",,$A63 &amp; "_" &amp; $J$4 &amp; ":" &amp; $E63 &amp; "@" &amp; $F63)</f>
        <v>17.751176906536106</v>
      </c>
      <c r="K63" s="7" t="str">
        <f>RTD("kgi.tw.der.pricertdserver.2014.1",,A63 &amp; "_Time" &amp; ":" &amp; E63 &amp; "@" &amp; F63)</f>
        <v>20210514_151457398</v>
      </c>
      <c r="L63" s="45">
        <f t="shared" si="0"/>
        <v>17.751176906536106</v>
      </c>
      <c r="M63" s="43">
        <f>VLOOKUP($A63,XQKGIAP!$A:$I,9,FALSE)</f>
        <v>17.75</v>
      </c>
      <c r="N63" s="43">
        <f xml:space="preserve"> [3]!'TSE,00673R,ADJUST_CLS'</f>
        <v>17.36</v>
      </c>
      <c r="O63" s="2">
        <f xml:space="preserve"> [3]!'TSE,00673R,HST_CLOSE'</f>
        <v>0</v>
      </c>
      <c r="P63" s="43">
        <f xml:space="preserve"> [3]!'TSE,00673R,OPEN_PRC'</f>
        <v>17.73</v>
      </c>
      <c r="Q63" s="43">
        <f xml:space="preserve"> [3]!'TSE,00673R,HIGH_1'</f>
        <v>17.84</v>
      </c>
      <c r="R63" s="43">
        <f xml:space="preserve"> [3]!'TSE,00673R,LOW_1'</f>
        <v>17.73</v>
      </c>
      <c r="S63" s="43">
        <f xml:space="preserve"> [3]!'TSE,00673R,TRDPRC_1'</f>
        <v>17.739999999999998</v>
      </c>
      <c r="T63" s="43">
        <f xml:space="preserve"> [3]!'TSE,00673R,BID'</f>
        <v>17.73</v>
      </c>
      <c r="U63" s="43">
        <f xml:space="preserve"> [3]!'TSE,00673R,ASK'</f>
        <v>17.739999999999998</v>
      </c>
      <c r="V63" s="2">
        <f t="shared" si="1"/>
        <v>17.739999999999998</v>
      </c>
      <c r="X63" s="34"/>
      <c r="Y63" s="43"/>
      <c r="Z63" s="43"/>
    </row>
    <row r="64" spans="1:26">
      <c r="A64" s="3" t="s">
        <v>76</v>
      </c>
      <c r="B64" s="2" t="s">
        <v>2503</v>
      </c>
      <c r="C64" s="2">
        <v>13.14</v>
      </c>
      <c r="E64" s="7" t="s">
        <v>1115</v>
      </c>
      <c r="F64" s="7" t="s">
        <v>1116</v>
      </c>
      <c r="G64" s="8">
        <f xml:space="preserve"> RTD("kgi.tw.der.pricertdserver.2014.1",,$A64 &amp; "_" &amp; $G$5 &amp; ":" &amp; $E64 &amp; "@" &amp; $F64)</f>
        <v>13.127715016061169</v>
      </c>
      <c r="H64" s="19">
        <f xml:space="preserve"> RTD("kgi.tw.der.pricertdserver.2014.1",,A64 &amp;":"&amp; E64 &amp;"@" &amp; F64)</f>
        <v>13.060195481591904</v>
      </c>
      <c r="I64" s="8">
        <f xml:space="preserve"> RTD("kgi.tw.der.pricertdserver.2014.1",,$A64 &amp; "_" &amp; $I$4 &amp; ":" &amp; $E64 &amp; "@" &amp; $F64)</f>
        <v>13.059473949220733</v>
      </c>
      <c r="J64" s="8">
        <f xml:space="preserve"> RTD("kgi.tw.der.pricertdserver.2014.1",,$A64 &amp; "_" &amp; $J$4 &amp; ":" &amp; $E64 &amp; "@" &amp; $F64)</f>
        <v>13.060917013963076</v>
      </c>
      <c r="K64" s="7" t="str">
        <f>RTD("kgi.tw.der.pricertdserver.2014.1",,A64 &amp; "_Time" &amp; ":" &amp; E64 &amp; "@" &amp; F64)</f>
        <v>20210514_151459679</v>
      </c>
      <c r="L64" s="45">
        <f t="shared" si="0"/>
        <v>13.060195481591904</v>
      </c>
      <c r="M64" s="43">
        <f>VLOOKUP($A64,XQKGIAP!$A:$I,9,FALSE)</f>
        <v>13.06</v>
      </c>
      <c r="N64" s="43">
        <f xml:space="preserve"> [3]!'TSE,00674R,ADJUST_CLS'</f>
        <v>13.16</v>
      </c>
      <c r="O64" s="2">
        <f xml:space="preserve"> [3]!'TSE,00674R,HST_CLOSE'</f>
        <v>0</v>
      </c>
      <c r="P64" s="2">
        <f xml:space="preserve"> [3]!'TSE,00674R,OPEN_PRC'</f>
        <v>13.11</v>
      </c>
      <c r="Q64" s="2">
        <f xml:space="preserve"> [3]!'TSE,00674R,HIGH_1'</f>
        <v>13.14</v>
      </c>
      <c r="R64" s="2">
        <f xml:space="preserve"> [3]!'TSE,00674R,LOW_1'</f>
        <v>13.09</v>
      </c>
      <c r="S64" s="2">
        <f xml:space="preserve"> [3]!'TSE,00674R,TRDPRC_1'</f>
        <v>13.14</v>
      </c>
      <c r="T64" s="2">
        <f xml:space="preserve"> [3]!'TSE,00674R,BID'</f>
        <v>13.13</v>
      </c>
      <c r="U64" s="2">
        <f xml:space="preserve"> [3]!'TSE,00674R,ASK'</f>
        <v>13.14</v>
      </c>
      <c r="V64" s="2">
        <f t="shared" si="1"/>
        <v>13.14</v>
      </c>
      <c r="Y64" s="43"/>
      <c r="Z64" s="43"/>
    </row>
    <row r="65" spans="1:22">
      <c r="A65" s="3" t="s">
        <v>77</v>
      </c>
      <c r="B65" s="2" t="s">
        <v>1512</v>
      </c>
      <c r="C65" s="2">
        <v>40.44</v>
      </c>
      <c r="E65" s="7" t="s">
        <v>1115</v>
      </c>
      <c r="F65" s="7" t="s">
        <v>1116</v>
      </c>
      <c r="G65" s="8">
        <f xml:space="preserve"> RTD("kgi.tw.der.pricertdserver.2014.1",,$A65 &amp; "_" &amp; $G$5 &amp; ":" &amp; $E65 &amp; "@" &amp; $F65)</f>
        <v>39.317107684679172</v>
      </c>
      <c r="H65" s="19">
        <f xml:space="preserve"> RTD("kgi.tw.der.pricertdserver.2014.1",,A65 &amp;":"&amp; E65 &amp;"@" &amp; F65)</f>
        <v>40.088124501508666</v>
      </c>
      <c r="I65" s="8">
        <f xml:space="preserve"> RTD("kgi.tw.der.pricertdserver.2014.1",,$A65 &amp; "_" &amp; $I$4 &amp; ":" &amp; $E65 &amp; "@" &amp; $F65)</f>
        <v>40.083052022450566</v>
      </c>
      <c r="J65" s="8">
        <f xml:space="preserve"> RTD("kgi.tw.der.pricertdserver.2014.1",,$A65 &amp; "_" &amp; $J$4 &amp; ":" &amp; $E65 &amp; "@" &amp; $F65)</f>
        <v>40.093196980566752</v>
      </c>
      <c r="K65" s="7" t="str">
        <f>RTD("kgi.tw.der.pricertdserver.2014.1",,A65 &amp; "_Time" &amp; ":" &amp; E65 &amp; "@" &amp; F65)</f>
        <v>20210514_151459304</v>
      </c>
      <c r="L65" s="45">
        <f t="shared" si="0"/>
        <v>40.088124501508666</v>
      </c>
      <c r="M65" s="43">
        <f>VLOOKUP($A65,XQKGIAP!$A:$I,9,FALSE)</f>
        <v>40.32</v>
      </c>
      <c r="N65" s="43">
        <f xml:space="preserve"> [3]!'TSE,00675L,ADJUST_CLS'</f>
        <v>39.479999999999997</v>
      </c>
      <c r="O65" s="2">
        <f xml:space="preserve"> [3]!'TSE,00675L,HST_CLOSE'</f>
        <v>0</v>
      </c>
      <c r="P65" s="2">
        <f xml:space="preserve"> [3]!'TSE,00675L,OPEN_PRC'</f>
        <v>40.659999999999997</v>
      </c>
      <c r="Q65" s="2">
        <f xml:space="preserve"> [3]!'TSE,00675L,HIGH_1'</f>
        <v>41.55</v>
      </c>
      <c r="R65" s="2">
        <f xml:space="preserve"> [3]!'TSE,00675L,LOW_1'</f>
        <v>39.82</v>
      </c>
      <c r="S65" s="2">
        <f xml:space="preserve"> [3]!'TSE,00675L,TRDPRC_1'</f>
        <v>40.44</v>
      </c>
      <c r="T65" s="2">
        <f xml:space="preserve"> [3]!'TSE,00675L,BID'</f>
        <v>40.4</v>
      </c>
      <c r="U65" s="2">
        <f xml:space="preserve"> [3]!'TSE,00675L,ASK'</f>
        <v>40.44</v>
      </c>
      <c r="V65" s="2">
        <f t="shared" si="1"/>
        <v>40.44</v>
      </c>
    </row>
    <row r="66" spans="1:22">
      <c r="A66" s="3" t="s">
        <v>78</v>
      </c>
      <c r="B66" s="2" t="s">
        <v>1513</v>
      </c>
      <c r="C66" s="2">
        <v>3.9</v>
      </c>
      <c r="E66" s="7" t="s">
        <v>1115</v>
      </c>
      <c r="F66" s="7" t="s">
        <v>1116</v>
      </c>
      <c r="G66" s="8">
        <f xml:space="preserve"> RTD("kgi.tw.der.pricertdserver.2014.1",,$A66 &amp; "_" &amp; $G$5 &amp; ":" &amp; $E66 &amp; "@" &amp; $F66)</f>
        <v>3.9444519498206088</v>
      </c>
      <c r="H66" s="19">
        <f xml:space="preserve"> RTD("kgi.tw.der.pricertdserver.2014.1",,A66 &amp;":"&amp; E66 &amp;"@" &amp; F66)</f>
        <v>3.9061943735035327</v>
      </c>
      <c r="I66" s="8">
        <f xml:space="preserve"> RTD("kgi.tw.der.pricertdserver.2014.1",,$A66 &amp; "_" &amp; $I$4 &amp; ":" &amp; $E66 &amp; "@" &amp; $F66)</f>
        <v>3.9059426789224996</v>
      </c>
      <c r="J66" s="8">
        <f xml:space="preserve"> RTD("kgi.tw.der.pricertdserver.2014.1",,$A66 &amp; "_" &amp; $J$4 &amp; ":" &amp; $E66 &amp; "@" &amp; $F66)</f>
        <v>3.9064460680845663</v>
      </c>
      <c r="K66" s="7" t="str">
        <f>RTD("kgi.tw.der.pricertdserver.2014.1",,A66 &amp; "_Time" &amp; ":" &amp; E66 &amp; "@" &amp; F66)</f>
        <v>20210514_151459304</v>
      </c>
      <c r="L66" s="45">
        <f t="shared" si="0"/>
        <v>3.9061943735035327</v>
      </c>
      <c r="M66" s="43">
        <f>VLOOKUP($A66,XQKGIAP!$A:$I,9,FALSE)</f>
        <v>3.89</v>
      </c>
      <c r="N66" s="43">
        <f xml:space="preserve"> [3]!'TSE,00676R,ADJUST_CLS'</f>
        <v>3.94</v>
      </c>
      <c r="O66" s="2">
        <f xml:space="preserve"> [3]!'TSE,00676R,HST_CLOSE'</f>
        <v>0</v>
      </c>
      <c r="P66" s="2">
        <f xml:space="preserve"> [3]!'TSE,00676R,OPEN_PRC'</f>
        <v>3.88</v>
      </c>
      <c r="Q66" s="2">
        <f xml:space="preserve"> [3]!'TSE,00676R,HIGH_1'</f>
        <v>3.92</v>
      </c>
      <c r="R66" s="2">
        <f xml:space="preserve"> [3]!'TSE,00676R,LOW_1'</f>
        <v>3.83</v>
      </c>
      <c r="S66" s="2">
        <f xml:space="preserve"> [3]!'TSE,00676R,TRDPRC_1'</f>
        <v>3.9</v>
      </c>
      <c r="T66" s="2">
        <f xml:space="preserve"> [3]!'TSE,00676R,BID'</f>
        <v>3.89</v>
      </c>
      <c r="U66" s="2">
        <f xml:space="preserve"> [3]!'TSE,00676R,ASK'</f>
        <v>3.9</v>
      </c>
      <c r="V66" s="2">
        <f t="shared" si="1"/>
        <v>3.9</v>
      </c>
    </row>
    <row r="67" spans="1:22">
      <c r="A67" s="3" t="s">
        <v>79</v>
      </c>
      <c r="B67" s="2" t="s">
        <v>2504</v>
      </c>
      <c r="C67" s="2">
        <v>1.83</v>
      </c>
      <c r="E67" s="7" t="s">
        <v>1115</v>
      </c>
      <c r="F67" s="7" t="s">
        <v>1116</v>
      </c>
      <c r="G67" s="8">
        <f xml:space="preserve"> RTD("kgi.tw.der.pricertdserver.2014.1",,$A67 &amp; "_" &amp; $G$5 &amp; ":" &amp; $E67 &amp; "@" &amp; $F67)</f>
        <v>1.8755703334670415</v>
      </c>
      <c r="H67" s="19">
        <f xml:space="preserve"> RTD("kgi.tw.der.pricertdserver.2014.1",,A67 &amp;":"&amp; E67 &amp;"@" &amp; F67)</f>
        <v>1.8268649347808852</v>
      </c>
      <c r="I67" s="8">
        <f xml:space="preserve"> RTD("kgi.tw.der.pricertdserver.2014.1",,$A67 &amp; "_" &amp; $I$4 &amp; ":" &amp; $E67 &amp; "@" &amp; $F67)</f>
        <v>1.8235553083042897</v>
      </c>
      <c r="J67" s="8">
        <f xml:space="preserve"> RTD("kgi.tw.der.pricertdserver.2014.1",,$A67 &amp; "_" &amp; $J$4 &amp; ":" &amp; $E67 &amp; "@" &amp; $F67)</f>
        <v>1.8274985172193499</v>
      </c>
      <c r="K67" s="7" t="str">
        <f>RTD("kgi.tw.der.pricertdserver.2014.1",,A67 &amp; "_Time" &amp; ":" &amp; E67 &amp; "@" &amp; F67)</f>
        <v>20210514_151451319</v>
      </c>
      <c r="L67" s="45">
        <f t="shared" si="0"/>
        <v>1.8268649347808852</v>
      </c>
      <c r="M67" s="43">
        <f>VLOOKUP($A67,XQKGIAP!$A:$I,9,FALSE)</f>
        <v>1.83</v>
      </c>
      <c r="N67" s="43">
        <f xml:space="preserve"> [3]!'TSE,00677U,ADJUST_CLS'</f>
        <v>1.99</v>
      </c>
      <c r="O67" s="2">
        <f xml:space="preserve"> [3]!'TSE,00677U,HST_CLOSE'</f>
        <v>0</v>
      </c>
      <c r="P67" s="2">
        <f xml:space="preserve"> [3]!'TSE,00677U,OPEN_PRC'</f>
        <v>1.85</v>
      </c>
      <c r="Q67" s="2">
        <f xml:space="preserve"> [3]!'TSE,00677U,HIGH_1'</f>
        <v>1.86</v>
      </c>
      <c r="R67" s="2">
        <f xml:space="preserve"> [3]!'TSE,00677U,LOW_1'</f>
        <v>1.83</v>
      </c>
      <c r="S67" s="2">
        <f xml:space="preserve"> [3]!'TSE,00677U,TRDPRC_1'</f>
        <v>1.83</v>
      </c>
      <c r="T67" s="2">
        <f xml:space="preserve"> [3]!'TSE,00677U,BID'</f>
        <v>1.83</v>
      </c>
      <c r="U67" s="2">
        <f xml:space="preserve"> [3]!'TSE,00677U,ASK'</f>
        <v>1.84</v>
      </c>
      <c r="V67" s="2">
        <f t="shared" si="1"/>
        <v>1.83</v>
      </c>
    </row>
    <row r="68" spans="1:22">
      <c r="A68" s="3" t="s">
        <v>80</v>
      </c>
      <c r="B68" s="2" t="s">
        <v>1514</v>
      </c>
      <c r="C68" s="2">
        <v>26.39</v>
      </c>
      <c r="E68" s="7" t="s">
        <v>1115</v>
      </c>
      <c r="F68" s="7" t="s">
        <v>1116</v>
      </c>
      <c r="G68" s="8">
        <f xml:space="preserve"> RTD("kgi.tw.der.pricertdserver.2014.1",,$A68 &amp; "_" &amp; $G$5 &amp; ":" &amp; $E68 &amp; "@" &amp; $F68)</f>
        <v>26.36</v>
      </c>
      <c r="H68" s="19">
        <f xml:space="preserve"> RTD("kgi.tw.der.pricertdserver.2014.1",,A68 &amp;":"&amp; E68 &amp;"@" &amp; F68)</f>
        <v>26.34</v>
      </c>
      <c r="I68" s="48">
        <f xml:space="preserve"> RTD("kgi.tw.der.pricertdserver.2014.1",,$A68 &amp; "_" &amp; $I$4 &amp; ":" &amp; $E68 &amp; "@" &amp; $F68)</f>
        <v>-7.9228162514264338E+28</v>
      </c>
      <c r="J68" s="48">
        <f xml:space="preserve"> RTD("kgi.tw.der.pricertdserver.2014.1",,$A68 &amp; "_" &amp; $J$4 &amp; ":" &amp; $E68 &amp; "@" &amp; $F68)</f>
        <v>-7.9228162514264338E+28</v>
      </c>
      <c r="K68" s="7" t="str">
        <f>RTD("kgi.tw.der.pricertdserver.2014.1",,A68 &amp; "_Time" &amp; ":" &amp; E68 &amp; "@" &amp; F68)</f>
        <v>20210514_132945000</v>
      </c>
      <c r="L68" s="45">
        <f t="shared" si="0"/>
        <v>26.34</v>
      </c>
      <c r="M68" s="43">
        <f>VLOOKUP($A68,XQKGIAP!$A:$I,9,FALSE)</f>
        <v>26.36</v>
      </c>
      <c r="N68" s="43">
        <f xml:space="preserve"> [3]!'TSE,00678,ADJUST_CLS'</f>
        <v>26.28</v>
      </c>
      <c r="O68" s="2">
        <f xml:space="preserve"> [3]!'TSE,00678,HST_CLOSE'</f>
        <v>0</v>
      </c>
      <c r="P68" s="2">
        <f xml:space="preserve"> [3]!'TSE,00678,OPEN_PRC'</f>
        <v>26.39</v>
      </c>
      <c r="Q68" s="2">
        <f xml:space="preserve"> [3]!'TSE,00678,HIGH_1'</f>
        <v>26.39</v>
      </c>
      <c r="R68" s="2">
        <f xml:space="preserve"> [3]!'TSE,00678,LOW_1'</f>
        <v>26.33</v>
      </c>
      <c r="S68" s="2">
        <f xml:space="preserve"> [3]!'TSE,00678,TRDPRC_1'</f>
        <v>26.39</v>
      </c>
      <c r="T68" s="2">
        <f xml:space="preserve"> [3]!'TSE,00678,BID'</f>
        <v>26.34</v>
      </c>
      <c r="U68" s="2">
        <f xml:space="preserve"> [3]!'TSE,00678,ASK'</f>
        <v>26.43</v>
      </c>
      <c r="V68" s="2">
        <f t="shared" si="1"/>
        <v>26.39</v>
      </c>
    </row>
    <row r="69" spans="1:22">
      <c r="A69" s="3" t="s">
        <v>81</v>
      </c>
      <c r="B69" s="2" t="s">
        <v>1515</v>
      </c>
      <c r="C69" s="2">
        <v>38.880000000000003</v>
      </c>
      <c r="E69" s="7" t="s">
        <v>1115</v>
      </c>
      <c r="F69" s="7" t="s">
        <v>1116</v>
      </c>
      <c r="G69" s="8">
        <f xml:space="preserve"> RTD("kgi.tw.der.pricertdserver.2014.1",,$A69 &amp; "_" &amp; $G$5 &amp; ":" &amp; $E69 &amp; "@" &amp; $F69)</f>
        <v>38.815600000000003</v>
      </c>
      <c r="H69" s="19">
        <f xml:space="preserve"> RTD("kgi.tw.der.pricertdserver.2014.1",,A69 &amp;":"&amp; E69 &amp;"@" &amp; F69)</f>
        <v>38.845999999999997</v>
      </c>
      <c r="I69" s="8">
        <f xml:space="preserve"> RTD("kgi.tw.der.pricertdserver.2014.1",,$A69 &amp; "_" &amp; $I$4 &amp; ":" &amp; $E69 &amp; "@" &amp; $F69)</f>
        <v>-7.9228162514264338E+28</v>
      </c>
      <c r="J69" s="8">
        <f xml:space="preserve"> RTD("kgi.tw.der.pricertdserver.2014.1",,$A69 &amp; "_" &amp; $J$4 &amp; ":" &amp; $E69 &amp; "@" &amp; $F69)</f>
        <v>-7.9228162514264338E+28</v>
      </c>
      <c r="K69" s="7" t="str">
        <f>RTD("kgi.tw.der.pricertdserver.2014.1",,A69 &amp; "_Time" &amp; ":" &amp; E69 &amp; "@" &amp; F69)</f>
        <v>20210514_132945000</v>
      </c>
      <c r="L69" s="45">
        <f t="shared" si="0"/>
        <v>38.845999999999997</v>
      </c>
      <c r="M69" s="43">
        <f>VLOOKUP($A69,XQKGIAP!$A:$I,9,FALSE)</f>
        <v>38.86</v>
      </c>
      <c r="N69" s="43">
        <f xml:space="preserve"> [3]!'TSE,00679B,ADJUST_CLS'</f>
        <v>38.83</v>
      </c>
      <c r="O69" s="2">
        <f xml:space="preserve"> [3]!'TSE,00679B,HST_CLOSE'</f>
        <v>0</v>
      </c>
      <c r="P69" s="2">
        <f xml:space="preserve"> [3]!'TSE,00679B,OPEN_PRC'</f>
        <v>38.83</v>
      </c>
      <c r="Q69" s="2">
        <f xml:space="preserve"> [3]!'TSE,00679B,HIGH_1'</f>
        <v>38.89</v>
      </c>
      <c r="R69" s="2">
        <f xml:space="preserve"> [3]!'TSE,00679B,LOW_1'</f>
        <v>38.78</v>
      </c>
      <c r="S69" s="2">
        <f xml:space="preserve"> [3]!'TSE,00679B,TRDPRC_1'</f>
        <v>38.880000000000003</v>
      </c>
      <c r="T69" s="2">
        <f xml:space="preserve"> [3]!'TSE,00679B,BID'</f>
        <v>38.880000000000003</v>
      </c>
      <c r="U69" s="2">
        <f xml:space="preserve"> [3]!'TSE,00679B,ASK'</f>
        <v>38.89</v>
      </c>
      <c r="V69" s="2">
        <f t="shared" si="1"/>
        <v>38.880000000000003</v>
      </c>
    </row>
    <row r="70" spans="1:22">
      <c r="A70" s="3" t="s">
        <v>82</v>
      </c>
      <c r="B70" s="2" t="s">
        <v>1516</v>
      </c>
      <c r="C70" s="2">
        <v>21.55</v>
      </c>
      <c r="E70" s="7" t="s">
        <v>1115</v>
      </c>
      <c r="F70" s="7" t="s">
        <v>1116</v>
      </c>
      <c r="G70" s="8">
        <f xml:space="preserve"> RTD("kgi.tw.der.pricertdserver.2014.1",,$A70 &amp; "_" &amp; $G$5 &amp; ":" &amp; $E70 &amp; "@" &amp; $F70)</f>
        <v>21.522581006420783</v>
      </c>
      <c r="H70" s="19">
        <f xml:space="preserve"> RTD("kgi.tw.der.pricertdserver.2014.1",,A70 &amp;":"&amp; E70 &amp;"@" &amp; F70)</f>
        <v>21.514483585774784</v>
      </c>
      <c r="I70" s="8">
        <f xml:space="preserve"> RTD("kgi.tw.der.pricertdserver.2014.1",,$A70 &amp; "_" &amp; $I$4 &amp; ":" &amp; $E70 &amp; "@" &amp; $F70)</f>
        <v>21.507123405260188</v>
      </c>
      <c r="J70" s="8">
        <f xml:space="preserve"> RTD("kgi.tw.der.pricertdserver.2014.1",,$A70 &amp; "_" &amp; $J$4 &amp; ":" &amp; $E70 &amp; "@" &amp; $F70)</f>
        <v>21.514483585774787</v>
      </c>
      <c r="K70" s="7" t="str">
        <f>RTD("kgi.tw.der.pricertdserver.2014.1",,A70 &amp; "_Time" &amp; ":" &amp; E70 &amp; "@" &amp; F70)</f>
        <v>20210514_151459648</v>
      </c>
      <c r="L70" s="45">
        <f t="shared" si="0"/>
        <v>21.514483585774784</v>
      </c>
      <c r="M70" s="43">
        <f>VLOOKUP($A70,XQKGIAP!$A:$I,9,FALSE)</f>
        <v>21.51</v>
      </c>
      <c r="N70" s="43">
        <f xml:space="preserve"> [3]!'TSE,00680L,ADJUST_CLS'</f>
        <v>21.48</v>
      </c>
      <c r="O70" s="2">
        <f xml:space="preserve"> [3]!'TSE,00680L,HST_CLOSE'</f>
        <v>0</v>
      </c>
      <c r="P70" s="2">
        <f xml:space="preserve"> [3]!'TSE,00680L,OPEN_PRC'</f>
        <v>21.52</v>
      </c>
      <c r="Q70" s="2">
        <f xml:space="preserve"> [3]!'TSE,00680L,HIGH_1'</f>
        <v>21.6</v>
      </c>
      <c r="R70" s="2">
        <f xml:space="preserve"> [3]!'TSE,00680L,LOW_1'</f>
        <v>21.52</v>
      </c>
      <c r="S70" s="2">
        <f xml:space="preserve"> [3]!'TSE,00680L,TRDPRC_1'</f>
        <v>21.55</v>
      </c>
      <c r="T70" s="2">
        <f xml:space="preserve"> [3]!'TSE,00680L,BID'</f>
        <v>21.52</v>
      </c>
      <c r="U70" s="2">
        <f xml:space="preserve"> [3]!'TSE,00680L,ASK'</f>
        <v>21.59</v>
      </c>
      <c r="V70" s="2">
        <f t="shared" si="1"/>
        <v>21.55</v>
      </c>
    </row>
    <row r="71" spans="1:22">
      <c r="A71" s="3" t="s">
        <v>83</v>
      </c>
      <c r="B71" s="2" t="s">
        <v>1517</v>
      </c>
      <c r="C71" s="2">
        <v>14.55</v>
      </c>
      <c r="E71" s="7" t="s">
        <v>1115</v>
      </c>
      <c r="F71" s="7" t="s">
        <v>1116</v>
      </c>
      <c r="G71" s="8">
        <f xml:space="preserve"> RTD("kgi.tw.der.pricertdserver.2014.1",,$A71 &amp; "_" &amp; $G$5 &amp; ":" &amp; $E71 &amp; "@" &amp; $F71)</f>
        <v>14.53369899961964</v>
      </c>
      <c r="H71" s="19">
        <f xml:space="preserve"> RTD("kgi.tw.der.pricertdserver.2014.1",,A71 &amp;":"&amp; E71 &amp;"@" &amp; F71)</f>
        <v>14.535784688093722</v>
      </c>
      <c r="I71" s="8">
        <f xml:space="preserve"> RTD("kgi.tw.der.pricertdserver.2014.1",,$A71 &amp; "_" &amp; $I$4 &amp; ":" &amp; $E71 &amp; "@" &amp; $F71)</f>
        <v>14.535784688093722</v>
      </c>
      <c r="J71" s="8">
        <f xml:space="preserve"> RTD("kgi.tw.der.pricertdserver.2014.1",,$A71 &amp; "_" &amp; $J$4 &amp; ":" &amp; $E71 &amp; "@" &amp; $F71)</f>
        <v>14.538280534498039</v>
      </c>
      <c r="K71" s="7" t="str">
        <f>RTD("kgi.tw.der.pricertdserver.2014.1",,A71 &amp; "_Time" &amp; ":" &amp; E71 &amp; "@" &amp; F71)</f>
        <v>20210514_151459648</v>
      </c>
      <c r="L71" s="45">
        <f t="shared" ref="L71:L134" si="2">IF(ISERROR($H71),$M71,$H71)</f>
        <v>14.535784688093722</v>
      </c>
      <c r="M71" s="43">
        <f>VLOOKUP($A71,XQKGIAP!$A:$I,9,FALSE)</f>
        <v>14.53</v>
      </c>
      <c r="N71" s="43">
        <f xml:space="preserve"> [3]!'TSE,00681R,ADJUST_CLS'</f>
        <v>14.56</v>
      </c>
      <c r="O71" s="2">
        <f xml:space="preserve"> [3]!'TSE,00681R,HST_CLOSE'</f>
        <v>0</v>
      </c>
      <c r="P71" s="2">
        <f xml:space="preserve"> [3]!'TSE,00681R,OPEN_PRC'</f>
        <v>14.56</v>
      </c>
      <c r="Q71" s="2">
        <f xml:space="preserve"> [3]!'TSE,00681R,HIGH_1'</f>
        <v>14.58</v>
      </c>
      <c r="R71" s="2">
        <f xml:space="preserve"> [3]!'TSE,00681R,LOW_1'</f>
        <v>14.51</v>
      </c>
      <c r="S71" s="2">
        <f xml:space="preserve"> [3]!'TSE,00681R,TRDPRC_1'</f>
        <v>14.55</v>
      </c>
      <c r="T71" s="2">
        <f xml:space="preserve"> [3]!'TSE,00681R,BID'</f>
        <v>14.51</v>
      </c>
      <c r="U71" s="2">
        <f xml:space="preserve"> [3]!'TSE,00681R,ASK'</f>
        <v>14.55</v>
      </c>
      <c r="V71" s="2">
        <f t="shared" ref="V71:V134" si="3">IF($V$1=0,IF(S71&lt;&gt;0,S71,N71),C71)</f>
        <v>14.55</v>
      </c>
    </row>
    <row r="72" spans="1:22">
      <c r="A72" s="3" t="s">
        <v>84</v>
      </c>
      <c r="B72" s="2" t="s">
        <v>2505</v>
      </c>
      <c r="C72" s="2">
        <v>18.03</v>
      </c>
      <c r="E72" s="7" t="s">
        <v>1115</v>
      </c>
      <c r="F72" s="7" t="s">
        <v>1116</v>
      </c>
      <c r="G72" s="8">
        <f xml:space="preserve"> RTD("kgi.tw.der.pricertdserver.2014.1",,$A72 &amp; "_" &amp; $G$5 &amp; ":" &amp; $E72 &amp; "@" &amp; $F72)</f>
        <v>17.985729997533099</v>
      </c>
      <c r="H72" s="19">
        <f xml:space="preserve"> RTD("kgi.tw.der.pricertdserver.2014.1",,A72 &amp;":"&amp; E72 &amp;"@" &amp; F72)</f>
        <v>17.944676458351104</v>
      </c>
      <c r="I72" s="8">
        <f xml:space="preserve"> RTD("kgi.tw.der.pricertdserver.2014.1",,$A72 &amp; "_" &amp; $I$4 &amp; ":" &amp; $E72 &amp; "@" &amp; $F72)</f>
        <v>17.942686339528638</v>
      </c>
      <c r="J72" s="8">
        <f xml:space="preserve"> RTD("kgi.tw.der.pricertdserver.2014.1",,$A72 &amp; "_" &amp; $J$4 &amp; ":" &amp; $E72 &amp; "@" &amp; $F72)</f>
        <v>17.944676458351104</v>
      </c>
      <c r="K72" s="7" t="str">
        <f>RTD("kgi.tw.der.pricertdserver.2014.1",,A72 &amp; "_Time" &amp; ":" &amp; E72 &amp; "@" &amp; F72)</f>
        <v>20210514_151459148</v>
      </c>
      <c r="L72" s="45">
        <f t="shared" si="2"/>
        <v>17.944676458351104</v>
      </c>
      <c r="M72" s="43">
        <f>VLOOKUP($A72,XQKGIAP!$A:$I,9,FALSE)</f>
        <v>17.95</v>
      </c>
      <c r="N72" s="43">
        <f xml:space="preserve"> [3]!'TSE,00682U,ADJUST_CLS'</f>
        <v>18.04</v>
      </c>
      <c r="O72" s="2">
        <f xml:space="preserve"> [3]!'TSE,00682U,HST_CLOSE'</f>
        <v>0</v>
      </c>
      <c r="P72" s="2">
        <f xml:space="preserve"> [3]!'TSE,00682U,OPEN_PRC'</f>
        <v>18.05</v>
      </c>
      <c r="Q72" s="2">
        <f xml:space="preserve"> [3]!'TSE,00682U,HIGH_1'</f>
        <v>18.05</v>
      </c>
      <c r="R72" s="2">
        <f xml:space="preserve"> [3]!'TSE,00682U,LOW_1'</f>
        <v>18.03</v>
      </c>
      <c r="S72" s="2">
        <f xml:space="preserve"> [3]!'TSE,00682U,TRDPRC_1'</f>
        <v>18.03</v>
      </c>
      <c r="T72" s="2">
        <f xml:space="preserve"> [3]!'TSE,00682U,BID'</f>
        <v>18.03</v>
      </c>
      <c r="U72" s="2">
        <f xml:space="preserve"> [3]!'TSE,00682U,ASK'</f>
        <v>18.04</v>
      </c>
      <c r="V72" s="2">
        <f t="shared" si="3"/>
        <v>18.03</v>
      </c>
    </row>
    <row r="73" spans="1:22">
      <c r="A73" s="3" t="s">
        <v>85</v>
      </c>
      <c r="B73" s="2" t="s">
        <v>2627</v>
      </c>
      <c r="C73" s="2">
        <v>16.7</v>
      </c>
      <c r="E73" s="7" t="s">
        <v>1115</v>
      </c>
      <c r="F73" s="7" t="s">
        <v>1116</v>
      </c>
      <c r="G73" s="8">
        <f xml:space="preserve"> RTD("kgi.tw.der.pricertdserver.2014.1",,$A73 &amp; "_" &amp; $G$5 &amp; ":" &amp; $E73 &amp; "@" &amp; $F73)</f>
        <v>16.656235000115696</v>
      </c>
      <c r="H73" s="19">
        <f xml:space="preserve"> RTD("kgi.tw.der.pricertdserver.2014.1",,A73 &amp;":"&amp; E73 &amp;"@" &amp; F73)</f>
        <v>16.580491650200759</v>
      </c>
      <c r="I73" s="8">
        <f xml:space="preserve"> RTD("kgi.tw.der.pricertdserver.2014.1",,$A73 &amp; "_" &amp; $I$4 &amp; ":" &amp; $E73 &amp; "@" &amp; $F73)</f>
        <v>16.576820850978233</v>
      </c>
      <c r="J73" s="8">
        <f xml:space="preserve"> RTD("kgi.tw.der.pricertdserver.2014.1",,$A73 &amp; "_" &amp; $J$4 &amp; ":" &amp; $E73 &amp; "@" &amp; $F73)</f>
        <v>16.580491650200759</v>
      </c>
      <c r="K73" s="7" t="str">
        <f>RTD("kgi.tw.der.pricertdserver.2014.1",,A73 &amp; "_Time" &amp; ":" &amp; E73 &amp; "@" &amp; F73)</f>
        <v>20210514_151459148</v>
      </c>
      <c r="L73" s="45">
        <f t="shared" si="2"/>
        <v>16.580491650200759</v>
      </c>
      <c r="M73" s="43">
        <f>VLOOKUP($A73,XQKGIAP!$A:$I,9,FALSE)</f>
        <v>16.579999999999998</v>
      </c>
      <c r="N73" s="43">
        <f xml:space="preserve"> [3]!'TSE,00683L,ADJUST_CLS'</f>
        <v>16.71</v>
      </c>
      <c r="O73" s="2">
        <f xml:space="preserve"> [3]!'TSE,00683L,HST_CLOSE'</f>
        <v>0</v>
      </c>
      <c r="P73" s="2">
        <f xml:space="preserve"> [3]!'TSE,00683L,OPEN_PRC'</f>
        <v>16.7</v>
      </c>
      <c r="Q73" s="2">
        <f xml:space="preserve"> [3]!'TSE,00683L,HIGH_1'</f>
        <v>16.7</v>
      </c>
      <c r="R73" s="2">
        <f xml:space="preserve"> [3]!'TSE,00683L,LOW_1'</f>
        <v>16.62</v>
      </c>
      <c r="S73" s="2">
        <f xml:space="preserve"> [3]!'TSE,00683L,TRDPRC_1'</f>
        <v>16.7</v>
      </c>
      <c r="T73" s="2">
        <f xml:space="preserve"> [3]!'TSE,00683L,BID'</f>
        <v>16.690000000000001</v>
      </c>
      <c r="U73" s="2">
        <f xml:space="preserve"> [3]!'TSE,00683L,ASK'</f>
        <v>16.7</v>
      </c>
      <c r="V73" s="2">
        <f t="shared" si="3"/>
        <v>16.7</v>
      </c>
    </row>
    <row r="74" spans="1:22">
      <c r="A74" s="3" t="s">
        <v>86</v>
      </c>
      <c r="B74" s="2" t="s">
        <v>2628</v>
      </c>
      <c r="C74" s="2">
        <v>19.2</v>
      </c>
      <c r="E74" s="7" t="s">
        <v>1115</v>
      </c>
      <c r="F74" s="7" t="s">
        <v>1116</v>
      </c>
      <c r="G74" s="8">
        <f xml:space="preserve"> RTD("kgi.tw.der.pricertdserver.2014.1",,$A74 &amp; "_" &amp; $G$5 &amp; ":" &amp; $E74 &amp; "@" &amp; $F74)</f>
        <v>19.261710954446855</v>
      </c>
      <c r="H74" s="19">
        <f xml:space="preserve"> RTD("kgi.tw.der.pricertdserver.2014.1",,A74 &amp;":"&amp; E74 &amp;"@" &amp; F74)</f>
        <v>19.304951780819074</v>
      </c>
      <c r="I74" s="8">
        <f xml:space="preserve"> RTD("kgi.tw.der.pricertdserver.2014.1",,$A74 &amp; "_" &amp; $I$4 &amp; ":" &amp; $E74 &amp; "@" &amp; $F74)</f>
        <v>19.304951780819074</v>
      </c>
      <c r="J74" s="8">
        <f xml:space="preserve"> RTD("kgi.tw.der.pricertdserver.2014.1",,$A74 &amp; "_" &amp; $J$4 &amp; ":" &amp; $E74 &amp; "@" &amp; $F74)</f>
        <v>19.307075999908012</v>
      </c>
      <c r="K74" s="7" t="str">
        <f>RTD("kgi.tw.der.pricertdserver.2014.1",,A74 &amp; "_Time" &amp; ":" &amp; E74 &amp; "@" &amp; F74)</f>
        <v>20210514_151459148</v>
      </c>
      <c r="L74" s="45">
        <f t="shared" si="2"/>
        <v>19.304951780819074</v>
      </c>
      <c r="M74" s="43">
        <f>VLOOKUP($A74,XQKGIAP!$A:$I,9,FALSE)</f>
        <v>19.309999999999999</v>
      </c>
      <c r="N74" s="43">
        <f xml:space="preserve"> [3]!'TSE,00684R,ADJUST_CLS'</f>
        <v>19.190000000000001</v>
      </c>
      <c r="O74" s="2">
        <f xml:space="preserve"> [3]!'TSE,00684R,HST_CLOSE'</f>
        <v>0</v>
      </c>
      <c r="P74" s="2">
        <f xml:space="preserve"> [3]!'TSE,00684R,OPEN_PRC'</f>
        <v>0</v>
      </c>
      <c r="Q74" s="2">
        <f xml:space="preserve"> [3]!'TSE,00684R,HIGH_1'</f>
        <v>0</v>
      </c>
      <c r="R74" s="2">
        <f xml:space="preserve"> [3]!'TSE,00684R,LOW_1'</f>
        <v>0</v>
      </c>
      <c r="S74" s="2">
        <f xml:space="preserve"> [3]!'TSE,00684R,TRDPRC_1'</f>
        <v>0</v>
      </c>
      <c r="T74" s="2">
        <f xml:space="preserve"> [3]!'TSE,00684R,BID'</f>
        <v>19.2</v>
      </c>
      <c r="U74" s="2">
        <f xml:space="preserve"> [3]!'TSE,00684R,ASK'</f>
        <v>19.260000000000002</v>
      </c>
      <c r="V74" s="2">
        <f t="shared" si="3"/>
        <v>19.190000000000001</v>
      </c>
    </row>
    <row r="75" spans="1:22">
      <c r="A75" s="3" t="s">
        <v>87</v>
      </c>
      <c r="B75" s="2" t="s">
        <v>1518</v>
      </c>
      <c r="C75" s="2">
        <v>35.200000000000003</v>
      </c>
      <c r="E75" s="7" t="s">
        <v>1115</v>
      </c>
      <c r="F75" s="7" t="s">
        <v>1116</v>
      </c>
      <c r="G75" s="8">
        <f xml:space="preserve"> RTD("kgi.tw.der.pricertdserver.2014.1",,$A75 &amp; "_" &amp; $G$5 &amp; ":" &amp; $E75 &amp; "@" &amp; $F75)</f>
        <v>34.606255564715582</v>
      </c>
      <c r="H75" s="19">
        <f xml:space="preserve"> RTD("kgi.tw.der.pricertdserver.2014.1",,A75 &amp;":"&amp; E75 &amp;"@" &amp; F75)</f>
        <v>35.282924979389939</v>
      </c>
      <c r="I75" s="8">
        <f xml:space="preserve"> RTD("kgi.tw.der.pricertdserver.2014.1",,$A75 &amp; "_" &amp; $I$4 &amp; ":" &amp; $E75 &amp; "@" &amp; $F75)</f>
        <v>35.278473206924978</v>
      </c>
      <c r="J75" s="8">
        <f xml:space="preserve"> RTD("kgi.tw.der.pricertdserver.2014.1",,$A75 &amp; "_" &amp; $J$4 &amp; ":" &amp; $E75 &amp; "@" &amp; $F75)</f>
        <v>35.287376751854907</v>
      </c>
      <c r="K75" s="7" t="str">
        <f>RTD("kgi.tw.der.pricertdserver.2014.1",,A75 &amp; "_Time" &amp; ":" &amp; E75 &amp; "@" &amp; F75)</f>
        <v>20210514_151459304</v>
      </c>
      <c r="L75" s="45">
        <f t="shared" si="2"/>
        <v>35.282924979389939</v>
      </c>
      <c r="M75" s="43">
        <f>VLOOKUP($A75,XQKGIAP!$A:$I,9,FALSE)</f>
        <v>35.47</v>
      </c>
      <c r="N75" s="43">
        <f xml:space="preserve"> [3]!'TSE,00685L,ADJUST_CLS'</f>
        <v>34.61</v>
      </c>
      <c r="O75" s="2">
        <f xml:space="preserve"> [3]!'TSE,00685L,HST_CLOSE'</f>
        <v>0</v>
      </c>
      <c r="P75" s="2">
        <f xml:space="preserve"> [3]!'TSE,00685L,OPEN_PRC'</f>
        <v>35.68</v>
      </c>
      <c r="Q75" s="2">
        <f xml:space="preserve"> [3]!'TSE,00685L,HIGH_1'</f>
        <v>36.28</v>
      </c>
      <c r="R75" s="2">
        <f xml:space="preserve"> [3]!'TSE,00685L,LOW_1'</f>
        <v>35</v>
      </c>
      <c r="S75" s="2">
        <f xml:space="preserve"> [3]!'TSE,00685L,TRDPRC_1'</f>
        <v>35.200000000000003</v>
      </c>
      <c r="T75" s="2">
        <f xml:space="preserve"> [3]!'TSE,00685L,BID'</f>
        <v>35.28</v>
      </c>
      <c r="U75" s="2">
        <f xml:space="preserve"> [3]!'TSE,00685L,ASK'</f>
        <v>35.44</v>
      </c>
      <c r="V75" s="2">
        <f t="shared" si="3"/>
        <v>35.200000000000003</v>
      </c>
    </row>
    <row r="76" spans="1:22">
      <c r="A76" s="3" t="s">
        <v>88</v>
      </c>
      <c r="B76" s="2" t="s">
        <v>1519</v>
      </c>
      <c r="C76" s="2">
        <v>4.25</v>
      </c>
      <c r="E76" s="7" t="s">
        <v>1115</v>
      </c>
      <c r="F76" s="7" t="s">
        <v>1116</v>
      </c>
      <c r="G76" s="8">
        <f xml:space="preserve"> RTD("kgi.tw.der.pricertdserver.2014.1",,$A76 &amp; "_" &amp; $G$5 &amp; ":" &amp; $E76 &amp; "@" &amp; $F76)</f>
        <v>4.3047294666829394</v>
      </c>
      <c r="H76" s="19">
        <f xml:space="preserve"> RTD("kgi.tw.der.pricertdserver.2014.1",,A76 &amp;":"&amp; E76 &amp;"@" &amp; F76)</f>
        <v>4.2639191176470588</v>
      </c>
      <c r="I76" s="8">
        <f xml:space="preserve"> RTD("kgi.tw.der.pricertdserver.2014.1",,$A76 &amp; "_" &amp; $I$4 &amp; ":" &amp; $E76 &amp; "@" &amp; $F76)</f>
        <v>4.2636506285086648</v>
      </c>
      <c r="J76" s="8">
        <f xml:space="preserve"> RTD("kgi.tw.der.pricertdserver.2014.1",,$A76 &amp; "_" &amp; $J$4 &amp; ":" &amp; $E76 &amp; "@" &amp; $F76)</f>
        <v>4.2641876067854527</v>
      </c>
      <c r="K76" s="7" t="str">
        <f>RTD("kgi.tw.der.pricertdserver.2014.1",,A76 &amp; "_Time" &amp; ":" &amp; E76 &amp; "@" &amp; F76)</f>
        <v>20210514_151459304</v>
      </c>
      <c r="L76" s="45">
        <f t="shared" si="2"/>
        <v>4.2639191176470588</v>
      </c>
      <c r="M76" s="43">
        <f>VLOOKUP($A76,XQKGIAP!$A:$I,9,FALSE)</f>
        <v>4.25</v>
      </c>
      <c r="N76" s="43">
        <f xml:space="preserve"> [3]!'TSE,00686R,ADJUST_CLS'</f>
        <v>4.3</v>
      </c>
      <c r="O76" s="2">
        <f xml:space="preserve"> [3]!'TSE,00686R,HST_CLOSE'</f>
        <v>0</v>
      </c>
      <c r="P76" s="2">
        <f xml:space="preserve"> [3]!'TSE,00686R,OPEN_PRC'</f>
        <v>4.2300000000000004</v>
      </c>
      <c r="Q76" s="2">
        <f xml:space="preserve"> [3]!'TSE,00686R,HIGH_1'</f>
        <v>4.2699999999999996</v>
      </c>
      <c r="R76" s="2">
        <f xml:space="preserve"> [3]!'TSE,00686R,LOW_1'</f>
        <v>4.1900000000000004</v>
      </c>
      <c r="S76" s="2">
        <f xml:space="preserve"> [3]!'TSE,00686R,TRDPRC_1'</f>
        <v>4.25</v>
      </c>
      <c r="T76" s="2">
        <f xml:space="preserve"> [3]!'TSE,00686R,BID'</f>
        <v>4.24</v>
      </c>
      <c r="U76" s="2">
        <f xml:space="preserve"> [3]!'TSE,00686R,ASK'</f>
        <v>4.25</v>
      </c>
      <c r="V76" s="2">
        <f t="shared" si="3"/>
        <v>4.25</v>
      </c>
    </row>
    <row r="77" spans="1:22">
      <c r="A77" s="3" t="s">
        <v>89</v>
      </c>
      <c r="B77" s="2" t="s">
        <v>1520</v>
      </c>
      <c r="C77" s="2">
        <v>40.520000000000003</v>
      </c>
      <c r="E77" s="7" t="s">
        <v>1115</v>
      </c>
      <c r="F77" s="7" t="s">
        <v>1116</v>
      </c>
      <c r="G77" s="8">
        <f xml:space="preserve"> RTD("kgi.tw.der.pricertdserver.2014.1",,$A77 &amp; "_" &amp; $G$5 &amp; ":" &amp; $E77 &amp; "@" &amp; $F77)</f>
        <v>40.427300000000002</v>
      </c>
      <c r="H77" s="19">
        <f xml:space="preserve"> RTD("kgi.tw.der.pricertdserver.2014.1",,A77 &amp;":"&amp; E77 &amp;"@" &amp; F77)</f>
        <v>40.441699999999997</v>
      </c>
      <c r="I77" s="8">
        <f xml:space="preserve"> RTD("kgi.tw.der.pricertdserver.2014.1",,$A77 &amp; "_" &amp; $I$4 &amp; ":" &amp; $E77 &amp; "@" &amp; $F77)</f>
        <v>-7.9228162514264338E+28</v>
      </c>
      <c r="J77" s="8">
        <f xml:space="preserve"> RTD("kgi.tw.der.pricertdserver.2014.1",,$A77 &amp; "_" &amp; $J$4 &amp; ":" &amp; $E77 &amp; "@" &amp; $F77)</f>
        <v>-7.9228162514264338E+28</v>
      </c>
      <c r="K77" s="7" t="str">
        <f>RTD("kgi.tw.der.pricertdserver.2014.1",,A77 &amp; "_Time" &amp; ":" &amp; E77 &amp; "@" &amp; F77)</f>
        <v>20210514_132943000</v>
      </c>
      <c r="L77" s="45">
        <f t="shared" si="2"/>
        <v>40.441699999999997</v>
      </c>
      <c r="M77" s="43">
        <f>VLOOKUP($A77,XQKGIAP!$A:$I,9,FALSE)</f>
        <v>40.450000000000003</v>
      </c>
      <c r="N77" s="43">
        <f xml:space="preserve"> [3]!'TSE,00687B,ADJUST_CLS'</f>
        <v>40.49</v>
      </c>
      <c r="O77" s="2">
        <f xml:space="preserve"> [3]!'TSE,00687B,HST_CLOSE'</f>
        <v>0</v>
      </c>
      <c r="P77" s="2">
        <f xml:space="preserve"> [3]!'TSE,00687B,OPEN_PRC'</f>
        <v>40.49</v>
      </c>
      <c r="Q77" s="2">
        <f xml:space="preserve"> [3]!'TSE,00687B,HIGH_1'</f>
        <v>40.520000000000003</v>
      </c>
      <c r="R77" s="2">
        <f xml:space="preserve"> [3]!'TSE,00687B,LOW_1'</f>
        <v>40.46</v>
      </c>
      <c r="S77" s="2">
        <f xml:space="preserve"> [3]!'TSE,00687B,TRDPRC_1'</f>
        <v>40.520000000000003</v>
      </c>
      <c r="T77" s="2">
        <f xml:space="preserve"> [3]!'TSE,00687B,BID'</f>
        <v>40.520000000000003</v>
      </c>
      <c r="U77" s="2">
        <f xml:space="preserve"> [3]!'TSE,00687B,ASK'</f>
        <v>40.56</v>
      </c>
      <c r="V77" s="2">
        <f t="shared" si="3"/>
        <v>40.520000000000003</v>
      </c>
    </row>
    <row r="78" spans="1:22">
      <c r="A78" s="3" t="s">
        <v>90</v>
      </c>
      <c r="B78" s="2" t="s">
        <v>1521</v>
      </c>
      <c r="C78" s="2">
        <v>21.55</v>
      </c>
      <c r="E78" s="7" t="s">
        <v>1115</v>
      </c>
      <c r="F78" s="7" t="s">
        <v>1116</v>
      </c>
      <c r="G78" s="8">
        <f xml:space="preserve"> RTD("kgi.tw.der.pricertdserver.2014.1",,$A78 &amp; "_" &amp; $G$5 &amp; ":" &amp; $E78 &amp; "@" &amp; $F78)</f>
        <v>21.506845643153529</v>
      </c>
      <c r="H78" s="19">
        <f xml:space="preserve"> RTD("kgi.tw.der.pricertdserver.2014.1",,A78 &amp;":"&amp; E78 &amp;"@" &amp; F78)</f>
        <v>21.49464427140142</v>
      </c>
      <c r="I78" s="8">
        <f xml:space="preserve"> RTD("kgi.tw.der.pricertdserver.2014.1",,$A78 &amp; "_" &amp; $I$4 &amp; ":" &amp; $E78 &amp; "@" &amp; $F78)</f>
        <v>21.487146441180119</v>
      </c>
      <c r="J78" s="8">
        <f xml:space="preserve"> RTD("kgi.tw.der.pricertdserver.2014.1",,$A78 &amp; "_" &amp; $J$4 &amp; ":" &amp; $E78 &amp; "@" &amp; $F78)</f>
        <v>21.49464427140142</v>
      </c>
      <c r="K78" s="7" t="str">
        <f>RTD("kgi.tw.der.pricertdserver.2014.1",,A78 &amp; "_Time" &amp; ":" &amp; E78 &amp; "@" &amp; F78)</f>
        <v>20210514_151459648</v>
      </c>
      <c r="L78" s="45">
        <f t="shared" si="2"/>
        <v>21.49464427140142</v>
      </c>
      <c r="M78" s="43">
        <f>VLOOKUP($A78,XQKGIAP!$A:$I,9,FALSE)</f>
        <v>21.49</v>
      </c>
      <c r="N78" s="43">
        <f xml:space="preserve"> [3]!'TSE,00688L,ADJUST_CLS'</f>
        <v>21.44</v>
      </c>
      <c r="O78" s="2">
        <f xml:space="preserve"> [3]!'TSE,00688L,HST_CLOSE'</f>
        <v>0</v>
      </c>
      <c r="P78" s="2">
        <f xml:space="preserve"> [3]!'TSE,00688L,OPEN_PRC'</f>
        <v>21.39</v>
      </c>
      <c r="Q78" s="2">
        <f xml:space="preserve"> [3]!'TSE,00688L,HIGH_1'</f>
        <v>21.57</v>
      </c>
      <c r="R78" s="2">
        <f xml:space="preserve"> [3]!'TSE,00688L,LOW_1'</f>
        <v>21.39</v>
      </c>
      <c r="S78" s="2">
        <f xml:space="preserve"> [3]!'TSE,00688L,TRDPRC_1'</f>
        <v>21.55</v>
      </c>
      <c r="T78" s="2">
        <f xml:space="preserve"> [3]!'TSE,00688L,BID'</f>
        <v>21.51</v>
      </c>
      <c r="U78" s="2">
        <f xml:space="preserve"> [3]!'TSE,00688L,ASK'</f>
        <v>21.55</v>
      </c>
      <c r="V78" s="2">
        <f t="shared" si="3"/>
        <v>21.55</v>
      </c>
    </row>
    <row r="79" spans="1:22">
      <c r="A79" s="3" t="s">
        <v>91</v>
      </c>
      <c r="B79" s="2" t="s">
        <v>1522</v>
      </c>
      <c r="C79" s="2">
        <v>15.29</v>
      </c>
      <c r="E79" s="7" t="s">
        <v>1115</v>
      </c>
      <c r="F79" s="7" t="s">
        <v>1116</v>
      </c>
      <c r="G79" s="8">
        <f xml:space="preserve"> RTD("kgi.tw.der.pricertdserver.2014.1",,$A79 &amp; "_" &amp; $G$5 &amp; ":" &amp; $E79 &amp; "@" &amp; $F79)</f>
        <v>15.29631489744307</v>
      </c>
      <c r="H79" s="19">
        <f xml:space="preserve"> RTD("kgi.tw.der.pricertdserver.2014.1",,A79 &amp;":"&amp; E79 &amp;"@" &amp; F79)</f>
        <v>15.297998663031411</v>
      </c>
      <c r="I79" s="8">
        <f xml:space="preserve"> RTD("kgi.tw.der.pricertdserver.2014.1",,$A79 &amp; "_" &amp; $I$4 &amp; ":" &amp; $E79 &amp; "@" &amp; $F79)</f>
        <v>15.297998663031411</v>
      </c>
      <c r="J79" s="8">
        <f xml:space="preserve"> RTD("kgi.tw.der.pricertdserver.2014.1",,$A79 &amp; "_" &amp; $J$4 &amp; ":" &amp; $E79 &amp; "@" &amp; $F79)</f>
        <v>15.300673335040699</v>
      </c>
      <c r="K79" s="7" t="str">
        <f>RTD("kgi.tw.der.pricertdserver.2014.1",,A79 &amp; "_Time" &amp; ":" &amp; E79 &amp; "@" &amp; F79)</f>
        <v>20210514_151459648</v>
      </c>
      <c r="L79" s="45">
        <f t="shared" si="2"/>
        <v>15.297998663031411</v>
      </c>
      <c r="M79" s="43">
        <f>VLOOKUP($A79,XQKGIAP!$A:$I,9,FALSE)</f>
        <v>15.29</v>
      </c>
      <c r="N79" s="43">
        <f xml:space="preserve"> [3]!'TSE,00689R,ADJUST_CLS'</f>
        <v>15.32</v>
      </c>
      <c r="O79" s="2">
        <f xml:space="preserve"> [3]!'TSE,00689R,HST_CLOSE'</f>
        <v>0</v>
      </c>
      <c r="P79" s="2">
        <f xml:space="preserve"> [3]!'TSE,00689R,OPEN_PRC'</f>
        <v>15.31</v>
      </c>
      <c r="Q79" s="2">
        <f xml:space="preserve"> [3]!'TSE,00689R,HIGH_1'</f>
        <v>15.31</v>
      </c>
      <c r="R79" s="2">
        <f xml:space="preserve"> [3]!'TSE,00689R,LOW_1'</f>
        <v>15.29</v>
      </c>
      <c r="S79" s="2">
        <f xml:space="preserve"> [3]!'TSE,00689R,TRDPRC_1'</f>
        <v>15.29</v>
      </c>
      <c r="T79" s="2">
        <f xml:space="preserve"> [3]!'TSE,00689R,BID'</f>
        <v>15.28</v>
      </c>
      <c r="U79" s="2">
        <f xml:space="preserve"> [3]!'TSE,00689R,ASK'</f>
        <v>15.31</v>
      </c>
      <c r="V79" s="2">
        <f t="shared" si="3"/>
        <v>15.29</v>
      </c>
    </row>
    <row r="80" spans="1:22">
      <c r="A80" s="3" t="s">
        <v>92</v>
      </c>
      <c r="B80" s="2" t="s">
        <v>1523</v>
      </c>
      <c r="C80" s="2">
        <v>30.6</v>
      </c>
      <c r="E80" s="7" t="s">
        <v>1115</v>
      </c>
      <c r="F80" s="7" t="s">
        <v>1116</v>
      </c>
      <c r="G80" s="8">
        <f xml:space="preserve"> RTD("kgi.tw.der.pricertdserver.2014.1",,$A80 &amp; "_" &amp; $G$5 &amp; ":" &amp; $E80 &amp; "@" &amp; $F80)</f>
        <v>30.144355231143553</v>
      </c>
      <c r="H80" s="19">
        <f xml:space="preserve"> RTD("kgi.tw.der.pricertdserver.2014.1",,A80 &amp;":"&amp; E80 &amp;"@" &amp; F80)</f>
        <v>30.665749549878345</v>
      </c>
      <c r="I80" s="8">
        <f xml:space="preserve"> RTD("kgi.tw.der.pricertdserver.2014.1",,$A80 &amp; "_" &amp; $I$4 &amp; ":" &amp; $E80 &amp; "@" &amp; $F80)</f>
        <v>30.622129967558799</v>
      </c>
      <c r="J80" s="8">
        <f xml:space="preserve"> RTD("kgi.tw.der.pricertdserver.2014.1",,$A80 &amp; "_" &amp; $J$4 &amp; ":" &amp; $E80 &amp; "@" &amp; $F80)</f>
        <v>30.682853519870232</v>
      </c>
      <c r="K80" s="7" t="str">
        <f>RTD("kgi.tw.der.pricertdserver.2014.1",,A80 &amp; "_Time" &amp; ":" &amp; E80 &amp; "@" &amp; F80)</f>
        <v>20210514_151458742</v>
      </c>
      <c r="L80" s="45">
        <f t="shared" si="2"/>
        <v>30.665749549878345</v>
      </c>
      <c r="M80" s="43">
        <f>VLOOKUP($A80,XQKGIAP!$A:$I,9,FALSE)</f>
        <v>30.67</v>
      </c>
      <c r="N80" s="43">
        <f xml:space="preserve"> [3]!'TSE,00690,ADJUST_CLS'</f>
        <v>30.2</v>
      </c>
      <c r="O80" s="2">
        <f xml:space="preserve"> [3]!'TSE,00690,HST_CLOSE'</f>
        <v>0</v>
      </c>
      <c r="P80" s="2">
        <f xml:space="preserve"> [3]!'TSE,00690,OPEN_PRC'</f>
        <v>30.52</v>
      </c>
      <c r="Q80" s="2">
        <f xml:space="preserve"> [3]!'TSE,00690,HIGH_1'</f>
        <v>30.84</v>
      </c>
      <c r="R80" s="2">
        <f xml:space="preserve"> [3]!'TSE,00690,LOW_1'</f>
        <v>30.47</v>
      </c>
      <c r="S80" s="2">
        <f xml:space="preserve"> [3]!'TSE,00690,TRDPRC_1'</f>
        <v>30.6</v>
      </c>
      <c r="T80" s="2">
        <f xml:space="preserve"> [3]!'TSE,00690,BID'</f>
        <v>30.6</v>
      </c>
      <c r="U80" s="2">
        <f xml:space="preserve"> [3]!'TSE,00690,ASK'</f>
        <v>30.66</v>
      </c>
      <c r="V80" s="2">
        <f t="shared" si="3"/>
        <v>30.6</v>
      </c>
    </row>
    <row r="81" spans="1:22">
      <c r="A81" s="3" t="s">
        <v>94</v>
      </c>
      <c r="B81" s="2" t="s">
        <v>1524</v>
      </c>
      <c r="C81" s="2">
        <v>33.119999999999997</v>
      </c>
      <c r="E81" s="7" t="s">
        <v>1115</v>
      </c>
      <c r="F81" s="7" t="s">
        <v>1116</v>
      </c>
      <c r="G81" s="8">
        <f xml:space="preserve"> RTD("kgi.tw.der.pricertdserver.2014.1",,$A81 &amp; "_" &amp; $G$5 &amp; ":" &amp; $E81 &amp; "@" &amp; $F81)</f>
        <v>32.547462328000528</v>
      </c>
      <c r="H81" s="19">
        <f xml:space="preserve"> RTD("kgi.tw.der.pricertdserver.2014.1",,A81 &amp;":"&amp; E81 &amp;"@" &amp; F81)</f>
        <v>32.977377630291656</v>
      </c>
      <c r="I81" s="8">
        <f xml:space="preserve"> RTD("kgi.tw.der.pricertdserver.2014.1",,$A81 &amp; "_" &amp; $I$4 &amp; ":" &amp; $E81 &amp; "@" &amp; $F81)</f>
        <v>32.922780451840147</v>
      </c>
      <c r="J81" s="8">
        <f xml:space="preserve"> RTD("kgi.tw.der.pricertdserver.2014.1",,$A81 &amp; "_" &amp; $J$4 &amp; ":" &amp; $E81 &amp; "@" &amp; $F81)</f>
        <v>32.988085123049572</v>
      </c>
      <c r="K81" s="7" t="str">
        <f>RTD("kgi.tw.der.pricertdserver.2014.1",,A81 &amp; "_Time" &amp; ":" &amp; E81 &amp; "@" &amp; F81)</f>
        <v>20210514_151459304</v>
      </c>
      <c r="L81" s="45">
        <f t="shared" si="2"/>
        <v>32.977377630291656</v>
      </c>
      <c r="M81" s="43">
        <f>VLOOKUP($A81,XQKGIAP!$A:$I,9,FALSE)</f>
        <v>32.979999999999997</v>
      </c>
      <c r="N81" s="43">
        <f xml:space="preserve"> [3]!'TSE,00692,ADJUST_CLS'</f>
        <v>32.75</v>
      </c>
      <c r="O81" s="2">
        <f xml:space="preserve"> [3]!'TSE,00692,HST_CLOSE'</f>
        <v>0</v>
      </c>
      <c r="P81" s="2">
        <f xml:space="preserve"> [3]!'TSE,00692,OPEN_PRC'</f>
        <v>32.81</v>
      </c>
      <c r="Q81" s="2">
        <f xml:space="preserve"> [3]!'TSE,00692,HIGH_1'</f>
        <v>33.369999999999997</v>
      </c>
      <c r="R81" s="2">
        <f xml:space="preserve"> [3]!'TSE,00692,LOW_1'</f>
        <v>32.81</v>
      </c>
      <c r="S81" s="2">
        <f xml:space="preserve"> [3]!'TSE,00692,TRDPRC_1'</f>
        <v>33.119999999999997</v>
      </c>
      <c r="T81" s="2">
        <f xml:space="preserve"> [3]!'TSE,00692,BID'</f>
        <v>33.11</v>
      </c>
      <c r="U81" s="2">
        <f xml:space="preserve"> [3]!'TSE,00692,ASK'</f>
        <v>33.119999999999997</v>
      </c>
      <c r="V81" s="2">
        <f t="shared" si="3"/>
        <v>33.119999999999997</v>
      </c>
    </row>
    <row r="82" spans="1:22">
      <c r="A82" s="3" t="s">
        <v>95</v>
      </c>
      <c r="B82" s="2" t="s">
        <v>2506</v>
      </c>
      <c r="C82" s="2">
        <v>24.18</v>
      </c>
      <c r="E82" s="7" t="s">
        <v>1115</v>
      </c>
      <c r="F82" s="7" t="s">
        <v>1116</v>
      </c>
      <c r="G82" s="8">
        <f xml:space="preserve"> RTD("kgi.tw.der.pricertdserver.2014.1",,$A82 &amp; "_" &amp; $G$5 &amp; ":" &amp; $E82 &amp; "@" &amp; $F82)</f>
        <v>24.116372593323966</v>
      </c>
      <c r="H82" s="19">
        <f xml:space="preserve"> RTD("kgi.tw.der.pricertdserver.2014.1",,A82 &amp;":"&amp; E82 &amp;"@" &amp; F82)</f>
        <v>24.319134515733737</v>
      </c>
      <c r="I82" s="8">
        <f xml:space="preserve"> RTD("kgi.tw.der.pricertdserver.2014.1",,$A82 &amp; "_" &amp; $I$4 &amp; ":" &amp; $E82 &amp; "@" &amp; $F82)</f>
        <v>24.315322771439504</v>
      </c>
      <c r="J82" s="8">
        <f xml:space="preserve"> RTD("kgi.tw.der.pricertdserver.2014.1",,$A82 &amp; "_" &amp; $J$4 &amp; ":" &amp; $E82 &amp; "@" &amp; $F82)</f>
        <v>24.322946260027965</v>
      </c>
      <c r="K82" s="7" t="str">
        <f>RTD("kgi.tw.der.pricertdserver.2014.1",,A82 &amp; "_Time" &amp; ":" &amp; E82 &amp; "@" &amp; F82)</f>
        <v>20210514_151451319</v>
      </c>
      <c r="L82" s="45">
        <f t="shared" si="2"/>
        <v>24.319134515733737</v>
      </c>
      <c r="M82" s="43">
        <f>VLOOKUP($A82,XQKGIAP!$A:$I,9,FALSE)</f>
        <v>24.33</v>
      </c>
      <c r="N82" s="43">
        <f xml:space="preserve"> [3]!'TSE,00693U,ADJUST_CLS'</f>
        <v>24.64</v>
      </c>
      <c r="O82" s="2">
        <f xml:space="preserve"> [3]!'TSE,00693U,HST_CLOSE'</f>
        <v>0</v>
      </c>
      <c r="P82" s="2">
        <f xml:space="preserve"> [3]!'TSE,00693U,OPEN_PRC'</f>
        <v>24.07</v>
      </c>
      <c r="Q82" s="2">
        <f xml:space="preserve"> [3]!'TSE,00693U,HIGH_1'</f>
        <v>24.28</v>
      </c>
      <c r="R82" s="2">
        <f xml:space="preserve"> [3]!'TSE,00693U,LOW_1'</f>
        <v>24.07</v>
      </c>
      <c r="S82" s="2">
        <f xml:space="preserve"> [3]!'TSE,00693U,TRDPRC_1'</f>
        <v>24.18</v>
      </c>
      <c r="T82" s="2">
        <f xml:space="preserve"> [3]!'TSE,00693U,BID'</f>
        <v>24.18</v>
      </c>
      <c r="U82" s="2">
        <f xml:space="preserve"> [3]!'TSE,00693U,ASK'</f>
        <v>24.19</v>
      </c>
      <c r="V82" s="2">
        <f t="shared" si="3"/>
        <v>24.18</v>
      </c>
    </row>
    <row r="83" spans="1:22">
      <c r="A83" s="3" t="s">
        <v>96</v>
      </c>
      <c r="B83" s="2" t="s">
        <v>1525</v>
      </c>
      <c r="C83" s="2">
        <v>37.4</v>
      </c>
      <c r="E83" s="7" t="s">
        <v>1115</v>
      </c>
      <c r="F83" s="7" t="s">
        <v>1116</v>
      </c>
      <c r="G83" s="8">
        <f xml:space="preserve"> RTD("kgi.tw.der.pricertdserver.2014.1",,$A83 &amp; "_" &amp; $G$5 &amp; ":" &amp; $E83 &amp; "@" &amp; $F83)</f>
        <v>37.390700000000002</v>
      </c>
      <c r="H83" s="19">
        <f xml:space="preserve"> RTD("kgi.tw.der.pricertdserver.2014.1",,A83 &amp;":"&amp; E83 &amp;"@" &amp; F83)</f>
        <v>37.409500000000001</v>
      </c>
      <c r="I83" s="8">
        <f xml:space="preserve"> RTD("kgi.tw.der.pricertdserver.2014.1",,$A83 &amp; "_" &amp; $I$4 &amp; ":" &amp; $E83 &amp; "@" &amp; $F83)</f>
        <v>-7.9228162514264338E+28</v>
      </c>
      <c r="J83" s="8">
        <f xml:space="preserve"> RTD("kgi.tw.der.pricertdserver.2014.1",,$A83 &amp; "_" &amp; $J$4 &amp; ":" &amp; $E83 &amp; "@" &amp; $F83)</f>
        <v>-7.9228162514264338E+28</v>
      </c>
      <c r="K83" s="7" t="str">
        <f>RTD("kgi.tw.der.pricertdserver.2014.1",,A83 &amp; "_Time" &amp; ":" &amp; E83 &amp; "@" &amp; F83)</f>
        <v>20210514_132930000</v>
      </c>
      <c r="L83" s="45">
        <f t="shared" si="2"/>
        <v>37.409500000000001</v>
      </c>
      <c r="M83" s="43">
        <f>VLOOKUP($A83,XQKGIAP!$A:$I,9,FALSE)</f>
        <v>37.409999999999997</v>
      </c>
      <c r="N83" s="43">
        <f xml:space="preserve"> [3]!'TSE,00694B,ADJUST_CLS'</f>
        <v>37.44</v>
      </c>
      <c r="O83" s="2">
        <f xml:space="preserve"> [3]!'TSE,00694B,HST_CLOSE'</f>
        <v>0</v>
      </c>
      <c r="P83" s="2">
        <f xml:space="preserve"> [3]!'TSE,00694B,OPEN_PRC'</f>
        <v>37.36</v>
      </c>
      <c r="Q83" s="2">
        <f xml:space="preserve"> [3]!'TSE,00694B,HIGH_1'</f>
        <v>37.42</v>
      </c>
      <c r="R83" s="2">
        <f xml:space="preserve"> [3]!'TSE,00694B,LOW_1'</f>
        <v>37.36</v>
      </c>
      <c r="S83" s="2">
        <f xml:space="preserve"> [3]!'TSE,00694B,TRDPRC_1'</f>
        <v>37.4</v>
      </c>
      <c r="T83" s="2">
        <f xml:space="preserve"> [3]!'TSE,00694B,BID'</f>
        <v>37.4</v>
      </c>
      <c r="U83" s="2">
        <f xml:space="preserve"> [3]!'TSE,00694B,ASK'</f>
        <v>37.46</v>
      </c>
      <c r="V83" s="2">
        <f t="shared" si="3"/>
        <v>37.4</v>
      </c>
    </row>
    <row r="84" spans="1:22">
      <c r="A84" s="3" t="s">
        <v>97</v>
      </c>
      <c r="B84" s="2" t="s">
        <v>1526</v>
      </c>
      <c r="C84" s="2">
        <v>36.67</v>
      </c>
      <c r="E84" s="7" t="s">
        <v>1115</v>
      </c>
      <c r="F84" s="7" t="s">
        <v>1116</v>
      </c>
      <c r="G84" s="8">
        <f xml:space="preserve"> RTD("kgi.tw.der.pricertdserver.2014.1",,$A84 &amp; "_" &amp; $G$5 &amp; ":" &amp; $E84 &amp; "@" &amp; $F84)</f>
        <v>36.610500000000002</v>
      </c>
      <c r="H84" s="19">
        <f xml:space="preserve"> RTD("kgi.tw.der.pricertdserver.2014.1",,A84 &amp;":"&amp; E84 &amp;"@" &amp; F84)</f>
        <v>36.6708</v>
      </c>
      <c r="I84" s="8">
        <f xml:space="preserve"> RTD("kgi.tw.der.pricertdserver.2014.1",,$A84 &amp; "_" &amp; $I$4 &amp; ":" &amp; $E84 &amp; "@" &amp; $F84)</f>
        <v>-7.9228162514264338E+28</v>
      </c>
      <c r="J84" s="8">
        <f xml:space="preserve"> RTD("kgi.tw.der.pricertdserver.2014.1",,$A84 &amp; "_" &amp; $J$4 &amp; ":" &amp; $E84 &amp; "@" &amp; $F84)</f>
        <v>-7.9228162514264338E+28</v>
      </c>
      <c r="K84" s="7" t="str">
        <f>RTD("kgi.tw.der.pricertdserver.2014.1",,A84 &amp; "_Time" &amp; ":" &amp; E84 &amp; "@" &amp; F84)</f>
        <v>20210514_132930000</v>
      </c>
      <c r="L84" s="45">
        <f t="shared" si="2"/>
        <v>36.6708</v>
      </c>
      <c r="M84" s="43">
        <f>VLOOKUP($A84,XQKGIAP!$A:$I,9,FALSE)</f>
        <v>36.67</v>
      </c>
      <c r="N84" s="43">
        <f xml:space="preserve"> [3]!'TSE,00695B,ADJUST_CLS'</f>
        <v>36.65</v>
      </c>
      <c r="O84" s="2">
        <f xml:space="preserve"> [3]!'TSE,00695B,HST_CLOSE'</f>
        <v>0</v>
      </c>
      <c r="P84" s="2">
        <f xml:space="preserve"> [3]!'TSE,00695B,OPEN_PRC'</f>
        <v>36.68</v>
      </c>
      <c r="Q84" s="2">
        <f xml:space="preserve"> [3]!'TSE,00695B,HIGH_1'</f>
        <v>36.69</v>
      </c>
      <c r="R84" s="2">
        <f xml:space="preserve"> [3]!'TSE,00695B,LOW_1'</f>
        <v>36.67</v>
      </c>
      <c r="S84" s="2">
        <f xml:space="preserve"> [3]!'TSE,00695B,TRDPRC_1'</f>
        <v>36.67</v>
      </c>
      <c r="T84" s="2">
        <f xml:space="preserve"> [3]!'TSE,00695B,BID'</f>
        <v>36.67</v>
      </c>
      <c r="U84" s="2">
        <f xml:space="preserve"> [3]!'TSE,00695B,ASK'</f>
        <v>36.700000000000003</v>
      </c>
      <c r="V84" s="2">
        <f t="shared" si="3"/>
        <v>36.67</v>
      </c>
    </row>
    <row r="85" spans="1:22">
      <c r="A85" s="3" t="s">
        <v>98</v>
      </c>
      <c r="B85" s="2" t="s">
        <v>1527</v>
      </c>
      <c r="C85" s="2">
        <v>40.409999999999997</v>
      </c>
      <c r="E85" s="7" t="s">
        <v>1115</v>
      </c>
      <c r="F85" s="7" t="s">
        <v>1116</v>
      </c>
      <c r="G85" s="8">
        <f xml:space="preserve"> RTD("kgi.tw.der.pricertdserver.2014.1",,$A85 &amp; "_" &amp; $G$5 &amp; ":" &amp; $E85 &amp; "@" &amp; $F85)</f>
        <v>40.268799999999999</v>
      </c>
      <c r="H85" s="19">
        <f xml:space="preserve"> RTD("kgi.tw.der.pricertdserver.2014.1",,A85 &amp;":"&amp; E85 &amp;"@" &amp; F85)</f>
        <v>40.3125</v>
      </c>
      <c r="I85" s="8">
        <f xml:space="preserve"> RTD("kgi.tw.der.pricertdserver.2014.1",,$A85 &amp; "_" &amp; $I$4 &amp; ":" &amp; $E85 &amp; "@" &amp; $F85)</f>
        <v>-7.9228162514264338E+28</v>
      </c>
      <c r="J85" s="8">
        <f xml:space="preserve"> RTD("kgi.tw.der.pricertdserver.2014.1",,$A85 &amp; "_" &amp; $J$4 &amp; ":" &amp; $E85 &amp; "@" &amp; $F85)</f>
        <v>-7.9228162514264338E+28</v>
      </c>
      <c r="K85" s="7" t="str">
        <f>RTD("kgi.tw.der.pricertdserver.2014.1",,A85 &amp; "_Time" &amp; ":" &amp; E85 &amp; "@" &amp; F85)</f>
        <v>20210514_132930000</v>
      </c>
      <c r="L85" s="45">
        <f t="shared" si="2"/>
        <v>40.3125</v>
      </c>
      <c r="M85" s="43">
        <f>VLOOKUP($A85,XQKGIAP!$A:$I,9,FALSE)</f>
        <v>40.28</v>
      </c>
      <c r="N85" s="43">
        <f xml:space="preserve"> [3]!'TSE,00696B,ADJUST_CLS'</f>
        <v>40.32</v>
      </c>
      <c r="O85" s="2">
        <f xml:space="preserve"> [3]!'TSE,00696B,HST_CLOSE'</f>
        <v>0</v>
      </c>
      <c r="P85" s="2">
        <f xml:space="preserve"> [3]!'TSE,00696B,OPEN_PRC'</f>
        <v>40.28</v>
      </c>
      <c r="Q85" s="2">
        <f xml:space="preserve"> [3]!'TSE,00696B,HIGH_1'</f>
        <v>40.409999999999997</v>
      </c>
      <c r="R85" s="2">
        <f xml:space="preserve"> [3]!'TSE,00696B,LOW_1'</f>
        <v>40.28</v>
      </c>
      <c r="S85" s="2">
        <f xml:space="preserve"> [3]!'TSE,00696B,TRDPRC_1'</f>
        <v>40.409999999999997</v>
      </c>
      <c r="T85" s="2">
        <f xml:space="preserve"> [3]!'TSE,00696B,BID'</f>
        <v>40.39</v>
      </c>
      <c r="U85" s="2">
        <f xml:space="preserve"> [3]!'TSE,00696B,ASK'</f>
        <v>40.4</v>
      </c>
      <c r="V85" s="2">
        <f t="shared" si="3"/>
        <v>40.409999999999997</v>
      </c>
    </row>
    <row r="86" spans="1:22">
      <c r="A86" s="3" t="s">
        <v>99</v>
      </c>
      <c r="B86" s="2" t="s">
        <v>1528</v>
      </c>
      <c r="C86" s="2">
        <v>39.06</v>
      </c>
      <c r="E86" s="7" t="s">
        <v>1115</v>
      </c>
      <c r="F86" s="7" t="s">
        <v>1116</v>
      </c>
      <c r="G86" s="8">
        <f xml:space="preserve"> RTD("kgi.tw.der.pricertdserver.2014.1",,$A86 &amp; "_" &amp; $G$5 &amp; ":" &amp; $E86 &amp; "@" &amp; $F86)</f>
        <v>39.0077</v>
      </c>
      <c r="H86" s="19">
        <f xml:space="preserve"> RTD("kgi.tw.der.pricertdserver.2014.1",,A86 &amp;":"&amp; E86 &amp;"@" &amp; F86)</f>
        <v>39.055199999999999</v>
      </c>
      <c r="I86" s="8">
        <f xml:space="preserve"> RTD("kgi.tw.der.pricertdserver.2014.1",,$A86 &amp; "_" &amp; $I$4 &amp; ":" &amp; $E86 &amp; "@" &amp; $F86)</f>
        <v>-7.9228162514264338E+28</v>
      </c>
      <c r="J86" s="8">
        <f xml:space="preserve"> RTD("kgi.tw.der.pricertdserver.2014.1",,$A86 &amp; "_" &amp; $J$4 &amp; ":" &amp; $E86 &amp; "@" &amp; $F86)</f>
        <v>-7.9228162514264338E+28</v>
      </c>
      <c r="K86" s="7" t="str">
        <f>RTD("kgi.tw.der.pricertdserver.2014.1",,A86 &amp; "_Time" &amp; ":" &amp; E86 &amp; "@" &amp; F86)</f>
        <v>20210514_132945000</v>
      </c>
      <c r="L86" s="45">
        <f t="shared" si="2"/>
        <v>39.055199999999999</v>
      </c>
      <c r="M86" s="43">
        <f>VLOOKUP($A86,XQKGIAP!$A:$I,9,FALSE)</f>
        <v>39.090000000000003</v>
      </c>
      <c r="N86" s="43">
        <f xml:space="preserve"> [3]!'TSE,00697B,ADJUST_CLS'</f>
        <v>38.99</v>
      </c>
      <c r="O86" s="2">
        <f xml:space="preserve"> [3]!'TSE,00697B,HST_CLOSE'</f>
        <v>0</v>
      </c>
      <c r="P86" s="2">
        <f xml:space="preserve"> [3]!'TSE,00697B,OPEN_PRC'</f>
        <v>39.04</v>
      </c>
      <c r="Q86" s="2">
        <f xml:space="preserve"> [3]!'TSE,00697B,HIGH_1'</f>
        <v>39.090000000000003</v>
      </c>
      <c r="R86" s="2">
        <f xml:space="preserve"> [3]!'TSE,00697B,LOW_1'</f>
        <v>39.04</v>
      </c>
      <c r="S86" s="2">
        <f xml:space="preserve"> [3]!'TSE,00697B,TRDPRC_1'</f>
        <v>39.06</v>
      </c>
      <c r="T86" s="2">
        <f xml:space="preserve"> [3]!'TSE,00697B,BID'</f>
        <v>39.049999999999997</v>
      </c>
      <c r="U86" s="2">
        <f xml:space="preserve"> [3]!'TSE,00697B,ASK'</f>
        <v>39.1</v>
      </c>
      <c r="V86" s="2">
        <f t="shared" si="3"/>
        <v>39.06</v>
      </c>
    </row>
    <row r="87" spans="1:22">
      <c r="A87" s="3" t="s">
        <v>100</v>
      </c>
      <c r="B87" s="2" t="s">
        <v>1529</v>
      </c>
      <c r="C87" s="2">
        <v>18.36</v>
      </c>
      <c r="E87" s="7" t="s">
        <v>1115</v>
      </c>
      <c r="F87" s="7" t="s">
        <v>1116</v>
      </c>
      <c r="G87" s="8">
        <f xml:space="preserve"> RTD("kgi.tw.der.pricertdserver.2014.1",,$A87 &amp; "_" &amp; $G$5 &amp; ":" &amp; $E87 &amp; "@" &amp; $F87)</f>
        <v>18.399999999999999</v>
      </c>
      <c r="H87" s="19">
        <f xml:space="preserve"> RTD("kgi.tw.der.pricertdserver.2014.1",,A87 &amp;":"&amp; E87 &amp;"@" &amp; F87)</f>
        <v>18.48</v>
      </c>
      <c r="I87" s="8">
        <f xml:space="preserve"> RTD("kgi.tw.der.pricertdserver.2014.1",,$A87 &amp; "_" &amp; $I$4 &amp; ":" &amp; $E87 &amp; "@" &amp; $F87)</f>
        <v>-7.9228162514264338E+28</v>
      </c>
      <c r="J87" s="8">
        <f xml:space="preserve"> RTD("kgi.tw.der.pricertdserver.2014.1",,$A87 &amp; "_" &amp; $J$4 &amp; ":" &amp; $E87 &amp; "@" &amp; $F87)</f>
        <v>-7.9228162514264338E+28</v>
      </c>
      <c r="K87" s="7" t="str">
        <f>RTD("kgi.tw.der.pricertdserver.2014.1",,A87 &amp; "_Time" &amp; ":" &amp; E87 &amp; "@" &amp; F87)</f>
        <v>20210514_132930000</v>
      </c>
      <c r="L87" s="45">
        <f t="shared" si="2"/>
        <v>18.48</v>
      </c>
      <c r="M87" s="43">
        <f>VLOOKUP($A87,XQKGIAP!$A:$I,9,FALSE)</f>
        <v>18.54</v>
      </c>
      <c r="N87" s="43">
        <f xml:space="preserve"> [3]!'TSE,00700,ADJUST_CLS'</f>
        <v>18.45</v>
      </c>
      <c r="O87" s="2">
        <f xml:space="preserve"> [3]!'TSE,00700,HST_CLOSE'</f>
        <v>0</v>
      </c>
      <c r="P87" s="2">
        <f xml:space="preserve"> [3]!'TSE,00700,OPEN_PRC'</f>
        <v>18.399999999999999</v>
      </c>
      <c r="Q87" s="2">
        <f xml:space="preserve"> [3]!'TSE,00700,HIGH_1'</f>
        <v>18.41</v>
      </c>
      <c r="R87" s="2">
        <f xml:space="preserve"> [3]!'TSE,00700,LOW_1'</f>
        <v>18.32</v>
      </c>
      <c r="S87" s="2">
        <f xml:space="preserve"> [3]!'TSE,00700,TRDPRC_1'</f>
        <v>18.36</v>
      </c>
      <c r="T87" s="2">
        <f xml:space="preserve"> [3]!'TSE,00700,BID'</f>
        <v>18.32</v>
      </c>
      <c r="U87" s="2">
        <f xml:space="preserve"> [3]!'TSE,00700,ASK'</f>
        <v>18.399999999999999</v>
      </c>
      <c r="V87" s="2">
        <f t="shared" si="3"/>
        <v>18.36</v>
      </c>
    </row>
    <row r="88" spans="1:22">
      <c r="A88" s="3" t="s">
        <v>101</v>
      </c>
      <c r="B88" s="2" t="s">
        <v>1530</v>
      </c>
      <c r="C88" s="2">
        <v>23.37</v>
      </c>
      <c r="E88" s="7" t="s">
        <v>1115</v>
      </c>
      <c r="F88" s="7" t="s">
        <v>1116</v>
      </c>
      <c r="G88" s="8">
        <f xml:space="preserve"> RTD("kgi.tw.der.pricertdserver.2014.1",,$A88 &amp; "_" &amp; $G$5 &amp; ":" &amp; $E88 &amp; "@" &amp; $F88)</f>
        <v>23.23</v>
      </c>
      <c r="H88" s="19">
        <f xml:space="preserve"> RTD("kgi.tw.der.pricertdserver.2014.1",,A88 &amp;":"&amp; E88 &amp;"@" &amp; F88)</f>
        <v>23.49</v>
      </c>
      <c r="I88" s="8">
        <f xml:space="preserve"> RTD("kgi.tw.der.pricertdserver.2014.1",,$A88 &amp; "_" &amp; $I$4 &amp; ":" &amp; $E88 &amp; "@" &amp; $F88)</f>
        <v>-7.9228162514264338E+28</v>
      </c>
      <c r="J88" s="8">
        <f xml:space="preserve"> RTD("kgi.tw.der.pricertdserver.2014.1",,$A88 &amp; "_" &amp; $J$4 &amp; ":" &amp; $E88 &amp; "@" &amp; $F88)</f>
        <v>-7.9228162514264338E+28</v>
      </c>
      <c r="K88" s="7" t="str">
        <f>RTD("kgi.tw.der.pricertdserver.2014.1",,A88 &amp; "_Time" &amp; ":" &amp; E88 &amp; "@" &amp; F88)</f>
        <v>20210514_132943000</v>
      </c>
      <c r="L88" s="45">
        <f t="shared" si="2"/>
        <v>23.49</v>
      </c>
      <c r="M88" s="43">
        <f>VLOOKUP($A88,XQKGIAP!$A:$I,9,FALSE)</f>
        <v>23.52</v>
      </c>
      <c r="N88" s="43">
        <f xml:space="preserve"> [3]!'TSE,00701,ADJUST_CLS'</f>
        <v>23.2</v>
      </c>
      <c r="O88" s="2">
        <f xml:space="preserve"> [3]!'TSE,00701,HST_CLOSE'</f>
        <v>0</v>
      </c>
      <c r="P88" s="2">
        <f xml:space="preserve"> [3]!'TSE,00701,OPEN_PRC'</f>
        <v>23.4</v>
      </c>
      <c r="Q88" s="2">
        <f xml:space="preserve"> [3]!'TSE,00701,HIGH_1'</f>
        <v>23.52</v>
      </c>
      <c r="R88" s="2">
        <f xml:space="preserve"> [3]!'TSE,00701,LOW_1'</f>
        <v>23.2</v>
      </c>
      <c r="S88" s="2">
        <f xml:space="preserve"> [3]!'TSE,00701,TRDPRC_1'</f>
        <v>23.37</v>
      </c>
      <c r="T88" s="2">
        <f xml:space="preserve"> [3]!'TSE,00701,BID'</f>
        <v>23.37</v>
      </c>
      <c r="U88" s="2">
        <f xml:space="preserve"> [3]!'TSE,00701,ASK'</f>
        <v>23.38</v>
      </c>
      <c r="V88" s="2">
        <f t="shared" si="3"/>
        <v>23.37</v>
      </c>
    </row>
    <row r="89" spans="1:22">
      <c r="A89" s="3" t="s">
        <v>102</v>
      </c>
      <c r="B89" s="2" t="s">
        <v>1531</v>
      </c>
      <c r="C89" s="2">
        <v>20.9</v>
      </c>
      <c r="E89" s="7" t="s">
        <v>1115</v>
      </c>
      <c r="F89" s="7" t="s">
        <v>1116</v>
      </c>
      <c r="G89" s="8">
        <f xml:space="preserve"> RTD("kgi.tw.der.pricertdserver.2014.1",,$A89 &amp; "_" &amp; $G$5 &amp; ":" &amp; $E89 &amp; "@" &amp; $F89)</f>
        <v>20.87</v>
      </c>
      <c r="H89" s="19">
        <f xml:space="preserve"> RTD("kgi.tw.der.pricertdserver.2014.1",,A89 &amp;":"&amp; E89 &amp;"@" &amp; F89)</f>
        <v>20.85</v>
      </c>
      <c r="I89" s="8">
        <f xml:space="preserve"> RTD("kgi.tw.der.pricertdserver.2014.1",,$A89 &amp; "_" &amp; $I$4 &amp; ":" &amp; $E89 &amp; "@" &amp; $F89)</f>
        <v>-7.9228162514264338E+28</v>
      </c>
      <c r="J89" s="8">
        <f xml:space="preserve"> RTD("kgi.tw.der.pricertdserver.2014.1",,$A89 &amp; "_" &amp; $J$4 &amp; ":" &amp; $E89 &amp; "@" &amp; $F89)</f>
        <v>-7.9228162514264338E+28</v>
      </c>
      <c r="K89" s="7" t="str">
        <f>RTD("kgi.tw.der.pricertdserver.2014.1",,A89 &amp; "_Time" &amp; ":" &amp; E89 &amp; "@" &amp; F89)</f>
        <v>20210514_132943000</v>
      </c>
      <c r="L89" s="45">
        <f t="shared" si="2"/>
        <v>20.85</v>
      </c>
      <c r="M89" s="43">
        <f>VLOOKUP($A89,XQKGIAP!$A:$I,9,FALSE)</f>
        <v>20.87</v>
      </c>
      <c r="N89" s="43">
        <f xml:space="preserve"> [3]!'TSE,00702,ADJUST_CLS'</f>
        <v>20.54</v>
      </c>
      <c r="O89" s="2">
        <f xml:space="preserve"> [3]!'TSE,00702,HST_CLOSE'</f>
        <v>0</v>
      </c>
      <c r="P89" s="2">
        <f xml:space="preserve"> [3]!'TSE,00702,OPEN_PRC'</f>
        <v>20.88</v>
      </c>
      <c r="Q89" s="2">
        <f xml:space="preserve"> [3]!'TSE,00702,HIGH_1'</f>
        <v>20.9</v>
      </c>
      <c r="R89" s="2">
        <f xml:space="preserve"> [3]!'TSE,00702,LOW_1'</f>
        <v>20.86</v>
      </c>
      <c r="S89" s="2">
        <f xml:space="preserve"> [3]!'TSE,00702,TRDPRC_1'</f>
        <v>20.9</v>
      </c>
      <c r="T89" s="2">
        <f xml:space="preserve"> [3]!'TSE,00702,BID'</f>
        <v>20.88</v>
      </c>
      <c r="U89" s="2">
        <f xml:space="preserve"> [3]!'TSE,00702,ASK'</f>
        <v>20.9</v>
      </c>
      <c r="V89" s="2">
        <f t="shared" si="3"/>
        <v>20.9</v>
      </c>
    </row>
    <row r="90" spans="1:22">
      <c r="A90" s="3" t="s">
        <v>103</v>
      </c>
      <c r="B90" s="2" t="s">
        <v>1532</v>
      </c>
      <c r="C90" s="2">
        <v>23.43</v>
      </c>
      <c r="E90" s="7" t="s">
        <v>1115</v>
      </c>
      <c r="F90" s="7" t="s">
        <v>1116</v>
      </c>
      <c r="G90" s="8">
        <f xml:space="preserve"> RTD("kgi.tw.der.pricertdserver.2014.1",,$A90 &amp; "_" &amp; $G$5 &amp; ":" &amp; $E90 &amp; "@" &amp; $F90)</f>
        <v>23.34</v>
      </c>
      <c r="H90" s="19">
        <f xml:space="preserve"> RTD("kgi.tw.der.pricertdserver.2014.1",,A90 &amp;":"&amp; E90 &amp;"@" &amp; F90)</f>
        <v>23.48</v>
      </c>
      <c r="I90" s="8">
        <f xml:space="preserve"> RTD("kgi.tw.der.pricertdserver.2014.1",,$A90 &amp; "_" &amp; $I$4 &amp; ":" &amp; $E90 &amp; "@" &amp; $F90)</f>
        <v>-7.9228162514264338E+28</v>
      </c>
      <c r="J90" s="8">
        <f xml:space="preserve"> RTD("kgi.tw.der.pricertdserver.2014.1",,$A90 &amp; "_" &amp; $J$4 &amp; ":" &amp; $E90 &amp; "@" &amp; $F90)</f>
        <v>-7.9228162514264338E+28</v>
      </c>
      <c r="K90" s="7" t="str">
        <f>RTD("kgi.tw.der.pricertdserver.2014.1",,A90 &amp; "_Time" &amp; ":" &amp; E90 &amp; "@" &amp; F90)</f>
        <v>20210514_132945000</v>
      </c>
      <c r="L90" s="45">
        <f t="shared" si="2"/>
        <v>23.48</v>
      </c>
      <c r="M90" s="43">
        <f>VLOOKUP($A90,XQKGIAP!$A:$I,9,FALSE)</f>
        <v>23.52</v>
      </c>
      <c r="N90" s="43">
        <f xml:space="preserve"> [3]!'TSE,00703,ADJUST_CLS'</f>
        <v>23.79</v>
      </c>
      <c r="O90" s="2">
        <f xml:space="preserve"> [3]!'TSE,00703,HST_CLOSE'</f>
        <v>0</v>
      </c>
      <c r="P90" s="2">
        <f xml:space="preserve"> [3]!'TSE,00703,OPEN_PRC'</f>
        <v>23.67</v>
      </c>
      <c r="Q90" s="2">
        <f xml:space="preserve"> [3]!'TSE,00703,HIGH_1'</f>
        <v>23.67</v>
      </c>
      <c r="R90" s="2">
        <f xml:space="preserve"> [3]!'TSE,00703,LOW_1'</f>
        <v>23.15</v>
      </c>
      <c r="S90" s="2">
        <f xml:space="preserve"> [3]!'TSE,00703,TRDPRC_1'</f>
        <v>23.43</v>
      </c>
      <c r="T90" s="2">
        <f xml:space="preserve"> [3]!'TSE,00703,BID'</f>
        <v>23.4</v>
      </c>
      <c r="U90" s="2">
        <f xml:space="preserve"> [3]!'TSE,00703,ASK'</f>
        <v>23.42</v>
      </c>
      <c r="V90" s="2">
        <f t="shared" si="3"/>
        <v>23.43</v>
      </c>
    </row>
    <row r="91" spans="1:22">
      <c r="A91" s="3" t="s">
        <v>104</v>
      </c>
      <c r="B91" s="2" t="s">
        <v>2507</v>
      </c>
      <c r="C91" s="2">
        <v>16.16</v>
      </c>
      <c r="E91" s="7" t="s">
        <v>1115</v>
      </c>
      <c r="F91" s="7" t="s">
        <v>1116</v>
      </c>
      <c r="G91" s="8">
        <f xml:space="preserve"> RTD("kgi.tw.der.pricertdserver.2014.1",,$A91 &amp; "_" &amp; $G$5 &amp; ":" &amp; $E91 &amp; "@" &amp; $F91)</f>
        <v>16.191818955042525</v>
      </c>
      <c r="H91" s="19">
        <f xml:space="preserve"> RTD("kgi.tw.der.pricertdserver.2014.1",,A91 &amp;":"&amp; E91 &amp;"@" &amp; F91)</f>
        <v>16.209201415179521</v>
      </c>
      <c r="I91" s="8">
        <f xml:space="preserve"> RTD("kgi.tw.der.pricertdserver.2014.1",,$A91 &amp; "_" &amp; $I$4 &amp; ":" &amp; $E91 &amp; "@" &amp; $F91)</f>
        <v>16.207421918482982</v>
      </c>
      <c r="J91" s="8">
        <f xml:space="preserve"> RTD("kgi.tw.der.pricertdserver.2014.1",,$A91 &amp; "_" &amp; $J$4 &amp; ":" &amp; $E91 &amp; "@" &amp; $F91)</f>
        <v>16.209201415179521</v>
      </c>
      <c r="K91" s="7" t="str">
        <f>RTD("kgi.tw.der.pricertdserver.2014.1",,A91 &amp; "_Time" &amp; ":" &amp; E91 &amp; "@" &amp; F91)</f>
        <v>20210514_151451319</v>
      </c>
      <c r="L91" s="45">
        <f t="shared" si="2"/>
        <v>16.209201415179521</v>
      </c>
      <c r="M91" s="43">
        <f>VLOOKUP($A91,XQKGIAP!$A:$I,9,FALSE)</f>
        <v>16.21</v>
      </c>
      <c r="N91" s="43">
        <f xml:space="preserve"> [3]!'TSE,00706L,ADJUST_CLS'</f>
        <v>16.11</v>
      </c>
      <c r="O91" s="2">
        <f xml:space="preserve"> [3]!'TSE,00706L,HST_CLOSE'</f>
        <v>0</v>
      </c>
      <c r="P91" s="2">
        <f xml:space="preserve"> [3]!'TSE,00706L,OPEN_PRC'</f>
        <v>16.14</v>
      </c>
      <c r="Q91" s="2">
        <f xml:space="preserve"> [3]!'TSE,00706L,HIGH_1'</f>
        <v>16.16</v>
      </c>
      <c r="R91" s="2">
        <f xml:space="preserve"> [3]!'TSE,00706L,LOW_1'</f>
        <v>16.11</v>
      </c>
      <c r="S91" s="2">
        <f xml:space="preserve"> [3]!'TSE,00706L,TRDPRC_1'</f>
        <v>16.16</v>
      </c>
      <c r="T91" s="2">
        <f xml:space="preserve"> [3]!'TSE,00706L,BID'</f>
        <v>16.12</v>
      </c>
      <c r="U91" s="2">
        <f xml:space="preserve"> [3]!'TSE,00706L,ASK'</f>
        <v>16.16</v>
      </c>
      <c r="V91" s="2">
        <f t="shared" si="3"/>
        <v>16.16</v>
      </c>
    </row>
    <row r="92" spans="1:22">
      <c r="A92" s="3" t="s">
        <v>105</v>
      </c>
      <c r="B92" s="2" t="s">
        <v>2508</v>
      </c>
      <c r="C92" s="2">
        <v>19.73</v>
      </c>
      <c r="E92" s="7" t="s">
        <v>1115</v>
      </c>
      <c r="F92" s="7" t="s">
        <v>1116</v>
      </c>
      <c r="G92" s="8">
        <f xml:space="preserve"> RTD("kgi.tw.der.pricertdserver.2014.1",,$A92 &amp; "_" &amp; $G$5 &amp; ":" &amp; $E92 &amp; "@" &amp; $F92)</f>
        <v>19.813244876783401</v>
      </c>
      <c r="H92" s="19">
        <f xml:space="preserve"> RTD("kgi.tw.der.pricertdserver.2014.1",,A92 &amp;":"&amp; E92 &amp;"@" &amp; F92)</f>
        <v>19.801912823522596</v>
      </c>
      <c r="I92" s="8">
        <f xml:space="preserve"> RTD("kgi.tw.der.pricertdserver.2014.1",,$A92 &amp; "_" &amp; $I$4 &amp; ":" &amp; $E92 &amp; "@" &amp; $F92)</f>
        <v>19.801912823522596</v>
      </c>
      <c r="J92" s="8">
        <f xml:space="preserve"> RTD("kgi.tw.der.pricertdserver.2014.1",,$A92 &amp; "_" &amp; $J$4 &amp; ":" &amp; $E92 &amp; "@" &amp; $F92)</f>
        <v>19.803001500565397</v>
      </c>
      <c r="K92" s="7" t="str">
        <f>RTD("kgi.tw.der.pricertdserver.2014.1",,A92 &amp; "_Time" &amp; ":" &amp; E92 &amp; "@" &amp; F92)</f>
        <v>20210514_151451319</v>
      </c>
      <c r="L92" s="45">
        <f t="shared" si="2"/>
        <v>19.801912823522596</v>
      </c>
      <c r="M92" s="43">
        <f>VLOOKUP($A92,XQKGIAP!$A:$I,9,FALSE)</f>
        <v>19.809999999999999</v>
      </c>
      <c r="N92" s="43">
        <f xml:space="preserve"> [3]!'TSE,00707R,ADJUST_CLS'</f>
        <v>19.73</v>
      </c>
      <c r="O92" s="2">
        <f xml:space="preserve"> [3]!'TSE,00707R,HST_CLOSE'</f>
        <v>0</v>
      </c>
      <c r="P92" s="2">
        <f xml:space="preserve"> [3]!'TSE,00707R,OPEN_PRC'</f>
        <v>0</v>
      </c>
      <c r="Q92" s="2">
        <f xml:space="preserve"> [3]!'TSE,00707R,HIGH_1'</f>
        <v>0</v>
      </c>
      <c r="R92" s="2">
        <f xml:space="preserve"> [3]!'TSE,00707R,LOW_1'</f>
        <v>0</v>
      </c>
      <c r="S92" s="2">
        <f xml:space="preserve"> [3]!'TSE,00707R,TRDPRC_1'</f>
        <v>0</v>
      </c>
      <c r="T92" s="2">
        <f xml:space="preserve"> [3]!'TSE,00707R,BID'</f>
        <v>19.71</v>
      </c>
      <c r="U92" s="2">
        <f xml:space="preserve"> [3]!'TSE,00707R,ASK'</f>
        <v>19.75</v>
      </c>
      <c r="V92" s="2">
        <f t="shared" si="3"/>
        <v>19.73</v>
      </c>
    </row>
    <row r="93" spans="1:22">
      <c r="A93" s="3" t="s">
        <v>106</v>
      </c>
      <c r="B93" s="2" t="s">
        <v>2509</v>
      </c>
      <c r="C93" s="2">
        <v>27.32</v>
      </c>
      <c r="E93" s="7" t="s">
        <v>1115</v>
      </c>
      <c r="F93" s="7" t="s">
        <v>1116</v>
      </c>
      <c r="G93" s="8">
        <f xml:space="preserve"> RTD("kgi.tw.der.pricertdserver.2014.1",,$A93 &amp; "_" &amp; $G$5 &amp; ":" &amp; $E93 &amp; "@" &amp; $F93)</f>
        <v>27.401707004007292</v>
      </c>
      <c r="H93" s="19">
        <f xml:space="preserve"> RTD("kgi.tw.der.pricertdserver.2014.1",,A93 &amp;":"&amp; E93 &amp;"@" &amp; F93)</f>
        <v>27.67947757238333</v>
      </c>
      <c r="I93" s="8">
        <f xml:space="preserve"> RTD("kgi.tw.der.pricertdserver.2014.1",,$A93 &amp; "_" &amp; $I$4 &amp; ":" &amp; $E93 &amp; "@" &amp; $F93)</f>
        <v>27.67647713570166</v>
      </c>
      <c r="J93" s="8">
        <f xml:space="preserve"> RTD("kgi.tw.der.pricertdserver.2014.1",,$A93 &amp; "_" &amp; $J$4 &amp; ":" &amp; $E93 &amp; "@" &amp; $F93)</f>
        <v>27.682478009065008</v>
      </c>
      <c r="K93" s="7" t="str">
        <f>RTD("kgi.tw.der.pricertdserver.2014.1",,A93 &amp; "_Time" &amp; ":" &amp; E93 &amp; "@" &amp; F93)</f>
        <v>20210514_151459679</v>
      </c>
      <c r="L93" s="45">
        <f t="shared" si="2"/>
        <v>27.67947757238333</v>
      </c>
      <c r="M93" s="43">
        <f>VLOOKUP($A93,XQKGIAP!$A:$I,9,FALSE)</f>
        <v>27.68</v>
      </c>
      <c r="N93" s="43">
        <f xml:space="preserve"> [3]!'TSE,00708L,ADJUST_CLS'</f>
        <v>27.2</v>
      </c>
      <c r="O93" s="2">
        <f xml:space="preserve"> [3]!'TSE,00708L,HST_CLOSE'</f>
        <v>0</v>
      </c>
      <c r="P93" s="2">
        <f xml:space="preserve"> [3]!'TSE,00708L,OPEN_PRC'</f>
        <v>27.4</v>
      </c>
      <c r="Q93" s="2">
        <f xml:space="preserve"> [3]!'TSE,00708L,HIGH_1'</f>
        <v>27.44</v>
      </c>
      <c r="R93" s="2">
        <f xml:space="preserve"> [3]!'TSE,00708L,LOW_1'</f>
        <v>27.24</v>
      </c>
      <c r="S93" s="2">
        <f xml:space="preserve"> [3]!'TSE,00708L,TRDPRC_1'</f>
        <v>27.32</v>
      </c>
      <c r="T93" s="2">
        <f xml:space="preserve"> [3]!'TSE,00708L,BID'</f>
        <v>27.31</v>
      </c>
      <c r="U93" s="2">
        <f xml:space="preserve"> [3]!'TSE,00708L,ASK'</f>
        <v>27.32</v>
      </c>
      <c r="V93" s="2">
        <f t="shared" si="3"/>
        <v>27.32</v>
      </c>
    </row>
    <row r="94" spans="1:22">
      <c r="A94" s="3" t="s">
        <v>107</v>
      </c>
      <c r="B94" s="2" t="s">
        <v>1533</v>
      </c>
      <c r="C94" s="2">
        <v>23.37</v>
      </c>
      <c r="E94" s="7" t="s">
        <v>1115</v>
      </c>
      <c r="F94" s="7" t="s">
        <v>1116</v>
      </c>
      <c r="G94" s="8">
        <f xml:space="preserve"> RTD("kgi.tw.der.pricertdserver.2014.1",,$A94 &amp; "_" &amp; $G$5 &amp; ":" &amp; $E94 &amp; "@" &amp; $F94)</f>
        <v>23.2</v>
      </c>
      <c r="H94" s="19">
        <f xml:space="preserve"> RTD("kgi.tw.der.pricertdserver.2014.1",,A94 &amp;":"&amp; E94 &amp;"@" &amp; F94)</f>
        <v>23.21</v>
      </c>
      <c r="I94" s="8">
        <f xml:space="preserve"> RTD("kgi.tw.der.pricertdserver.2014.1",,$A94 &amp; "_" &amp; $I$4 &amp; ":" &amp; $E94 &amp; "@" &amp; $F94)</f>
        <v>-7.9228162514264338E+28</v>
      </c>
      <c r="J94" s="8">
        <f xml:space="preserve"> RTD("kgi.tw.der.pricertdserver.2014.1",,$A94 &amp; "_" &amp; $J$4 &amp; ":" &amp; $E94 &amp; "@" &amp; $F94)</f>
        <v>-7.9228162514264338E+28</v>
      </c>
      <c r="K94" s="7" t="str">
        <f>RTD("kgi.tw.der.pricertdserver.2014.1",,A94 &amp; "_Time" &amp; ":" &amp; E94 &amp; "@" &amp; F94)</f>
        <v>20210514_132930000</v>
      </c>
      <c r="L94" s="45">
        <f t="shared" si="2"/>
        <v>23.21</v>
      </c>
      <c r="M94" s="43">
        <f>VLOOKUP($A94,XQKGIAP!$A:$I,9,FALSE)</f>
        <v>23.41</v>
      </c>
      <c r="N94" s="43">
        <f xml:space="preserve"> [3]!'TSE,00709,ADJUST_CLS'</f>
        <v>23.12</v>
      </c>
      <c r="O94" s="2">
        <f xml:space="preserve"> [3]!'TSE,00709,HST_CLOSE'</f>
        <v>0</v>
      </c>
      <c r="P94" s="2">
        <f xml:space="preserve"> [3]!'TSE,00709,OPEN_PRC'</f>
        <v>23.3</v>
      </c>
      <c r="Q94" s="2">
        <f xml:space="preserve"> [3]!'TSE,00709,HIGH_1'</f>
        <v>23.37</v>
      </c>
      <c r="R94" s="2">
        <f xml:space="preserve"> [3]!'TSE,00709,LOW_1'</f>
        <v>23.3</v>
      </c>
      <c r="S94" s="2">
        <f xml:space="preserve"> [3]!'TSE,00709,TRDPRC_1'</f>
        <v>23.37</v>
      </c>
      <c r="T94" s="2">
        <f xml:space="preserve"> [3]!'TSE,00709,BID'</f>
        <v>23.35</v>
      </c>
      <c r="U94" s="2">
        <f xml:space="preserve"> [3]!'TSE,00709,ASK'</f>
        <v>23.4</v>
      </c>
      <c r="V94" s="2">
        <f t="shared" si="3"/>
        <v>23.37</v>
      </c>
    </row>
    <row r="95" spans="1:22">
      <c r="A95" s="3" t="s">
        <v>108</v>
      </c>
      <c r="B95" s="2" t="s">
        <v>1534</v>
      </c>
      <c r="C95" s="2">
        <v>18.46</v>
      </c>
      <c r="E95" s="7" t="s">
        <v>1115</v>
      </c>
      <c r="F95" s="7" t="s">
        <v>1116</v>
      </c>
      <c r="G95" s="8">
        <f xml:space="preserve"> RTD("kgi.tw.der.pricertdserver.2014.1",,$A95 &amp; "_" &amp; $G$5 &amp; ":" &amp; $E95 &amp; "@" &amp; $F95)</f>
        <v>18.309999999999999</v>
      </c>
      <c r="H95" s="19">
        <f xml:space="preserve"> RTD("kgi.tw.der.pricertdserver.2014.1",,A95 &amp;":"&amp; E95 &amp;"@" &amp; F95)</f>
        <v>18.309999999999999</v>
      </c>
      <c r="I95" s="8">
        <f xml:space="preserve"> RTD("kgi.tw.der.pricertdserver.2014.1",,$A95 &amp; "_" &amp; $I$4 &amp; ":" &amp; $E95 &amp; "@" &amp; $F95)</f>
        <v>-7.9228162514264338E+28</v>
      </c>
      <c r="J95" s="8">
        <f xml:space="preserve"> RTD("kgi.tw.der.pricertdserver.2014.1",,$A95 &amp; "_" &amp; $J$4 &amp; ":" &amp; $E95 &amp; "@" &amp; $F95)</f>
        <v>-7.9228162514264338E+28</v>
      </c>
      <c r="K95" s="7" t="str">
        <f>RTD("kgi.tw.der.pricertdserver.2014.1",,A95 &amp; "_Time" &amp; ":" &amp; E95 &amp; "@" &amp; F95)</f>
        <v>20210514_132939000</v>
      </c>
      <c r="L95" s="45">
        <f t="shared" si="2"/>
        <v>18.309999999999999</v>
      </c>
      <c r="M95" s="43">
        <f>VLOOKUP($A95,XQKGIAP!$A:$I,9,FALSE)</f>
        <v>18.329999999999998</v>
      </c>
      <c r="N95" s="43">
        <f xml:space="preserve"> [3]!'TSE,00710B,ADJUST_CLS'</f>
        <v>18.350000000000001</v>
      </c>
      <c r="O95" s="2">
        <f xml:space="preserve"> [3]!'TSE,00710B,HST_CLOSE'</f>
        <v>0</v>
      </c>
      <c r="P95" s="2">
        <f xml:space="preserve"> [3]!'TSE,00710B,OPEN_PRC'</f>
        <v>18.39</v>
      </c>
      <c r="Q95" s="2">
        <f xml:space="preserve"> [3]!'TSE,00710B,HIGH_1'</f>
        <v>18.48</v>
      </c>
      <c r="R95" s="2">
        <f xml:space="preserve"> [3]!'TSE,00710B,LOW_1'</f>
        <v>18.38</v>
      </c>
      <c r="S95" s="2">
        <f xml:space="preserve"> [3]!'TSE,00710B,TRDPRC_1'</f>
        <v>18.46</v>
      </c>
      <c r="T95" s="2">
        <f xml:space="preserve"> [3]!'TSE,00710B,BID'</f>
        <v>18.45</v>
      </c>
      <c r="U95" s="2">
        <f xml:space="preserve"> [3]!'TSE,00710B,ASK'</f>
        <v>18.46</v>
      </c>
      <c r="V95" s="2">
        <f t="shared" si="3"/>
        <v>18.46</v>
      </c>
    </row>
    <row r="96" spans="1:22">
      <c r="A96" s="3" t="s">
        <v>109</v>
      </c>
      <c r="B96" s="2" t="s">
        <v>1535</v>
      </c>
      <c r="C96" s="2">
        <v>19.93</v>
      </c>
      <c r="E96" s="7" t="s">
        <v>1115</v>
      </c>
      <c r="F96" s="7" t="s">
        <v>1116</v>
      </c>
      <c r="G96" s="8">
        <f xml:space="preserve"> RTD("kgi.tw.der.pricertdserver.2014.1",,$A96 &amp; "_" &amp; $G$5 &amp; ":" &amp; $E96 &amp; "@" &amp; $F96)</f>
        <v>19.84</v>
      </c>
      <c r="H96" s="19">
        <f xml:space="preserve"> RTD("kgi.tw.der.pricertdserver.2014.1",,A96 &amp;":"&amp; E96 &amp;"@" &amp; F96)</f>
        <v>19.84</v>
      </c>
      <c r="I96" s="8">
        <f xml:space="preserve"> RTD("kgi.tw.der.pricertdserver.2014.1",,$A96 &amp; "_" &amp; $I$4 &amp; ":" &amp; $E96 &amp; "@" &amp; $F96)</f>
        <v>-7.9228162514264338E+28</v>
      </c>
      <c r="J96" s="8">
        <f xml:space="preserve"> RTD("kgi.tw.der.pricertdserver.2014.1",,$A96 &amp; "_" &amp; $J$4 &amp; ":" &amp; $E96 &amp; "@" &amp; $F96)</f>
        <v>-7.9228162514264338E+28</v>
      </c>
      <c r="K96" s="7" t="str">
        <f>RTD("kgi.tw.der.pricertdserver.2014.1",,A96 &amp; "_Time" &amp; ":" &amp; E96 &amp; "@" &amp; F96)</f>
        <v>20210514_132939000</v>
      </c>
      <c r="L96" s="45">
        <f t="shared" si="2"/>
        <v>19.84</v>
      </c>
      <c r="M96" s="43">
        <f>VLOOKUP($A96,XQKGIAP!$A:$I,9,FALSE)</f>
        <v>19.86</v>
      </c>
      <c r="N96" s="43">
        <f xml:space="preserve"> [3]!'TSE,00711B,ADJUST_CLS'</f>
        <v>19.850000000000001</v>
      </c>
      <c r="O96" s="2">
        <f xml:space="preserve"> [3]!'TSE,00711B,HST_CLOSE'</f>
        <v>0</v>
      </c>
      <c r="P96" s="2">
        <f xml:space="preserve"> [3]!'TSE,00711B,OPEN_PRC'</f>
        <v>19.87</v>
      </c>
      <c r="Q96" s="2">
        <f xml:space="preserve"> [3]!'TSE,00711B,HIGH_1'</f>
        <v>19.93</v>
      </c>
      <c r="R96" s="2">
        <f xml:space="preserve"> [3]!'TSE,00711B,LOW_1'</f>
        <v>19.87</v>
      </c>
      <c r="S96" s="2">
        <f xml:space="preserve"> [3]!'TSE,00711B,TRDPRC_1'</f>
        <v>19.93</v>
      </c>
      <c r="T96" s="2">
        <f xml:space="preserve"> [3]!'TSE,00711B,BID'</f>
        <v>19.91</v>
      </c>
      <c r="U96" s="2">
        <f xml:space="preserve"> [3]!'TSE,00711B,ASK'</f>
        <v>19.93</v>
      </c>
      <c r="V96" s="2">
        <f t="shared" si="3"/>
        <v>19.93</v>
      </c>
    </row>
    <row r="97" spans="1:22">
      <c r="A97" s="3" t="s">
        <v>110</v>
      </c>
      <c r="B97" s="2" t="s">
        <v>1536</v>
      </c>
      <c r="C97" s="2">
        <v>13.93</v>
      </c>
      <c r="E97" s="7" t="s">
        <v>1115</v>
      </c>
      <c r="F97" s="7" t="s">
        <v>1116</v>
      </c>
      <c r="G97" s="8">
        <f xml:space="preserve"> RTD("kgi.tw.der.pricertdserver.2014.1",,$A97 &amp; "_" &amp; $G$5 &amp; ":" &amp; $E97 &amp; "@" &amp; $F97)</f>
        <v>13.93</v>
      </c>
      <c r="H97" s="19">
        <f xml:space="preserve"> RTD("kgi.tw.der.pricertdserver.2014.1",,A97 &amp;":"&amp; E97 &amp;"@" &amp; F97)</f>
        <v>13.93</v>
      </c>
      <c r="I97" s="8">
        <f xml:space="preserve"> RTD("kgi.tw.der.pricertdserver.2014.1",,$A97 &amp; "_" &amp; $I$4 &amp; ":" &amp; $E97 &amp; "@" &amp; $F97)</f>
        <v>-7.9228162514264338E+28</v>
      </c>
      <c r="J97" s="8">
        <f xml:space="preserve"> RTD("kgi.tw.der.pricertdserver.2014.1",,$A97 &amp; "_" &amp; $J$4 &amp; ":" &amp; $E97 &amp; "@" &amp; $F97)</f>
        <v>-7.9228162514264338E+28</v>
      </c>
      <c r="K97" s="7" t="str">
        <f>RTD("kgi.tw.der.pricertdserver.2014.1",,A97 &amp; "_Time" &amp; ":" &amp; E97 &amp; "@" &amp; F97)</f>
        <v>20210514_132939000</v>
      </c>
      <c r="L97" s="45">
        <f t="shared" si="2"/>
        <v>13.93</v>
      </c>
      <c r="M97" s="43">
        <f>VLOOKUP($A97,XQKGIAP!$A:$I,9,FALSE)</f>
        <v>13.95</v>
      </c>
      <c r="N97" s="43">
        <f xml:space="preserve"> [3]!'TSE,00712,ADJUST_CLS'</f>
        <v>13.62</v>
      </c>
      <c r="O97" s="2">
        <f xml:space="preserve"> [3]!'TSE,00712,HST_CLOSE'</f>
        <v>0</v>
      </c>
      <c r="P97" s="2">
        <f xml:space="preserve"> [3]!'TSE,00712,OPEN_PRC'</f>
        <v>13.84</v>
      </c>
      <c r="Q97" s="2">
        <f xml:space="preserve"> [3]!'TSE,00712,HIGH_1'</f>
        <v>13.95</v>
      </c>
      <c r="R97" s="2">
        <f xml:space="preserve"> [3]!'TSE,00712,LOW_1'</f>
        <v>13.84</v>
      </c>
      <c r="S97" s="2">
        <f xml:space="preserve"> [3]!'TSE,00712,TRDPRC_1'</f>
        <v>13.93</v>
      </c>
      <c r="T97" s="2">
        <f xml:space="preserve"> [3]!'TSE,00712,BID'</f>
        <v>13.93</v>
      </c>
      <c r="U97" s="2">
        <f xml:space="preserve"> [3]!'TSE,00712,ASK'</f>
        <v>13.94</v>
      </c>
      <c r="V97" s="2">
        <f t="shared" si="3"/>
        <v>13.93</v>
      </c>
    </row>
    <row r="98" spans="1:22">
      <c r="A98" s="3" t="s">
        <v>111</v>
      </c>
      <c r="B98" s="2" t="s">
        <v>1537</v>
      </c>
      <c r="C98" s="2">
        <v>40.44</v>
      </c>
      <c r="E98" s="7" t="s">
        <v>1115</v>
      </c>
      <c r="F98" s="7" t="s">
        <v>1116</v>
      </c>
      <c r="G98" s="8">
        <f xml:space="preserve"> RTD("kgi.tw.der.pricertdserver.2014.1",,$A98 &amp; "_" &amp; $G$5 &amp; ":" &amp; $E98 &amp; "@" &amp; $F98)</f>
        <v>40.880000000000003</v>
      </c>
      <c r="H98" s="19">
        <f xml:space="preserve"> RTD("kgi.tw.der.pricertdserver.2014.1",,A98 &amp;":"&amp; E98 &amp;"@" &amp; F98)</f>
        <v>40.630000000000003</v>
      </c>
      <c r="I98" s="8">
        <f xml:space="preserve"> RTD("kgi.tw.der.pricertdserver.2014.1",,$A98 &amp; "_" &amp; $I$4 &amp; ":" &amp; $E98 &amp; "@" &amp; $F98)</f>
        <v>-7.9228162514264338E+28</v>
      </c>
      <c r="J98" s="8">
        <f xml:space="preserve"> RTD("kgi.tw.der.pricertdserver.2014.1",,$A98 &amp; "_" &amp; $J$4 &amp; ":" &amp; $E98 &amp; "@" &amp; $F98)</f>
        <v>-7.9228162514264338E+28</v>
      </c>
      <c r="K98" s="7" t="str">
        <f>RTD("kgi.tw.der.pricertdserver.2014.1",,A98 &amp; "_Time" &amp; ":" &amp; E98 &amp; "@" &amp; F98)</f>
        <v>20210514_132945000</v>
      </c>
      <c r="L98" s="45">
        <f t="shared" si="2"/>
        <v>40.630000000000003</v>
      </c>
      <c r="M98" s="43">
        <f>VLOOKUP($A98,XQKGIAP!$A:$I,9,FALSE)</f>
        <v>40.700000000000003</v>
      </c>
      <c r="N98" s="43">
        <f xml:space="preserve"> [3]!'TSE,00713,ADJUST_CLS'</f>
        <v>40.729999999999997</v>
      </c>
      <c r="O98" s="2">
        <f xml:space="preserve"> [3]!'TSE,00713,HST_CLOSE'</f>
        <v>0</v>
      </c>
      <c r="P98" s="2">
        <f xml:space="preserve"> [3]!'TSE,00713,OPEN_PRC'</f>
        <v>40.89</v>
      </c>
      <c r="Q98" s="2">
        <f xml:space="preserve"> [3]!'TSE,00713,HIGH_1'</f>
        <v>41.21</v>
      </c>
      <c r="R98" s="2">
        <f xml:space="preserve"> [3]!'TSE,00713,LOW_1'</f>
        <v>40.340000000000003</v>
      </c>
      <c r="S98" s="2">
        <f xml:space="preserve"> [3]!'TSE,00713,TRDPRC_1'</f>
        <v>40.44</v>
      </c>
      <c r="T98" s="2">
        <f xml:space="preserve"> [3]!'TSE,00713,BID'</f>
        <v>40.44</v>
      </c>
      <c r="U98" s="2">
        <f xml:space="preserve"> [3]!'TSE,00713,ASK'</f>
        <v>40.450000000000003</v>
      </c>
      <c r="V98" s="2">
        <f t="shared" si="3"/>
        <v>40.44</v>
      </c>
    </row>
    <row r="99" spans="1:22">
      <c r="A99" s="3" t="s">
        <v>112</v>
      </c>
      <c r="B99" s="2" t="s">
        <v>1538</v>
      </c>
      <c r="C99" s="2">
        <v>20.62</v>
      </c>
      <c r="E99" s="7" t="s">
        <v>1115</v>
      </c>
      <c r="F99" s="7" t="s">
        <v>1116</v>
      </c>
      <c r="G99" s="8">
        <f xml:space="preserve"> RTD("kgi.tw.der.pricertdserver.2014.1",,$A99 &amp; "_" &amp; $G$5 &amp; ":" &amp; $E99 &amp; "@" &amp; $F99)</f>
        <v>20.65</v>
      </c>
      <c r="H99" s="19">
        <f xml:space="preserve"> RTD("kgi.tw.der.pricertdserver.2014.1",,A99 &amp;":"&amp; E99 &amp;"@" &amp; F99)</f>
        <v>20.63</v>
      </c>
      <c r="I99" s="8">
        <f xml:space="preserve"> RTD("kgi.tw.der.pricertdserver.2014.1",,$A99 &amp; "_" &amp; $I$4 &amp; ":" &amp; $E99 &amp; "@" &amp; $F99)</f>
        <v>-7.9228162514264338E+28</v>
      </c>
      <c r="J99" s="8">
        <f xml:space="preserve"> RTD("kgi.tw.der.pricertdserver.2014.1",,$A99 &amp; "_" &amp; $J$4 &amp; ":" &amp; $E99 &amp; "@" &amp; $F99)</f>
        <v>-7.9228162514264338E+28</v>
      </c>
      <c r="K99" s="7" t="str">
        <f>RTD("kgi.tw.der.pricertdserver.2014.1",,A99 &amp; "_Time" &amp; ":" &amp; E99 &amp; "@" &amp; F99)</f>
        <v>20210514_132945000</v>
      </c>
      <c r="L99" s="45">
        <f t="shared" si="2"/>
        <v>20.63</v>
      </c>
      <c r="M99" s="43">
        <f>VLOOKUP($A99,XQKGIAP!$A:$I,9,FALSE)</f>
        <v>20.65</v>
      </c>
      <c r="N99" s="43">
        <f xml:space="preserve"> [3]!'TSE,00714,ADJUST_CLS'</f>
        <v>20.32</v>
      </c>
      <c r="O99" s="2">
        <f xml:space="preserve"> [3]!'TSE,00714,HST_CLOSE'</f>
        <v>0</v>
      </c>
      <c r="P99" s="2">
        <f xml:space="preserve"> [3]!'TSE,00714,OPEN_PRC'</f>
        <v>20.62</v>
      </c>
      <c r="Q99" s="2">
        <f xml:space="preserve"> [3]!'TSE,00714,HIGH_1'</f>
        <v>20.62</v>
      </c>
      <c r="R99" s="2">
        <f xml:space="preserve"> [3]!'TSE,00714,LOW_1'</f>
        <v>20.61</v>
      </c>
      <c r="S99" s="2">
        <f xml:space="preserve"> [3]!'TSE,00714,TRDPRC_1'</f>
        <v>20.62</v>
      </c>
      <c r="T99" s="2">
        <f xml:space="preserve"> [3]!'TSE,00714,BID'</f>
        <v>20.63</v>
      </c>
      <c r="U99" s="2">
        <f xml:space="preserve"> [3]!'TSE,00714,ASK'</f>
        <v>20.68</v>
      </c>
      <c r="V99" s="2">
        <f t="shared" si="3"/>
        <v>20.62</v>
      </c>
    </row>
    <row r="100" spans="1:22">
      <c r="A100" s="3" t="s">
        <v>113</v>
      </c>
      <c r="B100" s="2" t="s">
        <v>2510</v>
      </c>
      <c r="C100" s="2">
        <v>7.18</v>
      </c>
      <c r="E100" s="7" t="s">
        <v>1115</v>
      </c>
      <c r="F100" s="7" t="s">
        <v>1116</v>
      </c>
      <c r="G100" s="8">
        <f xml:space="preserve"> RTD("kgi.tw.der.pricertdserver.2014.1",,$A100 &amp; "_" &amp; $G$5 &amp; ":" &amp; $E100 &amp; "@" &amp; $F100)</f>
        <v>7.2517295720757868</v>
      </c>
      <c r="H100" s="19">
        <f xml:space="preserve"> RTD("kgi.tw.der.pricertdserver.2014.1",,A100 &amp;":"&amp; E100 &amp;"@" &amp; F100)</f>
        <v>7.2366940909535984</v>
      </c>
      <c r="I100" s="8">
        <f xml:space="preserve"> RTD("kgi.tw.der.pricertdserver.2014.1",,$A100 &amp; "_" &amp; $I$4 &amp; ":" &amp; $E100 &amp; "@" &amp; $F100)</f>
        <v>7.2366940909535984</v>
      </c>
      <c r="J100" s="8">
        <f xml:space="preserve"> RTD("kgi.tw.der.pricertdserver.2014.1",,$A100 &amp; "_" &amp; $J$4 &amp; ":" &amp; $E100 &amp; "@" &amp; $F100)</f>
        <v>7.2389117321940128</v>
      </c>
      <c r="K100" s="7" t="str">
        <f>RTD("kgi.tw.der.pricertdserver.2014.1",,A100 &amp; "_Time" &amp; ":" &amp; E100 &amp; "@" &amp; F100)</f>
        <v>20210514_151453772</v>
      </c>
      <c r="L100" s="45">
        <f t="shared" si="2"/>
        <v>7.2366940909535984</v>
      </c>
      <c r="M100" s="43">
        <f>VLOOKUP($A100,XQKGIAP!$A:$I,9,FALSE)</f>
        <v>7.25</v>
      </c>
      <c r="N100" s="43">
        <f xml:space="preserve"> [3]!'TSE,00715L,ADJUST_CLS'</f>
        <v>7.46</v>
      </c>
      <c r="O100" s="2">
        <f xml:space="preserve"> [3]!'TSE,00715L,HST_CLOSE'</f>
        <v>0</v>
      </c>
      <c r="P100" s="2">
        <f xml:space="preserve"> [3]!'TSE,00715L,OPEN_PRC'</f>
        <v>7.2</v>
      </c>
      <c r="Q100" s="2">
        <f xml:space="preserve"> [3]!'TSE,00715L,HIGH_1'</f>
        <v>7.2</v>
      </c>
      <c r="R100" s="2">
        <f xml:space="preserve"> [3]!'TSE,00715L,LOW_1'</f>
        <v>7.08</v>
      </c>
      <c r="S100" s="2">
        <f xml:space="preserve"> [3]!'TSE,00715L,TRDPRC_1'</f>
        <v>7.18</v>
      </c>
      <c r="T100" s="2">
        <f xml:space="preserve"> [3]!'TSE,00715L,BID'</f>
        <v>7.17</v>
      </c>
      <c r="U100" s="2">
        <f xml:space="preserve"> [3]!'TSE,00715L,ASK'</f>
        <v>7.18</v>
      </c>
      <c r="V100" s="2">
        <f t="shared" si="3"/>
        <v>7.18</v>
      </c>
    </row>
    <row r="101" spans="1:22">
      <c r="A101" s="3" t="s">
        <v>114</v>
      </c>
      <c r="B101" s="2" t="s">
        <v>1539</v>
      </c>
      <c r="C101" s="2">
        <v>16.54</v>
      </c>
      <c r="E101" s="7" t="s">
        <v>1115</v>
      </c>
      <c r="F101" s="7" t="s">
        <v>1116</v>
      </c>
      <c r="G101" s="8">
        <f xml:space="preserve"> RTD("kgi.tw.der.pricertdserver.2014.1",,$A101 &amp; "_" &amp; $G$5 &amp; ":" &amp; $E101 &amp; "@" &amp; $F101)</f>
        <v>16.64</v>
      </c>
      <c r="H101" s="19">
        <f xml:space="preserve"> RTD("kgi.tw.der.pricertdserver.2014.1",,A101 &amp;":"&amp; E101 &amp;"@" &amp; F101)</f>
        <v>16.64</v>
      </c>
      <c r="I101" s="8">
        <f xml:space="preserve"> RTD("kgi.tw.der.pricertdserver.2014.1",,$A101 &amp; "_" &amp; $I$4 &amp; ":" &amp; $E101 &amp; "@" &amp; $F101)</f>
        <v>-7.9228162514264338E+28</v>
      </c>
      <c r="J101" s="8">
        <f xml:space="preserve"> RTD("kgi.tw.der.pricertdserver.2014.1",,$A101 &amp; "_" &amp; $J$4 &amp; ":" &amp; $E101 &amp; "@" &amp; $F101)</f>
        <v>-7.9228162514264338E+28</v>
      </c>
      <c r="K101" s="7" t="str">
        <f>RTD("kgi.tw.der.pricertdserver.2014.1",,A101 &amp; "_Time" &amp; ":" &amp; E101 &amp; "@" &amp; F101)</f>
        <v>20210514_132930000</v>
      </c>
      <c r="L101" s="45">
        <f t="shared" si="2"/>
        <v>16.64</v>
      </c>
      <c r="M101" s="43">
        <f>VLOOKUP($A101,XQKGIAP!$A:$I,9,FALSE)</f>
        <v>16.649999999999999</v>
      </c>
      <c r="N101" s="43">
        <f xml:space="preserve"> [3]!'TSE,00717,ADJUST_CLS'</f>
        <v>16.48</v>
      </c>
      <c r="O101" s="2">
        <f xml:space="preserve"> [3]!'TSE,00717,HST_CLOSE'</f>
        <v>0</v>
      </c>
      <c r="P101" s="2">
        <f xml:space="preserve"> [3]!'TSE,00717,OPEN_PRC'</f>
        <v>16.489999999999998</v>
      </c>
      <c r="Q101" s="2">
        <f xml:space="preserve"> [3]!'TSE,00717,HIGH_1'</f>
        <v>16.55</v>
      </c>
      <c r="R101" s="2">
        <f xml:space="preserve"> [3]!'TSE,00717,LOW_1'</f>
        <v>16.489999999999998</v>
      </c>
      <c r="S101" s="2">
        <f xml:space="preserve"> [3]!'TSE,00717,TRDPRC_1'</f>
        <v>16.54</v>
      </c>
      <c r="T101" s="2">
        <f xml:space="preserve"> [3]!'TSE,00717,BID'</f>
        <v>16.54</v>
      </c>
      <c r="U101" s="2">
        <f xml:space="preserve"> [3]!'TSE,00717,ASK'</f>
        <v>16.55</v>
      </c>
      <c r="V101" s="2">
        <f t="shared" si="3"/>
        <v>16.54</v>
      </c>
    </row>
    <row r="102" spans="1:22">
      <c r="A102" s="3" t="s">
        <v>115</v>
      </c>
      <c r="B102" s="2" t="s">
        <v>1540</v>
      </c>
      <c r="C102" s="2">
        <v>19.66</v>
      </c>
      <c r="E102" s="7" t="s">
        <v>1115</v>
      </c>
      <c r="F102" s="7" t="s">
        <v>1116</v>
      </c>
      <c r="G102" s="8">
        <f xml:space="preserve"> RTD("kgi.tw.der.pricertdserver.2014.1",,$A102 &amp; "_" &amp; $G$5 &amp; ":" &amp; $E102 &amp; "@" &amp; $F102)</f>
        <v>19.681000000000001</v>
      </c>
      <c r="H102" s="19">
        <f xml:space="preserve"> RTD("kgi.tw.der.pricertdserver.2014.1",,A102 &amp;":"&amp; E102 &amp;"@" &amp; F102)</f>
        <v>19.7119</v>
      </c>
      <c r="I102" s="8">
        <f xml:space="preserve"> RTD("kgi.tw.der.pricertdserver.2014.1",,$A102 &amp; "_" &amp; $I$4 &amp; ":" &amp; $E102 &amp; "@" &amp; $F102)</f>
        <v>-7.9228162514264338E+28</v>
      </c>
      <c r="J102" s="8">
        <f xml:space="preserve"> RTD("kgi.tw.der.pricertdserver.2014.1",,$A102 &amp; "_" &amp; $J$4 &amp; ":" &amp; $E102 &amp; "@" &amp; $F102)</f>
        <v>-7.9228162514264338E+28</v>
      </c>
      <c r="K102" s="7" t="str">
        <f>RTD("kgi.tw.der.pricertdserver.2014.1",,A102 &amp; "_Time" &amp; ":" &amp; E102 &amp; "@" &amp; F102)</f>
        <v>20210514_132930000</v>
      </c>
      <c r="L102" s="45">
        <f t="shared" si="2"/>
        <v>19.7119</v>
      </c>
      <c r="M102" s="43">
        <f>VLOOKUP($A102,XQKGIAP!$A:$I,9,FALSE)</f>
        <v>19.739999999999998</v>
      </c>
      <c r="N102" s="43">
        <f xml:space="preserve"> [3]!'TSE,00718B,ADJUST_CLS'</f>
        <v>19.600000000000001</v>
      </c>
      <c r="O102" s="2">
        <f xml:space="preserve"> [3]!'TSE,00718B,HST_CLOSE'</f>
        <v>0</v>
      </c>
      <c r="P102" s="2">
        <f xml:space="preserve"> [3]!'TSE,00718B,OPEN_PRC'</f>
        <v>19.600000000000001</v>
      </c>
      <c r="Q102" s="2">
        <f xml:space="preserve"> [3]!'TSE,00718B,HIGH_1'</f>
        <v>19.670000000000002</v>
      </c>
      <c r="R102" s="2">
        <f xml:space="preserve"> [3]!'TSE,00718B,LOW_1'</f>
        <v>19.600000000000001</v>
      </c>
      <c r="S102" s="2">
        <f xml:space="preserve"> [3]!'TSE,00718B,TRDPRC_1'</f>
        <v>19.66</v>
      </c>
      <c r="T102" s="2">
        <f xml:space="preserve"> [3]!'TSE,00718B,BID'</f>
        <v>19.66</v>
      </c>
      <c r="U102" s="2">
        <f xml:space="preserve"> [3]!'TSE,00718B,ASK'</f>
        <v>19.670000000000002</v>
      </c>
      <c r="V102" s="2">
        <f t="shared" si="3"/>
        <v>19.66</v>
      </c>
    </row>
    <row r="103" spans="1:22">
      <c r="A103" s="3" t="s">
        <v>116</v>
      </c>
      <c r="B103" s="2" t="s">
        <v>1541</v>
      </c>
      <c r="C103" s="2">
        <v>30.15</v>
      </c>
      <c r="E103" s="7" t="s">
        <v>1115</v>
      </c>
      <c r="F103" s="7" t="s">
        <v>1116</v>
      </c>
      <c r="G103" s="8">
        <f xml:space="preserve"> RTD("kgi.tw.der.pricertdserver.2014.1",,$A103 &amp; "_" &amp; $G$5 &amp; ":" &amp; $E103 &amp; "@" &amp; $F103)</f>
        <v>30.147500000000001</v>
      </c>
      <c r="H103" s="19">
        <f xml:space="preserve"> RTD("kgi.tw.der.pricertdserver.2014.1",,A103 &amp;":"&amp; E103 &amp;"@" &amp; F103)</f>
        <v>30.142299999999999</v>
      </c>
      <c r="I103" s="8">
        <f xml:space="preserve"> RTD("kgi.tw.der.pricertdserver.2014.1",,$A103 &amp; "_" &amp; $I$4 &amp; ":" &amp; $E103 &amp; "@" &amp; $F103)</f>
        <v>-7.9228162514264338E+28</v>
      </c>
      <c r="J103" s="8">
        <f xml:space="preserve"> RTD("kgi.tw.der.pricertdserver.2014.1",,$A103 &amp; "_" &amp; $J$4 &amp; ":" &amp; $E103 &amp; "@" &amp; $F103)</f>
        <v>-7.9228162514264338E+28</v>
      </c>
      <c r="K103" s="7" t="str">
        <f>RTD("kgi.tw.der.pricertdserver.2014.1",,A103 &amp; "_Time" &amp; ":" &amp; E103 &amp; "@" &amp; F103)</f>
        <v>20210514_132945000</v>
      </c>
      <c r="L103" s="45">
        <f t="shared" si="2"/>
        <v>30.142299999999999</v>
      </c>
      <c r="M103" s="43">
        <f>VLOOKUP($A103,XQKGIAP!$A:$I,9,FALSE)</f>
        <v>30.17</v>
      </c>
      <c r="N103" s="43">
        <f xml:space="preserve"> [3]!'TSE,00719B,ADJUST_CLS'</f>
        <v>30.16</v>
      </c>
      <c r="O103" s="2">
        <f xml:space="preserve"> [3]!'TSE,00719B,HST_CLOSE'</f>
        <v>0</v>
      </c>
      <c r="P103" s="2">
        <f xml:space="preserve"> [3]!'TSE,00719B,OPEN_PRC'</f>
        <v>30.15</v>
      </c>
      <c r="Q103" s="2">
        <f xml:space="preserve"> [3]!'TSE,00719B,HIGH_1'</f>
        <v>30.18</v>
      </c>
      <c r="R103" s="2">
        <f xml:space="preserve"> [3]!'TSE,00719B,LOW_1'</f>
        <v>30.12</v>
      </c>
      <c r="S103" s="2">
        <f xml:space="preserve"> [3]!'TSE,00719B,TRDPRC_1'</f>
        <v>30.15</v>
      </c>
      <c r="T103" s="2">
        <f xml:space="preserve"> [3]!'TSE,00719B,BID'</f>
        <v>30.12</v>
      </c>
      <c r="U103" s="2">
        <f xml:space="preserve"> [3]!'TSE,00719B,ASK'</f>
        <v>30.2</v>
      </c>
      <c r="V103" s="2">
        <f t="shared" si="3"/>
        <v>30.15</v>
      </c>
    </row>
    <row r="104" spans="1:22">
      <c r="A104" s="3" t="s">
        <v>117</v>
      </c>
      <c r="B104" s="2" t="s">
        <v>1542</v>
      </c>
      <c r="C104" s="2">
        <v>41.85</v>
      </c>
      <c r="E104" s="7" t="s">
        <v>1115</v>
      </c>
      <c r="F104" s="7" t="s">
        <v>1116</v>
      </c>
      <c r="G104" s="8">
        <f xml:space="preserve"> RTD("kgi.tw.der.pricertdserver.2014.1",,$A104 &amp; "_" &amp; $G$5 &amp; ":" &amp; $E104 &amp; "@" &amp; $F104)</f>
        <v>41.7485</v>
      </c>
      <c r="H104" s="19">
        <f xml:space="preserve"> RTD("kgi.tw.der.pricertdserver.2014.1",,A104 &amp;":"&amp; E104 &amp;"@" &amp; F104)</f>
        <v>41.750300000000003</v>
      </c>
      <c r="I104" s="8">
        <f xml:space="preserve"> RTD("kgi.tw.der.pricertdserver.2014.1",,$A104 &amp; "_" &amp; $I$4 &amp; ":" &amp; $E104 &amp; "@" &amp; $F104)</f>
        <v>-7.9228162514264338E+28</v>
      </c>
      <c r="J104" s="8">
        <f xml:space="preserve"> RTD("kgi.tw.der.pricertdserver.2014.1",,$A104 &amp; "_" &amp; $J$4 &amp; ":" &amp; $E104 &amp; "@" &amp; $F104)</f>
        <v>-7.9228162514264338E+28</v>
      </c>
      <c r="K104" s="7" t="str">
        <f>RTD("kgi.tw.der.pricertdserver.2014.1",,A104 &amp; "_Time" &amp; ":" &amp; E104 &amp; "@" &amp; F104)</f>
        <v>20210514_132945000</v>
      </c>
      <c r="L104" s="45">
        <f t="shared" si="2"/>
        <v>41.750300000000003</v>
      </c>
      <c r="M104" s="43">
        <f>VLOOKUP($A104,XQKGIAP!$A:$I,9,FALSE)</f>
        <v>41.79</v>
      </c>
      <c r="N104" s="43">
        <f xml:space="preserve"> [3]!'TSE,00720B,ADJUST_CLS'</f>
        <v>41.67</v>
      </c>
      <c r="O104" s="2">
        <f xml:space="preserve"> [3]!'TSE,00720B,HST_CLOSE'</f>
        <v>0</v>
      </c>
      <c r="P104" s="2">
        <f xml:space="preserve"> [3]!'TSE,00720B,OPEN_PRC'</f>
        <v>41.7</v>
      </c>
      <c r="Q104" s="2">
        <f xml:space="preserve"> [3]!'TSE,00720B,HIGH_1'</f>
        <v>41.85</v>
      </c>
      <c r="R104" s="2">
        <f xml:space="preserve"> [3]!'TSE,00720B,LOW_1'</f>
        <v>41.7</v>
      </c>
      <c r="S104" s="2">
        <f xml:space="preserve"> [3]!'TSE,00720B,TRDPRC_1'</f>
        <v>41.85</v>
      </c>
      <c r="T104" s="2">
        <f xml:space="preserve"> [3]!'TSE,00720B,BID'</f>
        <v>41.79</v>
      </c>
      <c r="U104" s="2">
        <f xml:space="preserve"> [3]!'TSE,00720B,ASK'</f>
        <v>41.8</v>
      </c>
      <c r="V104" s="2">
        <f t="shared" si="3"/>
        <v>41.85</v>
      </c>
    </row>
    <row r="105" spans="1:22">
      <c r="A105" s="3" t="s">
        <v>118</v>
      </c>
      <c r="B105" s="2" t="s">
        <v>1543</v>
      </c>
      <c r="C105" s="2">
        <v>45.05</v>
      </c>
      <c r="E105" s="7" t="s">
        <v>1115</v>
      </c>
      <c r="F105" s="7" t="s">
        <v>1116</v>
      </c>
      <c r="G105" s="8">
        <f xml:space="preserve"> RTD("kgi.tw.der.pricertdserver.2014.1",,$A105 &amp; "_" &amp; $G$5 &amp; ":" &amp; $E105 &amp; "@" &amp; $F105)</f>
        <v>45.066699999999997</v>
      </c>
      <c r="H105" s="19">
        <f xml:space="preserve"> RTD("kgi.tw.der.pricertdserver.2014.1",,A105 &amp;":"&amp; E105 &amp;"@" &amp; F105)</f>
        <v>45.1449</v>
      </c>
      <c r="I105" s="8">
        <f xml:space="preserve"> RTD("kgi.tw.der.pricertdserver.2014.1",,$A105 &amp; "_" &amp; $I$4 &amp; ":" &amp; $E105 &amp; "@" &amp; $F105)</f>
        <v>-7.9228162514264338E+28</v>
      </c>
      <c r="J105" s="8">
        <f xml:space="preserve"> RTD("kgi.tw.der.pricertdserver.2014.1",,$A105 &amp; "_" &amp; $J$4 &amp; ":" &amp; $E105 &amp; "@" &amp; $F105)</f>
        <v>-7.9228162514264338E+28</v>
      </c>
      <c r="K105" s="7" t="str">
        <f>RTD("kgi.tw.der.pricertdserver.2014.1",,A105 &amp; "_Time" &amp; ":" &amp; E105 &amp; "@" &amp; F105)</f>
        <v>20210514_132945000</v>
      </c>
      <c r="L105" s="45">
        <f t="shared" si="2"/>
        <v>45.1449</v>
      </c>
      <c r="M105" s="43">
        <f>VLOOKUP($A105,XQKGIAP!$A:$I,9,FALSE)</f>
        <v>45.26</v>
      </c>
      <c r="N105" s="43">
        <f xml:space="preserve"> [3]!'TSE,00721B,ADJUST_CLS'</f>
        <v>45.14</v>
      </c>
      <c r="O105" s="2">
        <f xml:space="preserve"> [3]!'TSE,00721B,HST_CLOSE'</f>
        <v>0</v>
      </c>
      <c r="P105" s="2">
        <f xml:space="preserve"> [3]!'TSE,00721B,OPEN_PRC'</f>
        <v>44.98</v>
      </c>
      <c r="Q105" s="2">
        <f xml:space="preserve"> [3]!'TSE,00721B,HIGH_1'</f>
        <v>45.06</v>
      </c>
      <c r="R105" s="2">
        <f xml:space="preserve"> [3]!'TSE,00721B,LOW_1'</f>
        <v>44.98</v>
      </c>
      <c r="S105" s="2">
        <f xml:space="preserve"> [3]!'TSE,00721B,TRDPRC_1'</f>
        <v>45.05</v>
      </c>
      <c r="T105" s="2">
        <f xml:space="preserve"> [3]!'TSE,00721B,BID'</f>
        <v>45.02</v>
      </c>
      <c r="U105" s="2">
        <f xml:space="preserve"> [3]!'TSE,00721B,ASK'</f>
        <v>45.05</v>
      </c>
      <c r="V105" s="2">
        <f t="shared" si="3"/>
        <v>45.05</v>
      </c>
    </row>
    <row r="106" spans="1:22">
      <c r="A106" s="3" t="s">
        <v>119</v>
      </c>
      <c r="B106" s="2" t="s">
        <v>1544</v>
      </c>
      <c r="C106" s="2">
        <v>44.3</v>
      </c>
      <c r="E106" s="7" t="s">
        <v>1115</v>
      </c>
      <c r="F106" s="7" t="s">
        <v>1116</v>
      </c>
      <c r="G106" s="8">
        <f xml:space="preserve"> RTD("kgi.tw.der.pricertdserver.2014.1",,$A106 &amp; "_" &amp; $G$5 &amp; ":" &amp; $E106 &amp; "@" &amp; $F106)</f>
        <v>44.165900000000001</v>
      </c>
      <c r="H106" s="19">
        <f xml:space="preserve"> RTD("kgi.tw.der.pricertdserver.2014.1",,A106 &amp;":"&amp; E106 &amp;"@" &amp; F106)</f>
        <v>44.129399999999997</v>
      </c>
      <c r="I106" s="8">
        <f xml:space="preserve"> RTD("kgi.tw.der.pricertdserver.2014.1",,$A106 &amp; "_" &amp; $I$4 &amp; ":" &amp; $E106 &amp; "@" &amp; $F106)</f>
        <v>-7.9228162514264338E+28</v>
      </c>
      <c r="J106" s="8">
        <f xml:space="preserve"> RTD("kgi.tw.der.pricertdserver.2014.1",,$A106 &amp; "_" &amp; $J$4 &amp; ":" &amp; $E106 &amp; "@" &amp; $F106)</f>
        <v>-7.9228162514264338E+28</v>
      </c>
      <c r="K106" s="7" t="str">
        <f>RTD("kgi.tw.der.pricertdserver.2014.1",,A106 &amp; "_Time" &amp; ":" &amp; E106 &amp; "@" &amp; F106)</f>
        <v>20210514_132945000</v>
      </c>
      <c r="L106" s="45">
        <f t="shared" si="2"/>
        <v>44.129399999999997</v>
      </c>
      <c r="M106" s="43">
        <f>VLOOKUP($A106,XQKGIAP!$A:$I,9,FALSE)</f>
        <v>44.17</v>
      </c>
      <c r="N106" s="43">
        <f xml:space="preserve"> [3]!'TSE,00722B,ADJUST_CLS'</f>
        <v>44.16</v>
      </c>
      <c r="O106" s="2">
        <f xml:space="preserve"> [3]!'TSE,00722B,HST_CLOSE'</f>
        <v>0</v>
      </c>
      <c r="P106" s="2">
        <f xml:space="preserve"> [3]!'TSE,00722B,OPEN_PRC'</f>
        <v>44.22</v>
      </c>
      <c r="Q106" s="2">
        <f xml:space="preserve"> [3]!'TSE,00722B,HIGH_1'</f>
        <v>44.3</v>
      </c>
      <c r="R106" s="2">
        <f xml:space="preserve"> [3]!'TSE,00722B,LOW_1'</f>
        <v>44.2</v>
      </c>
      <c r="S106" s="2">
        <f xml:space="preserve"> [3]!'TSE,00722B,TRDPRC_1'</f>
        <v>44.3</v>
      </c>
      <c r="T106" s="2">
        <f xml:space="preserve"> [3]!'TSE,00722B,BID'</f>
        <v>44.27</v>
      </c>
      <c r="U106" s="2">
        <f xml:space="preserve"> [3]!'TSE,00722B,ASK'</f>
        <v>44.3</v>
      </c>
      <c r="V106" s="2">
        <f t="shared" si="3"/>
        <v>44.3</v>
      </c>
    </row>
    <row r="107" spans="1:22">
      <c r="A107" s="3" t="s">
        <v>120</v>
      </c>
      <c r="B107" s="2" t="s">
        <v>1545</v>
      </c>
      <c r="C107" s="2">
        <v>40.22</v>
      </c>
      <c r="E107" s="7" t="s">
        <v>1115</v>
      </c>
      <c r="F107" s="7" t="s">
        <v>1116</v>
      </c>
      <c r="G107" s="8">
        <f xml:space="preserve"> RTD("kgi.tw.der.pricertdserver.2014.1",,$A107 &amp; "_" &amp; $G$5 &amp; ":" &amp; $E107 &amp; "@" &amp; $F107)</f>
        <v>40.044499999999999</v>
      </c>
      <c r="H107" s="19">
        <f xml:space="preserve"> RTD("kgi.tw.der.pricertdserver.2014.1",,A107 &amp;":"&amp; E107 &amp;"@" &amp; F107)</f>
        <v>40.011000000000003</v>
      </c>
      <c r="I107" s="8">
        <f xml:space="preserve"> RTD("kgi.tw.der.pricertdserver.2014.1",,$A107 &amp; "_" &amp; $I$4 &amp; ":" &amp; $E107 &amp; "@" &amp; $F107)</f>
        <v>-7.9228162514264338E+28</v>
      </c>
      <c r="J107" s="8">
        <f xml:space="preserve"> RTD("kgi.tw.der.pricertdserver.2014.1",,$A107 &amp; "_" &amp; $J$4 &amp; ":" &amp; $E107 &amp; "@" &amp; $F107)</f>
        <v>-7.9228162514264338E+28</v>
      </c>
      <c r="K107" s="7" t="str">
        <f>RTD("kgi.tw.der.pricertdserver.2014.1",,A107 &amp; "_Time" &amp; ":" &amp; E107 &amp; "@" &amp; F107)</f>
        <v>20210514_132945000</v>
      </c>
      <c r="L107" s="45">
        <f t="shared" si="2"/>
        <v>40.011000000000003</v>
      </c>
      <c r="M107" s="43">
        <f>VLOOKUP($A107,XQKGIAP!$A:$I,9,FALSE)</f>
        <v>40.04</v>
      </c>
      <c r="N107" s="43">
        <f xml:space="preserve"> [3]!'TSE,00723B,ADJUST_CLS'</f>
        <v>40.090000000000003</v>
      </c>
      <c r="O107" s="2">
        <f xml:space="preserve"> [3]!'TSE,00723B,HST_CLOSE'</f>
        <v>0</v>
      </c>
      <c r="P107" s="2">
        <f xml:space="preserve"> [3]!'TSE,00723B,OPEN_PRC'</f>
        <v>40.130000000000003</v>
      </c>
      <c r="Q107" s="2">
        <f xml:space="preserve"> [3]!'TSE,00723B,HIGH_1'</f>
        <v>40.22</v>
      </c>
      <c r="R107" s="2">
        <f xml:space="preserve"> [3]!'TSE,00723B,LOW_1'</f>
        <v>40.130000000000003</v>
      </c>
      <c r="S107" s="2">
        <f xml:space="preserve"> [3]!'TSE,00723B,TRDPRC_1'</f>
        <v>40.22</v>
      </c>
      <c r="T107" s="2">
        <f xml:space="preserve"> [3]!'TSE,00723B,BID'</f>
        <v>40.22</v>
      </c>
      <c r="U107" s="2">
        <f xml:space="preserve"> [3]!'TSE,00723B,ASK'</f>
        <v>40.299999999999997</v>
      </c>
      <c r="V107" s="2">
        <f t="shared" si="3"/>
        <v>40.22</v>
      </c>
    </row>
    <row r="108" spans="1:22">
      <c r="A108" s="3" t="s">
        <v>121</v>
      </c>
      <c r="B108" s="2" t="s">
        <v>1546</v>
      </c>
      <c r="C108" s="2">
        <v>40.369999999999997</v>
      </c>
      <c r="E108" s="7" t="s">
        <v>1115</v>
      </c>
      <c r="F108" s="7" t="s">
        <v>1116</v>
      </c>
      <c r="G108" s="8">
        <f xml:space="preserve"> RTD("kgi.tw.der.pricertdserver.2014.1",,$A108 &amp; "_" &amp; $G$5 &amp; ":" &amp; $E108 &amp; "@" &amp; $F108)</f>
        <v>40.127099999999999</v>
      </c>
      <c r="H108" s="19">
        <f xml:space="preserve"> RTD("kgi.tw.der.pricertdserver.2014.1",,A108 &amp;":"&amp; E108 &amp;"@" &amp; F108)</f>
        <v>40.094000000000001</v>
      </c>
      <c r="I108" s="8">
        <f xml:space="preserve"> RTD("kgi.tw.der.pricertdserver.2014.1",,$A108 &amp; "_" &amp; $I$4 &amp; ":" &amp; $E108 &amp; "@" &amp; $F108)</f>
        <v>-7.9228162514264338E+28</v>
      </c>
      <c r="J108" s="8">
        <f xml:space="preserve"> RTD("kgi.tw.der.pricertdserver.2014.1",,$A108 &amp; "_" &amp; $J$4 &amp; ":" &amp; $E108 &amp; "@" &amp; $F108)</f>
        <v>-7.9228162514264338E+28</v>
      </c>
      <c r="K108" s="7" t="str">
        <f>RTD("kgi.tw.der.pricertdserver.2014.1",,A108 &amp; "_Time" &amp; ":" &amp; E108 &amp; "@" &amp; F108)</f>
        <v>20210514_132945000</v>
      </c>
      <c r="L108" s="45">
        <f t="shared" si="2"/>
        <v>40.094000000000001</v>
      </c>
      <c r="M108" s="43">
        <f>VLOOKUP($A108,XQKGIAP!$A:$I,9,FALSE)</f>
        <v>40.130000000000003</v>
      </c>
      <c r="N108" s="43">
        <f xml:space="preserve"> [3]!'TSE,00724B,ADJUST_CLS'</f>
        <v>40.01</v>
      </c>
      <c r="O108" s="2">
        <f xml:space="preserve"> [3]!'TSE,00724B,HST_CLOSE'</f>
        <v>0</v>
      </c>
      <c r="P108" s="2">
        <f xml:space="preserve"> [3]!'TSE,00724B,OPEN_PRC'</f>
        <v>40.299999999999997</v>
      </c>
      <c r="Q108" s="2">
        <f xml:space="preserve"> [3]!'TSE,00724B,HIGH_1'</f>
        <v>40.369999999999997</v>
      </c>
      <c r="R108" s="2">
        <f xml:space="preserve"> [3]!'TSE,00724B,LOW_1'</f>
        <v>40.26</v>
      </c>
      <c r="S108" s="2">
        <f xml:space="preserve"> [3]!'TSE,00724B,TRDPRC_1'</f>
        <v>40.369999999999997</v>
      </c>
      <c r="T108" s="2">
        <f xml:space="preserve"> [3]!'TSE,00724B,BID'</f>
        <v>40.28</v>
      </c>
      <c r="U108" s="2">
        <f xml:space="preserve"> [3]!'TSE,00724B,ASK'</f>
        <v>40.299999999999997</v>
      </c>
      <c r="V108" s="2">
        <f t="shared" si="3"/>
        <v>40.369999999999997</v>
      </c>
    </row>
    <row r="109" spans="1:22">
      <c r="A109" s="3" t="s">
        <v>122</v>
      </c>
      <c r="B109" s="2" t="s">
        <v>1547</v>
      </c>
      <c r="C109" s="2">
        <v>42.3</v>
      </c>
      <c r="E109" s="7" t="s">
        <v>1115</v>
      </c>
      <c r="F109" s="7" t="s">
        <v>1116</v>
      </c>
      <c r="G109" s="8">
        <f xml:space="preserve"> RTD("kgi.tw.der.pricertdserver.2014.1",,$A109 &amp; "_" &amp; $G$5 &amp; ":" &amp; $E109 &amp; "@" &amp; $F109)</f>
        <v>42.292499999999997</v>
      </c>
      <c r="H109" s="19">
        <f xml:space="preserve"> RTD("kgi.tw.der.pricertdserver.2014.1",,A109 &amp;":"&amp; E109 &amp;"@" &amp; F109)</f>
        <v>42.2883</v>
      </c>
      <c r="I109" s="8">
        <f xml:space="preserve"> RTD("kgi.tw.der.pricertdserver.2014.1",,$A109 &amp; "_" &amp; $I$4 &amp; ":" &amp; $E109 &amp; "@" &amp; $F109)</f>
        <v>-7.9228162514264338E+28</v>
      </c>
      <c r="J109" s="8">
        <f xml:space="preserve"> RTD("kgi.tw.der.pricertdserver.2014.1",,$A109 &amp; "_" &amp; $J$4 &amp; ":" &amp; $E109 &amp; "@" &amp; $F109)</f>
        <v>-7.9228162514264338E+28</v>
      </c>
      <c r="K109" s="7" t="str">
        <f>RTD("kgi.tw.der.pricertdserver.2014.1",,A109 &amp; "_Time" &amp; ":" &amp; E109 &amp; "@" &amp; F109)</f>
        <v>20210514_132943000</v>
      </c>
      <c r="L109" s="45">
        <f t="shared" si="2"/>
        <v>42.2883</v>
      </c>
      <c r="M109" s="43">
        <f>VLOOKUP($A109,XQKGIAP!$A:$I,9,FALSE)</f>
        <v>42.31</v>
      </c>
      <c r="N109" s="43">
        <f xml:space="preserve"> [3]!'TSE,00725B,ADJUST_CLS'</f>
        <v>42.16</v>
      </c>
      <c r="O109" s="2">
        <f xml:space="preserve"> [3]!'TSE,00725B,HST_CLOSE'</f>
        <v>0</v>
      </c>
      <c r="P109" s="2">
        <f xml:space="preserve"> [3]!'TSE,00725B,OPEN_PRC'</f>
        <v>42.23</v>
      </c>
      <c r="Q109" s="2">
        <f xml:space="preserve"> [3]!'TSE,00725B,HIGH_1'</f>
        <v>42.3</v>
      </c>
      <c r="R109" s="2">
        <f xml:space="preserve"> [3]!'TSE,00725B,LOW_1'</f>
        <v>42.23</v>
      </c>
      <c r="S109" s="2">
        <f xml:space="preserve"> [3]!'TSE,00725B,TRDPRC_1'</f>
        <v>42.3</v>
      </c>
      <c r="T109" s="2">
        <f xml:space="preserve"> [3]!'TSE,00725B,BID'</f>
        <v>42.28</v>
      </c>
      <c r="U109" s="2">
        <f xml:space="preserve"> [3]!'TSE,00725B,ASK'</f>
        <v>42.3</v>
      </c>
      <c r="V109" s="2">
        <f t="shared" si="3"/>
        <v>42.3</v>
      </c>
    </row>
    <row r="110" spans="1:22">
      <c r="A110" s="3" t="s">
        <v>123</v>
      </c>
      <c r="B110" s="2" t="s">
        <v>1548</v>
      </c>
      <c r="C110" s="2">
        <v>41.3</v>
      </c>
      <c r="E110" s="7" t="s">
        <v>1115</v>
      </c>
      <c r="F110" s="7" t="s">
        <v>1116</v>
      </c>
      <c r="G110" s="8">
        <f xml:space="preserve"> RTD("kgi.tw.der.pricertdserver.2014.1",,$A110 &amp; "_" &amp; $G$5 &amp; ":" &amp; $E110 &amp; "@" &amp; $F110)</f>
        <v>41.346299999999999</v>
      </c>
      <c r="H110" s="19">
        <f xml:space="preserve"> RTD("kgi.tw.der.pricertdserver.2014.1",,A110 &amp;":"&amp; E110 &amp;"@" &amp; F110)</f>
        <v>41.314700000000002</v>
      </c>
      <c r="I110" s="8">
        <f xml:space="preserve"> RTD("kgi.tw.der.pricertdserver.2014.1",,$A110 &amp; "_" &amp; $I$4 &amp; ":" &amp; $E110 &amp; "@" &amp; $F110)</f>
        <v>-7.9228162514264338E+28</v>
      </c>
      <c r="J110" s="8">
        <f xml:space="preserve"> RTD("kgi.tw.der.pricertdserver.2014.1",,$A110 &amp; "_" &amp; $J$4 &amp; ":" &amp; $E110 &amp; "@" &amp; $F110)</f>
        <v>-7.9228162514264338E+28</v>
      </c>
      <c r="K110" s="7" t="str">
        <f>RTD("kgi.tw.der.pricertdserver.2014.1",,A110 &amp; "_Time" &amp; ":" &amp; E110 &amp; "@" &amp; F110)</f>
        <v>20210514_132943000</v>
      </c>
      <c r="L110" s="45">
        <f t="shared" si="2"/>
        <v>41.314700000000002</v>
      </c>
      <c r="M110" s="43">
        <f>VLOOKUP($A110,XQKGIAP!$A:$I,9,FALSE)</f>
        <v>41.35</v>
      </c>
      <c r="N110" s="43">
        <f xml:space="preserve"> [3]!'TSE,00726B,ADJUST_CLS'</f>
        <v>41.35</v>
      </c>
      <c r="O110" s="2">
        <f xml:space="preserve"> [3]!'TSE,00726B,HST_CLOSE'</f>
        <v>0</v>
      </c>
      <c r="P110" s="2">
        <f xml:space="preserve"> [3]!'TSE,00726B,OPEN_PRC'</f>
        <v>41.2</v>
      </c>
      <c r="Q110" s="2">
        <f xml:space="preserve"> [3]!'TSE,00726B,HIGH_1'</f>
        <v>41.3</v>
      </c>
      <c r="R110" s="2">
        <f xml:space="preserve"> [3]!'TSE,00726B,LOW_1'</f>
        <v>41.2</v>
      </c>
      <c r="S110" s="2">
        <f xml:space="preserve"> [3]!'TSE,00726B,TRDPRC_1'</f>
        <v>41.3</v>
      </c>
      <c r="T110" s="2">
        <f xml:space="preserve"> [3]!'TSE,00726B,BID'</f>
        <v>41.22</v>
      </c>
      <c r="U110" s="2">
        <f xml:space="preserve"> [3]!'TSE,00726B,ASK'</f>
        <v>41.33</v>
      </c>
      <c r="V110" s="2">
        <f t="shared" si="3"/>
        <v>41.3</v>
      </c>
    </row>
    <row r="111" spans="1:22">
      <c r="A111" s="3" t="s">
        <v>124</v>
      </c>
      <c r="B111" s="2" t="s">
        <v>1549</v>
      </c>
      <c r="C111" s="2">
        <v>38.35</v>
      </c>
      <c r="E111" s="7" t="s">
        <v>1115</v>
      </c>
      <c r="F111" s="7" t="s">
        <v>1116</v>
      </c>
      <c r="G111" s="8">
        <f xml:space="preserve"> RTD("kgi.tw.der.pricertdserver.2014.1",,$A111 &amp; "_" &amp; $G$5 &amp; ":" &amp; $E111 &amp; "@" &amp; $F111)</f>
        <v>38.2378</v>
      </c>
      <c r="H111" s="19">
        <f xml:space="preserve"> RTD("kgi.tw.der.pricertdserver.2014.1",,A111 &amp;":"&amp; E111 &amp;"@" &amp; F111)</f>
        <v>38.2224</v>
      </c>
      <c r="I111" s="8">
        <f xml:space="preserve"> RTD("kgi.tw.der.pricertdserver.2014.1",,$A111 &amp; "_" &amp; $I$4 &amp; ":" &amp; $E111 &amp; "@" &amp; $F111)</f>
        <v>-7.9228162514264338E+28</v>
      </c>
      <c r="J111" s="8">
        <f xml:space="preserve"> RTD("kgi.tw.der.pricertdserver.2014.1",,$A111 &amp; "_" &amp; $J$4 &amp; ":" &amp; $E111 &amp; "@" &amp; $F111)</f>
        <v>-7.9228162514264338E+28</v>
      </c>
      <c r="K111" s="7" t="str">
        <f>RTD("kgi.tw.der.pricertdserver.2014.1",,A111 &amp; "_Time" &amp; ":" &amp; E111 &amp; "@" &amp; F111)</f>
        <v>20210514_132943000</v>
      </c>
      <c r="L111" s="45">
        <f t="shared" si="2"/>
        <v>38.2224</v>
      </c>
      <c r="M111" s="43">
        <f>VLOOKUP($A111,XQKGIAP!$A:$I,9,FALSE)</f>
        <v>38.25</v>
      </c>
      <c r="N111" s="43">
        <f xml:space="preserve"> [3]!'TSE,00727B,ADJUST_CLS'</f>
        <v>38.340000000000003</v>
      </c>
      <c r="O111" s="2">
        <f xml:space="preserve"> [3]!'TSE,00727B,HST_CLOSE'</f>
        <v>0</v>
      </c>
      <c r="P111" s="2">
        <f xml:space="preserve"> [3]!'TSE,00727B,OPEN_PRC'</f>
        <v>38.340000000000003</v>
      </c>
      <c r="Q111" s="2">
        <f xml:space="preserve"> [3]!'TSE,00727B,HIGH_1'</f>
        <v>38.35</v>
      </c>
      <c r="R111" s="2">
        <f xml:space="preserve"> [3]!'TSE,00727B,LOW_1'</f>
        <v>38.299999999999997</v>
      </c>
      <c r="S111" s="2">
        <f xml:space="preserve"> [3]!'TSE,00727B,TRDPRC_1'</f>
        <v>38.35</v>
      </c>
      <c r="T111" s="2">
        <f xml:space="preserve"> [3]!'TSE,00727B,BID'</f>
        <v>38.340000000000003</v>
      </c>
      <c r="U111" s="2">
        <f xml:space="preserve"> [3]!'TSE,00727B,ASK'</f>
        <v>38.35</v>
      </c>
      <c r="V111" s="2">
        <f t="shared" si="3"/>
        <v>38.35</v>
      </c>
    </row>
    <row r="112" spans="1:22">
      <c r="A112" s="3" t="s">
        <v>125</v>
      </c>
      <c r="B112" s="2" t="s">
        <v>1550</v>
      </c>
      <c r="C112" s="2">
        <v>26.45</v>
      </c>
      <c r="E112" s="7" t="s">
        <v>1115</v>
      </c>
      <c r="F112" s="7" t="s">
        <v>1116</v>
      </c>
      <c r="G112" s="8">
        <f xml:space="preserve"> RTD("kgi.tw.der.pricertdserver.2014.1",,$A112 &amp; "_" &amp; $G$5 &amp; ":" &amp; $E112 &amp; "@" &amp; $F112)</f>
        <v>25.896206497376262</v>
      </c>
      <c r="H112" s="19">
        <f xml:space="preserve"> RTD("kgi.tw.der.pricertdserver.2014.1",,A112 &amp;":"&amp; E112 &amp;"@" &amp; F112)</f>
        <v>26.304895084777048</v>
      </c>
      <c r="I112" s="8">
        <f xml:space="preserve"> RTD("kgi.tw.der.pricertdserver.2014.1",,$A112 &amp; "_" &amp; $I$4 &amp; ":" &amp; $E112 &amp; "@" &amp; $F112)</f>
        <v>26.273094449278801</v>
      </c>
      <c r="J112" s="8">
        <f xml:space="preserve"> RTD("kgi.tw.der.pricertdserver.2014.1",,$A112 &amp; "_" &amp; $J$4 &amp; ":" &amp; $E112 &amp; "@" &amp; $F112)</f>
        <v>26.321424293964082</v>
      </c>
      <c r="K112" s="7" t="str">
        <f>RTD("kgi.tw.der.pricertdserver.2014.1",,A112 &amp; "_Time" &amp; ":" &amp; E112 &amp; "@" &amp; F112)</f>
        <v>20210514_151459304</v>
      </c>
      <c r="L112" s="45">
        <f t="shared" si="2"/>
        <v>26.304895084777048</v>
      </c>
      <c r="M112" s="43">
        <f>VLOOKUP($A112,XQKGIAP!$A:$I,9,FALSE)</f>
        <v>26.31</v>
      </c>
      <c r="N112" s="43">
        <f xml:space="preserve"> [3]!'TSE,00728,ADJUST_CLS'</f>
        <v>26.07</v>
      </c>
      <c r="O112" s="2">
        <f xml:space="preserve"> [3]!'TSE,00728,HST_CLOSE'</f>
        <v>0</v>
      </c>
      <c r="P112" s="2">
        <f xml:space="preserve"> [3]!'TSE,00728,OPEN_PRC'</f>
        <v>26.5</v>
      </c>
      <c r="Q112" s="2">
        <f xml:space="preserve"> [3]!'TSE,00728,HIGH_1'</f>
        <v>26.64</v>
      </c>
      <c r="R112" s="2">
        <f xml:space="preserve"> [3]!'TSE,00728,LOW_1'</f>
        <v>26.27</v>
      </c>
      <c r="S112" s="2">
        <f xml:space="preserve"> [3]!'TSE,00728,TRDPRC_1'</f>
        <v>26.45</v>
      </c>
      <c r="T112" s="2">
        <f xml:space="preserve"> [3]!'TSE,00728,BID'</f>
        <v>26.45</v>
      </c>
      <c r="U112" s="2">
        <f xml:space="preserve"> [3]!'TSE,00728,ASK'</f>
        <v>26.46</v>
      </c>
      <c r="V112" s="2">
        <f t="shared" si="3"/>
        <v>26.45</v>
      </c>
    </row>
    <row r="113" spans="1:22">
      <c r="A113" s="3" t="s">
        <v>126</v>
      </c>
      <c r="B113" s="2" t="s">
        <v>1551</v>
      </c>
      <c r="C113" s="2">
        <v>20.399999999999999</v>
      </c>
      <c r="E113" s="7" t="s">
        <v>1115</v>
      </c>
      <c r="F113" s="7" t="s">
        <v>1116</v>
      </c>
      <c r="G113" s="8">
        <f xml:space="preserve"> RTD("kgi.tw.der.pricertdserver.2014.1",,$A113 &amp; "_" &amp; $G$5 &amp; ":" &amp; $E113 &amp; "@" &amp; $F113)</f>
        <v>20.311909162741696</v>
      </c>
      <c r="H113" s="19">
        <f xml:space="preserve"> RTD("kgi.tw.der.pricertdserver.2014.1",,A113 &amp;":"&amp; E113 &amp;"@" &amp; F113)</f>
        <v>20.442619104022064</v>
      </c>
      <c r="I113" s="8">
        <f xml:space="preserve"> RTD("kgi.tw.der.pricertdserver.2014.1",,$A113 &amp; "_" &amp; $I$4 &amp; ":" &amp; $E113 &amp; "@" &amp; $F113)</f>
        <v>20.422782628904312</v>
      </c>
      <c r="J113" s="8">
        <f xml:space="preserve"> RTD("kgi.tw.der.pricertdserver.2014.1",,$A113 &amp; "_" &amp; $J$4 &amp; ":" &amp; $E113 &amp; "@" &amp; $F113)</f>
        <v>20.460048948004463</v>
      </c>
      <c r="K113" s="7" t="str">
        <f>RTD("kgi.tw.der.pricertdserver.2014.1",,A113 &amp; "_Time" &amp; ":" &amp; E113 &amp; "@" &amp; F113)</f>
        <v>20210514_151459304</v>
      </c>
      <c r="L113" s="45">
        <f t="shared" si="2"/>
        <v>20.442619104022064</v>
      </c>
      <c r="M113" s="43">
        <f>VLOOKUP($A113,XQKGIAP!$A:$I,9,FALSE)</f>
        <v>20.440000000000001</v>
      </c>
      <c r="N113" s="43">
        <f xml:space="preserve"> [3]!'TSE,00730,ADJUST_CLS'</f>
        <v>20.29</v>
      </c>
      <c r="O113" s="2">
        <f xml:space="preserve"> [3]!'TSE,00730,HST_CLOSE'</f>
        <v>0</v>
      </c>
      <c r="P113" s="2">
        <f xml:space="preserve"> [3]!'TSE,00730,OPEN_PRC'</f>
        <v>20.3</v>
      </c>
      <c r="Q113" s="2">
        <f xml:space="preserve"> [3]!'TSE,00730,HIGH_1'</f>
        <v>20.63</v>
      </c>
      <c r="R113" s="2">
        <f xml:space="preserve"> [3]!'TSE,00730,LOW_1'</f>
        <v>20.3</v>
      </c>
      <c r="S113" s="2">
        <f xml:space="preserve"> [3]!'TSE,00730,TRDPRC_1'</f>
        <v>20.399999999999999</v>
      </c>
      <c r="T113" s="2">
        <f xml:space="preserve"> [3]!'TSE,00730,BID'</f>
        <v>20.399999999999999</v>
      </c>
      <c r="U113" s="2">
        <f xml:space="preserve"> [3]!'TSE,00730,ASK'</f>
        <v>20.420000000000002</v>
      </c>
      <c r="V113" s="2">
        <f t="shared" si="3"/>
        <v>20.399999999999999</v>
      </c>
    </row>
    <row r="114" spans="1:22">
      <c r="A114" s="3" t="s">
        <v>127</v>
      </c>
      <c r="B114" s="2" t="s">
        <v>1552</v>
      </c>
      <c r="C114" s="2">
        <v>55.85</v>
      </c>
      <c r="E114" s="7" t="s">
        <v>1115</v>
      </c>
      <c r="F114" s="7" t="s">
        <v>1116</v>
      </c>
      <c r="G114" s="8">
        <f xml:space="preserve"> RTD("kgi.tw.der.pricertdserver.2014.1",,$A114 &amp; "_" &amp; $G$5 &amp; ":" &amp; $E114 &amp; "@" &amp; $F114)</f>
        <v>55.011740967741936</v>
      </c>
      <c r="H114" s="19">
        <f xml:space="preserve"> RTD("kgi.tw.der.pricertdserver.2014.1",,A114 &amp;":"&amp; E114 &amp;"@" &amp; F114)</f>
        <v>55.685262516129029</v>
      </c>
      <c r="I114" s="8">
        <f xml:space="preserve"> RTD("kgi.tw.der.pricertdserver.2014.1",,$A114 &amp; "_" &amp; $I$4 &amp; ":" &amp; $E114 &amp; "@" &amp; $F114)</f>
        <v>55.592812193548383</v>
      </c>
      <c r="J114" s="8">
        <f xml:space="preserve"> RTD("kgi.tw.der.pricertdserver.2014.1",,$A114 &amp; "_" &amp; $J$4 &amp; ":" &amp; $E114 &amp; "@" &amp; $F114)</f>
        <v>55.705966822580642</v>
      </c>
      <c r="K114" s="7" t="str">
        <f>RTD("kgi.tw.der.pricertdserver.2014.1",,A114 &amp; "_Time" &amp; ":" &amp; E114 &amp; "@" &amp; F114)</f>
        <v>20210514_151459304</v>
      </c>
      <c r="L114" s="45">
        <f t="shared" si="2"/>
        <v>55.685262516129029</v>
      </c>
      <c r="M114" s="43">
        <f>VLOOKUP($A114,XQKGIAP!$A:$I,9,FALSE)</f>
        <v>55.68</v>
      </c>
      <c r="N114" s="43">
        <f xml:space="preserve"> [3]!'TSE,00731,ADJUST_CLS'</f>
        <v>55.35</v>
      </c>
      <c r="O114" s="2">
        <f xml:space="preserve"> [3]!'TSE,00731,HST_CLOSE'</f>
        <v>0</v>
      </c>
      <c r="P114" s="2">
        <f xml:space="preserve"> [3]!'TSE,00731,OPEN_PRC'</f>
        <v>55.35</v>
      </c>
      <c r="Q114" s="2">
        <f xml:space="preserve"> [3]!'TSE,00731,HIGH_1'</f>
        <v>56</v>
      </c>
      <c r="R114" s="2">
        <f xml:space="preserve"> [3]!'TSE,00731,LOW_1'</f>
        <v>55.35</v>
      </c>
      <c r="S114" s="2">
        <f xml:space="preserve"> [3]!'TSE,00731,TRDPRC_1'</f>
        <v>55.85</v>
      </c>
      <c r="T114" s="2">
        <f xml:space="preserve"> [3]!'TSE,00731,BID'</f>
        <v>55.7</v>
      </c>
      <c r="U114" s="2">
        <f xml:space="preserve"> [3]!'TSE,00731,ASK'</f>
        <v>55.85</v>
      </c>
      <c r="V114" s="2">
        <f t="shared" si="3"/>
        <v>55.85</v>
      </c>
    </row>
    <row r="115" spans="1:22">
      <c r="A115" s="3" t="s">
        <v>128</v>
      </c>
      <c r="B115" s="2" t="s">
        <v>1553</v>
      </c>
      <c r="C115" s="2">
        <v>39.69</v>
      </c>
      <c r="E115" s="7" t="s">
        <v>1115</v>
      </c>
      <c r="F115" s="7" t="s">
        <v>1116</v>
      </c>
      <c r="G115" s="8">
        <f xml:space="preserve"> RTD("kgi.tw.der.pricertdserver.2014.1",,$A115 &amp; "_" &amp; $G$5 &amp; ":" &amp; $E115 &amp; "@" &amp; $F115)</f>
        <v>39.706800000000001</v>
      </c>
      <c r="H115" s="19">
        <f xml:space="preserve"> RTD("kgi.tw.der.pricertdserver.2014.1",,A115 &amp;":"&amp; E115 &amp;"@" &amp; F115)</f>
        <v>39.711799999999997</v>
      </c>
      <c r="I115" s="8">
        <f xml:space="preserve"> RTD("kgi.tw.der.pricertdserver.2014.1",,$A115 &amp; "_" &amp; $I$4 &amp; ":" &amp; $E115 &amp; "@" &amp; $F115)</f>
        <v>-7.9228162514264338E+28</v>
      </c>
      <c r="J115" s="8">
        <f xml:space="preserve"> RTD("kgi.tw.der.pricertdserver.2014.1",,$A115 &amp; "_" &amp; $J$4 &amp; ":" &amp; $E115 &amp; "@" &amp; $F115)</f>
        <v>-7.9228162514264338E+28</v>
      </c>
      <c r="K115" s="7" t="str">
        <f>RTD("kgi.tw.der.pricertdserver.2014.1",,A115 &amp; "_Time" &amp; ":" &amp; E115 &amp; "@" &amp; F115)</f>
        <v>20210514_132943000</v>
      </c>
      <c r="L115" s="45">
        <f t="shared" si="2"/>
        <v>39.711799999999997</v>
      </c>
      <c r="M115" s="43">
        <f>VLOOKUP($A115,XQKGIAP!$A:$I,9,FALSE)</f>
        <v>39.799999999999997</v>
      </c>
      <c r="N115" s="43">
        <f xml:space="preserve"> [3]!'TSE,00732,ADJUST_CLS'</f>
        <v>39.75</v>
      </c>
      <c r="O115" s="2">
        <f xml:space="preserve"> [3]!'TSE,00732,HST_CLOSE'</f>
        <v>0</v>
      </c>
      <c r="P115" s="2">
        <f xml:space="preserve"> [3]!'TSE,00732,OPEN_PRC'</f>
        <v>39.69</v>
      </c>
      <c r="Q115" s="2">
        <f xml:space="preserve"> [3]!'TSE,00732,HIGH_1'</f>
        <v>39.69</v>
      </c>
      <c r="R115" s="2">
        <f xml:space="preserve"> [3]!'TSE,00732,LOW_1'</f>
        <v>39.69</v>
      </c>
      <c r="S115" s="2">
        <f xml:space="preserve"> [3]!'TSE,00732,TRDPRC_1'</f>
        <v>39.69</v>
      </c>
      <c r="T115" s="2">
        <f xml:space="preserve"> [3]!'TSE,00732,BID'</f>
        <v>39.590000000000003</v>
      </c>
      <c r="U115" s="2">
        <f xml:space="preserve"> [3]!'TSE,00732,ASK'</f>
        <v>39.65</v>
      </c>
      <c r="V115" s="2">
        <f t="shared" si="3"/>
        <v>39.69</v>
      </c>
    </row>
    <row r="116" spans="1:22">
      <c r="A116" s="3" t="s">
        <v>129</v>
      </c>
      <c r="B116" s="2" t="s">
        <v>1554</v>
      </c>
      <c r="C116" s="2">
        <v>37.5</v>
      </c>
      <c r="E116" s="7" t="s">
        <v>1115</v>
      </c>
      <c r="F116" s="7" t="s">
        <v>1116</v>
      </c>
      <c r="G116" s="8">
        <f xml:space="preserve"> RTD("kgi.tw.der.pricertdserver.2014.1",,$A116 &amp; "_" &amp; $G$5 &amp; ":" &amp; $E116 &amp; "@" &amp; $F116)</f>
        <v>37.762285671282363</v>
      </c>
      <c r="H116" s="19">
        <f xml:space="preserve"> RTD("kgi.tw.der.pricertdserver.2014.1",,A116 &amp;":"&amp; E116 &amp;"@" &amp; F116)</f>
        <v>37.447606420830823</v>
      </c>
      <c r="I116" s="8">
        <f xml:space="preserve"> RTD("kgi.tw.der.pricertdserver.2014.1",,$A116 &amp; "_" &amp; $I$4 &amp; ":" &amp; $E116 &amp; "@" &amp; $F116)</f>
        <v>37.405864233393537</v>
      </c>
      <c r="J116" s="8">
        <f xml:space="preserve"> RTD("kgi.tw.der.pricertdserver.2014.1",,$A116 &amp; "_" &amp; $J$4 &amp; ":" &amp; $E116 &amp; "@" &amp; $F116)</f>
        <v>37.495294136062611</v>
      </c>
      <c r="K116" s="7" t="str">
        <f>RTD("kgi.tw.der.pricertdserver.2014.1",,A116 &amp; "_Time" &amp; ":" &amp; E116 &amp; "@" &amp; F116)</f>
        <v>20210514_151458742</v>
      </c>
      <c r="L116" s="45">
        <f t="shared" si="2"/>
        <v>37.447606420830823</v>
      </c>
      <c r="M116" s="43">
        <f>VLOOKUP($A116,XQKGIAP!$A:$I,9,FALSE)</f>
        <v>37.450000000000003</v>
      </c>
      <c r="N116" s="43">
        <f xml:space="preserve"> [3]!'TSE,00733,ADJUST_CLS'</f>
        <v>37.72</v>
      </c>
      <c r="O116" s="2">
        <f xml:space="preserve"> [3]!'TSE,00733,HST_CLOSE'</f>
        <v>0</v>
      </c>
      <c r="P116" s="2">
        <f xml:space="preserve"> [3]!'TSE,00733,OPEN_PRC'</f>
        <v>38.46</v>
      </c>
      <c r="Q116" s="2">
        <f xml:space="preserve"> [3]!'TSE,00733,HIGH_1'</f>
        <v>39</v>
      </c>
      <c r="R116" s="2">
        <f xml:space="preserve"> [3]!'TSE,00733,LOW_1'</f>
        <v>37.15</v>
      </c>
      <c r="S116" s="2">
        <f xml:space="preserve"> [3]!'TSE,00733,TRDPRC_1'</f>
        <v>37.5</v>
      </c>
      <c r="T116" s="2">
        <f xml:space="preserve"> [3]!'TSE,00733,BID'</f>
        <v>37.5</v>
      </c>
      <c r="U116" s="2">
        <f xml:space="preserve"> [3]!'TSE,00733,ASK'</f>
        <v>37.520000000000003</v>
      </c>
      <c r="V116" s="2">
        <f t="shared" si="3"/>
        <v>37.5</v>
      </c>
    </row>
    <row r="117" spans="1:22">
      <c r="A117" s="3" t="s">
        <v>130</v>
      </c>
      <c r="B117" s="2" t="s">
        <v>1555</v>
      </c>
      <c r="C117" s="2">
        <v>19.21</v>
      </c>
      <c r="E117" s="7" t="s">
        <v>1115</v>
      </c>
      <c r="F117" s="7" t="s">
        <v>1116</v>
      </c>
      <c r="G117" s="8">
        <f xml:space="preserve"> RTD("kgi.tw.der.pricertdserver.2014.1",,$A117 &amp; "_" &amp; $G$5 &amp; ":" &amp; $E117 &amp; "@" &amp; $F117)</f>
        <v>19.309999999999999</v>
      </c>
      <c r="H117" s="19">
        <f xml:space="preserve"> RTD("kgi.tw.der.pricertdserver.2014.1",,A117 &amp;":"&amp; E117 &amp;"@" &amp; F117)</f>
        <v>19.29</v>
      </c>
      <c r="I117" s="8">
        <f xml:space="preserve"> RTD("kgi.tw.der.pricertdserver.2014.1",,$A117 &amp; "_" &amp; $I$4 &amp; ":" &amp; $E117 &amp; "@" &amp; $F117)</f>
        <v>-7.9228162514264338E+28</v>
      </c>
      <c r="J117" s="8">
        <f xml:space="preserve"> RTD("kgi.tw.der.pricertdserver.2014.1",,$A117 &amp; "_" &amp; $J$4 &amp; ":" &amp; $E117 &amp; "@" &amp; $F117)</f>
        <v>-7.9228162514264338E+28</v>
      </c>
      <c r="K117" s="7" t="str">
        <f>RTD("kgi.tw.der.pricertdserver.2014.1",,A117 &amp; "_Time" &amp; ":" &amp; E117 &amp; "@" &amp; F117)</f>
        <v>20210514_133000000</v>
      </c>
      <c r="L117" s="45">
        <f t="shared" si="2"/>
        <v>19.29</v>
      </c>
      <c r="M117" s="43">
        <f>VLOOKUP($A117,XQKGIAP!$A:$I,9,FALSE)</f>
        <v>19.309999999999999</v>
      </c>
      <c r="N117" s="43">
        <f xml:space="preserve"> [3]!'TSE,00734B,ADJUST_CLS'</f>
        <v>19.21</v>
      </c>
      <c r="O117" s="2">
        <f xml:space="preserve"> [3]!'TSE,00734B,HST_CLOSE'</f>
        <v>0</v>
      </c>
      <c r="P117" s="2">
        <f xml:space="preserve"> [3]!'TSE,00734B,OPEN_PRC'</f>
        <v>19.239999999999998</v>
      </c>
      <c r="Q117" s="2">
        <f xml:space="preserve"> [3]!'TSE,00734B,HIGH_1'</f>
        <v>19.25</v>
      </c>
      <c r="R117" s="2">
        <f xml:space="preserve"> [3]!'TSE,00734B,LOW_1'</f>
        <v>19.21</v>
      </c>
      <c r="S117" s="2">
        <f xml:space="preserve"> [3]!'TSE,00734B,TRDPRC_1'</f>
        <v>19.21</v>
      </c>
      <c r="T117" s="2">
        <f xml:space="preserve"> [3]!'TSE,00734B,BID'</f>
        <v>19.21</v>
      </c>
      <c r="U117" s="2">
        <f xml:space="preserve"> [3]!'TSE,00734B,ASK'</f>
        <v>19.239999999999998</v>
      </c>
      <c r="V117" s="2">
        <f t="shared" si="3"/>
        <v>19.21</v>
      </c>
    </row>
    <row r="118" spans="1:22">
      <c r="A118" s="3" t="s">
        <v>131</v>
      </c>
      <c r="B118" s="2" t="s">
        <v>1432</v>
      </c>
      <c r="C118" s="2">
        <v>31.69</v>
      </c>
      <c r="E118" s="7" t="s">
        <v>1115</v>
      </c>
      <c r="F118" s="7" t="s">
        <v>1116</v>
      </c>
      <c r="G118" s="8">
        <f xml:space="preserve"> RTD("kgi.tw.der.pricertdserver.2014.1",,$A118 &amp; "_" &amp; $G$5 &amp; ":" &amp; $E118 &amp; "@" &amp; $F118)</f>
        <v>31.22</v>
      </c>
      <c r="H118" s="19">
        <f xml:space="preserve"> RTD("kgi.tw.der.pricertdserver.2014.1",,A118 &amp;":"&amp; E118 &amp;"@" &amp; F118)</f>
        <v>31.75</v>
      </c>
      <c r="I118" s="8">
        <f xml:space="preserve"> RTD("kgi.tw.der.pricertdserver.2014.1",,$A118 &amp; "_" &amp; $I$4 &amp; ":" &amp; $E118 &amp; "@" &amp; $F118)</f>
        <v>-7.9228162514264338E+28</v>
      </c>
      <c r="J118" s="8">
        <f xml:space="preserve"> RTD("kgi.tw.der.pricertdserver.2014.1",,$A118 &amp; "_" &amp; $J$4 &amp; ":" &amp; $E118 &amp; "@" &amp; $F118)</f>
        <v>-7.9228162514264338E+28</v>
      </c>
      <c r="K118" s="7" t="str">
        <f>RTD("kgi.tw.der.pricertdserver.2014.1",,A118 &amp; "_Time" &amp; ":" &amp; E118 &amp; "@" &amp; F118)</f>
        <v>20210514_132928000</v>
      </c>
      <c r="L118" s="45">
        <f t="shared" si="2"/>
        <v>31.75</v>
      </c>
      <c r="M118" s="43">
        <f>VLOOKUP($A118,XQKGIAP!$A:$I,9,FALSE)</f>
        <v>31.71</v>
      </c>
      <c r="N118" s="43">
        <f xml:space="preserve"> [3]!'TSE,00735,ADJUST_CLS'</f>
        <v>31.6</v>
      </c>
      <c r="O118" s="2">
        <f xml:space="preserve"> [3]!'TSE,00735,HST_CLOSE'</f>
        <v>0</v>
      </c>
      <c r="P118" s="2">
        <f xml:space="preserve"> [3]!'TSE,00735,OPEN_PRC'</f>
        <v>31.64</v>
      </c>
      <c r="Q118" s="2">
        <f xml:space="preserve"> [3]!'TSE,00735,HIGH_1'</f>
        <v>32.049999999999997</v>
      </c>
      <c r="R118" s="2">
        <f xml:space="preserve"> [3]!'TSE,00735,LOW_1'</f>
        <v>31.64</v>
      </c>
      <c r="S118" s="2">
        <f xml:space="preserve"> [3]!'TSE,00735,TRDPRC_1'</f>
        <v>31.69</v>
      </c>
      <c r="T118" s="2">
        <f xml:space="preserve"> [3]!'TSE,00735,BID'</f>
        <v>31.75</v>
      </c>
      <c r="U118" s="2">
        <f xml:space="preserve"> [3]!'TSE,00735,ASK'</f>
        <v>31.8</v>
      </c>
      <c r="V118" s="2">
        <f t="shared" si="3"/>
        <v>31.69</v>
      </c>
    </row>
    <row r="119" spans="1:22">
      <c r="A119" s="3" t="s">
        <v>132</v>
      </c>
      <c r="B119" s="2" t="s">
        <v>1556</v>
      </c>
      <c r="C119" s="2">
        <v>22.58</v>
      </c>
      <c r="E119" s="7" t="s">
        <v>1115</v>
      </c>
      <c r="F119" s="7" t="s">
        <v>1116</v>
      </c>
      <c r="G119" s="8">
        <f xml:space="preserve"> RTD("kgi.tw.der.pricertdserver.2014.1",,$A119 &amp; "_" &amp; $G$5 &amp; ":" &amp; $E119 &amp; "@" &amp; $F119)</f>
        <v>22.45</v>
      </c>
      <c r="H119" s="19">
        <f xml:space="preserve"> RTD("kgi.tw.der.pricertdserver.2014.1",,A119 &amp;":"&amp; E119 &amp;"@" &amp; F119)</f>
        <v>22.49</v>
      </c>
      <c r="I119" s="8">
        <f xml:space="preserve"> RTD("kgi.tw.der.pricertdserver.2014.1",,$A119 &amp; "_" &amp; $I$4 &amp; ":" &amp; $E119 &amp; "@" &amp; $F119)</f>
        <v>-7.9228162514264338E+28</v>
      </c>
      <c r="J119" s="8">
        <f xml:space="preserve"> RTD("kgi.tw.der.pricertdserver.2014.1",,$A119 &amp; "_" &amp; $J$4 &amp; ":" &amp; $E119 &amp; "@" &amp; $F119)</f>
        <v>-7.9228162514264338E+28</v>
      </c>
      <c r="K119" s="7" t="str">
        <f>RTD("kgi.tw.der.pricertdserver.2014.1",,A119 &amp; "_Time" &amp; ":" &amp; E119 &amp; "@" &amp; F119)</f>
        <v>20210514_132943000</v>
      </c>
      <c r="L119" s="45">
        <f t="shared" si="2"/>
        <v>22.49</v>
      </c>
      <c r="M119" s="43">
        <f>VLOOKUP($A119,XQKGIAP!$A:$I,9,FALSE)</f>
        <v>22.49</v>
      </c>
      <c r="N119" s="43">
        <f xml:space="preserve"> [3]!'TSE,00736,ADJUST_CLS'</f>
        <v>22.55</v>
      </c>
      <c r="O119" s="2">
        <f xml:space="preserve"> [3]!'TSE,00736,HST_CLOSE'</f>
        <v>0</v>
      </c>
      <c r="P119" s="2">
        <f xml:space="preserve"> [3]!'TSE,00736,OPEN_PRC'</f>
        <v>22.56</v>
      </c>
      <c r="Q119" s="2">
        <f xml:space="preserve"> [3]!'TSE,00736,HIGH_1'</f>
        <v>22.59</v>
      </c>
      <c r="R119" s="2">
        <f xml:space="preserve"> [3]!'TSE,00736,LOW_1'</f>
        <v>22.5</v>
      </c>
      <c r="S119" s="2">
        <f xml:space="preserve"> [3]!'TSE,00736,TRDPRC_1'</f>
        <v>22.58</v>
      </c>
      <c r="T119" s="2">
        <f xml:space="preserve"> [3]!'TSE,00736,BID'</f>
        <v>22.57</v>
      </c>
      <c r="U119" s="2">
        <f xml:space="preserve"> [3]!'TSE,00736,ASK'</f>
        <v>22.58</v>
      </c>
      <c r="V119" s="2">
        <f t="shared" si="3"/>
        <v>22.58</v>
      </c>
    </row>
    <row r="120" spans="1:22">
      <c r="A120" s="3" t="s">
        <v>133</v>
      </c>
      <c r="B120" s="2" t="s">
        <v>1557</v>
      </c>
      <c r="C120" s="2">
        <v>30.27</v>
      </c>
      <c r="E120" s="7" t="s">
        <v>1115</v>
      </c>
      <c r="F120" s="7" t="s">
        <v>1116</v>
      </c>
      <c r="G120" s="8">
        <f xml:space="preserve"> RTD("kgi.tw.der.pricertdserver.2014.1",,$A120 &amp; "_" &amp; $G$5 &amp; ":" &amp; $E120 &amp; "@" &amp; $F120)</f>
        <v>30.08</v>
      </c>
      <c r="H120" s="19">
        <f xml:space="preserve"> RTD("kgi.tw.der.pricertdserver.2014.1",,A120 &amp;":"&amp; E120 &amp;"@" &amp; F120)</f>
        <v>30.13</v>
      </c>
      <c r="I120" s="8">
        <f xml:space="preserve"> RTD("kgi.tw.der.pricertdserver.2014.1",,$A120 &amp; "_" &amp; $I$4 &amp; ":" &amp; $E120 &amp; "@" &amp; $F120)</f>
        <v>-7.9228162514264338E+28</v>
      </c>
      <c r="J120" s="8">
        <f xml:space="preserve"> RTD("kgi.tw.der.pricertdserver.2014.1",,$A120 &amp; "_" &amp; $J$4 &amp; ":" &amp; $E120 &amp; "@" &amp; $F120)</f>
        <v>-7.9228162514264338E+28</v>
      </c>
      <c r="K120" s="7" t="str">
        <f>RTD("kgi.tw.der.pricertdserver.2014.1",,A120 &amp; "_Time" &amp; ":" &amp; E120 &amp; "@" &amp; F120)</f>
        <v>20210514_132943000</v>
      </c>
      <c r="L120" s="45">
        <f t="shared" si="2"/>
        <v>30.13</v>
      </c>
      <c r="M120" s="43">
        <f>VLOOKUP($A120,XQKGIAP!$A:$I,9,FALSE)</f>
        <v>30.16</v>
      </c>
      <c r="N120" s="43">
        <f xml:space="preserve"> [3]!'TSE,00737,ADJUST_CLS'</f>
        <v>30</v>
      </c>
      <c r="O120" s="2">
        <f xml:space="preserve"> [3]!'TSE,00737,HST_CLOSE'</f>
        <v>0</v>
      </c>
      <c r="P120" s="2">
        <f xml:space="preserve"> [3]!'TSE,00737,OPEN_PRC'</f>
        <v>30</v>
      </c>
      <c r="Q120" s="2">
        <f xml:space="preserve"> [3]!'TSE,00737,HIGH_1'</f>
        <v>30.27</v>
      </c>
      <c r="R120" s="2">
        <f xml:space="preserve"> [3]!'TSE,00737,LOW_1'</f>
        <v>30</v>
      </c>
      <c r="S120" s="2">
        <f xml:space="preserve"> [3]!'TSE,00737,TRDPRC_1'</f>
        <v>30.27</v>
      </c>
      <c r="T120" s="2">
        <f xml:space="preserve"> [3]!'TSE,00737,BID'</f>
        <v>30.23</v>
      </c>
      <c r="U120" s="2">
        <f xml:space="preserve"> [3]!'TSE,00737,ASK'</f>
        <v>30.27</v>
      </c>
      <c r="V120" s="2">
        <f t="shared" si="3"/>
        <v>30.27</v>
      </c>
    </row>
    <row r="121" spans="1:22">
      <c r="A121" s="3" t="s">
        <v>134</v>
      </c>
      <c r="B121" s="2" t="s">
        <v>2511</v>
      </c>
      <c r="C121" s="2">
        <v>27.91</v>
      </c>
      <c r="E121" s="7" t="s">
        <v>1115</v>
      </c>
      <c r="F121" s="7" t="s">
        <v>1116</v>
      </c>
      <c r="G121" s="8">
        <f xml:space="preserve"> RTD("kgi.tw.der.pricertdserver.2014.1",,$A121 &amp; "_" &amp; $G$5 &amp; ":" &amp; $E121 &amp; "@" &amp; $F121)</f>
        <v>27.963058998614919</v>
      </c>
      <c r="H121" s="19">
        <f xml:space="preserve"> RTD("kgi.tw.der.pricertdserver.2014.1",,A121 &amp;":"&amp; E121 &amp;"@" &amp; F121)</f>
        <v>28.241490924961614</v>
      </c>
      <c r="I121" s="8">
        <f xml:space="preserve"> RTD("kgi.tw.der.pricertdserver.2014.1",,$A121 &amp; "_" &amp; $I$4 &amp; ":" &amp; $E121 &amp; "@" &amp; $F121)</f>
        <v>28.231156733073682</v>
      </c>
      <c r="J121" s="8">
        <f xml:space="preserve"> RTD("kgi.tw.der.pricertdserver.2014.1",,$A121 &amp; "_" &amp; $J$4 &amp; ":" &amp; $E121 &amp; "@" &amp; $F121)</f>
        <v>28.241490924961614</v>
      </c>
      <c r="K121" s="7" t="str">
        <f>RTD("kgi.tw.der.pricertdserver.2014.1",,A121 &amp; "_Time" &amp; ":" &amp; E121 &amp; "@" &amp; F121)</f>
        <v>20210514_151459414</v>
      </c>
      <c r="L121" s="45">
        <f t="shared" si="2"/>
        <v>28.241490924961614</v>
      </c>
      <c r="M121" s="43">
        <f>VLOOKUP($A121,XQKGIAP!$A:$I,9,FALSE)</f>
        <v>28.24</v>
      </c>
      <c r="N121" s="43">
        <f xml:space="preserve"> [3]!'TSE,00738U,ADJUST_CLS'</f>
        <v>27.96</v>
      </c>
      <c r="O121" s="2">
        <f xml:space="preserve"> [3]!'TSE,00738U,HST_CLOSE'</f>
        <v>0</v>
      </c>
      <c r="P121" s="2">
        <f xml:space="preserve"> [3]!'TSE,00738U,OPEN_PRC'</f>
        <v>28.05</v>
      </c>
      <c r="Q121" s="2">
        <f xml:space="preserve"> [3]!'TSE,00738U,HIGH_1'</f>
        <v>28.1</v>
      </c>
      <c r="R121" s="2">
        <f xml:space="preserve"> [3]!'TSE,00738U,LOW_1'</f>
        <v>27.87</v>
      </c>
      <c r="S121" s="2">
        <f xml:space="preserve"> [3]!'TSE,00738U,TRDPRC_1'</f>
        <v>27.91</v>
      </c>
      <c r="T121" s="2">
        <f xml:space="preserve"> [3]!'TSE,00738U,BID'</f>
        <v>27.91</v>
      </c>
      <c r="U121" s="2">
        <f xml:space="preserve"> [3]!'TSE,00738U,ASK'</f>
        <v>27.93</v>
      </c>
      <c r="V121" s="2">
        <f t="shared" si="3"/>
        <v>27.91</v>
      </c>
    </row>
    <row r="122" spans="1:22">
      <c r="A122" s="3" t="s">
        <v>135</v>
      </c>
      <c r="B122" s="2" t="s">
        <v>1558</v>
      </c>
      <c r="C122" s="2">
        <v>27.77</v>
      </c>
      <c r="E122" s="7" t="s">
        <v>1115</v>
      </c>
      <c r="F122" s="7" t="s">
        <v>1116</v>
      </c>
      <c r="G122" s="8">
        <f xml:space="preserve"> RTD("kgi.tw.der.pricertdserver.2014.1",,$A122 &amp; "_" &amp; $G$5 &amp; ":" &amp; $E122 &amp; "@" &amp; $F122)</f>
        <v>27.38</v>
      </c>
      <c r="H122" s="19">
        <f xml:space="preserve"> RTD("kgi.tw.der.pricertdserver.2014.1",,A122 &amp;":"&amp; E122 &amp;"@" &amp; F122)</f>
        <v>27.96</v>
      </c>
      <c r="I122" s="8">
        <f xml:space="preserve"> RTD("kgi.tw.der.pricertdserver.2014.1",,$A122 &amp; "_" &amp; $I$4 &amp; ":" &amp; $E122 &amp; "@" &amp; $F122)</f>
        <v>-7.9228162514264338E+28</v>
      </c>
      <c r="J122" s="8">
        <f xml:space="preserve"> RTD("kgi.tw.der.pricertdserver.2014.1",,$A122 &amp; "_" &amp; $J$4 &amp; ":" &amp; $E122 &amp; "@" &amp; $F122)</f>
        <v>-7.9228162514264338E+28</v>
      </c>
      <c r="K122" s="7" t="str">
        <f>RTD("kgi.tw.der.pricertdserver.2014.1",,A122 &amp; "_Time" &amp; ":" &amp; E122 &amp; "@" &amp; F122)</f>
        <v>20210514_132945000</v>
      </c>
      <c r="L122" s="45">
        <f t="shared" si="2"/>
        <v>27.96</v>
      </c>
      <c r="M122" s="43">
        <f>VLOOKUP($A122,XQKGIAP!$A:$I,9,FALSE)</f>
        <v>28.09</v>
      </c>
      <c r="N122" s="43">
        <f xml:space="preserve"> [3]!'TSE,00739,ADJUST_CLS'</f>
        <v>27.1</v>
      </c>
      <c r="O122" s="2">
        <f xml:space="preserve"> [3]!'TSE,00739,HST_CLOSE'</f>
        <v>0</v>
      </c>
      <c r="P122" s="2">
        <f xml:space="preserve"> [3]!'TSE,00739,OPEN_PRC'</f>
        <v>27.35</v>
      </c>
      <c r="Q122" s="2">
        <f xml:space="preserve"> [3]!'TSE,00739,HIGH_1'</f>
        <v>27.85</v>
      </c>
      <c r="R122" s="2">
        <f xml:space="preserve"> [3]!'TSE,00739,LOW_1'</f>
        <v>27.2</v>
      </c>
      <c r="S122" s="2">
        <f xml:space="preserve"> [3]!'TSE,00739,TRDPRC_1'</f>
        <v>27.77</v>
      </c>
      <c r="T122" s="2">
        <f xml:space="preserve"> [3]!'TSE,00739,BID'</f>
        <v>27.77</v>
      </c>
      <c r="U122" s="2">
        <f xml:space="preserve"> [3]!'TSE,00739,ASK'</f>
        <v>27.78</v>
      </c>
      <c r="V122" s="2">
        <f t="shared" si="3"/>
        <v>27.77</v>
      </c>
    </row>
    <row r="123" spans="1:22">
      <c r="A123" s="3" t="s">
        <v>136</v>
      </c>
      <c r="B123" s="2" t="s">
        <v>1559</v>
      </c>
      <c r="C123" s="2">
        <v>45.32</v>
      </c>
      <c r="E123" s="7" t="s">
        <v>1115</v>
      </c>
      <c r="F123" s="7" t="s">
        <v>1116</v>
      </c>
      <c r="G123" s="8">
        <f xml:space="preserve"> RTD("kgi.tw.der.pricertdserver.2014.1",,$A123 &amp; "_" &amp; $G$5 &amp; ":" &amp; $E123 &amp; "@" &amp; $F123)</f>
        <v>45.215699999999998</v>
      </c>
      <c r="H123" s="19">
        <f xml:space="preserve"> RTD("kgi.tw.der.pricertdserver.2014.1",,A123 &amp;":"&amp; E123 &amp;"@" &amp; F123)</f>
        <v>45.239800000000002</v>
      </c>
      <c r="I123" s="8">
        <f xml:space="preserve"> RTD("kgi.tw.der.pricertdserver.2014.1",,$A123 &amp; "_" &amp; $I$4 &amp; ":" &amp; $E123 &amp; "@" &amp; $F123)</f>
        <v>-7.9228162514264338E+28</v>
      </c>
      <c r="J123" s="8">
        <f xml:space="preserve"> RTD("kgi.tw.der.pricertdserver.2014.1",,$A123 &amp; "_" &amp; $J$4 &amp; ":" &amp; $E123 &amp; "@" &amp; $F123)</f>
        <v>-7.9228162514264338E+28</v>
      </c>
      <c r="K123" s="7" t="str">
        <f>RTD("kgi.tw.der.pricertdserver.2014.1",,A123 &amp; "_Time" &amp; ":" &amp; E123 &amp; "@" &amp; F123)</f>
        <v>20210514_132930000</v>
      </c>
      <c r="L123" s="45">
        <f t="shared" si="2"/>
        <v>45.239800000000002</v>
      </c>
      <c r="M123" s="43">
        <f>VLOOKUP($A123,XQKGIAP!$A:$I,9,FALSE)</f>
        <v>45.24</v>
      </c>
      <c r="N123" s="43">
        <f xml:space="preserve"> [3]!'TSE,00740B,ADJUST_CLS'</f>
        <v>45.15</v>
      </c>
      <c r="O123" s="2">
        <f xml:space="preserve"> [3]!'TSE,00740B,HST_CLOSE'</f>
        <v>0</v>
      </c>
      <c r="P123" s="2">
        <f xml:space="preserve"> [3]!'TSE,00740B,OPEN_PRC'</f>
        <v>45.19</v>
      </c>
      <c r="Q123" s="2">
        <f xml:space="preserve"> [3]!'TSE,00740B,HIGH_1'</f>
        <v>45.32</v>
      </c>
      <c r="R123" s="2">
        <f xml:space="preserve"> [3]!'TSE,00740B,LOW_1'</f>
        <v>45.19</v>
      </c>
      <c r="S123" s="2">
        <f xml:space="preserve"> [3]!'TSE,00740B,TRDPRC_1'</f>
        <v>45.32</v>
      </c>
      <c r="T123" s="2">
        <f xml:space="preserve"> [3]!'TSE,00740B,BID'</f>
        <v>45.25</v>
      </c>
      <c r="U123" s="2">
        <f xml:space="preserve"> [3]!'TSE,00740B,ASK'</f>
        <v>45.33</v>
      </c>
      <c r="V123" s="2">
        <f t="shared" si="3"/>
        <v>45.32</v>
      </c>
    </row>
    <row r="124" spans="1:22">
      <c r="A124" s="3" t="s">
        <v>137</v>
      </c>
      <c r="B124" s="2" t="s">
        <v>1560</v>
      </c>
      <c r="C124" s="2">
        <v>37.409999999999997</v>
      </c>
      <c r="E124" s="7" t="s">
        <v>1115</v>
      </c>
      <c r="F124" s="7" t="s">
        <v>1116</v>
      </c>
      <c r="G124" s="8">
        <f xml:space="preserve"> RTD("kgi.tw.der.pricertdserver.2014.1",,$A124 &amp; "_" &amp; $G$5 &amp; ":" &amp; $E124 &amp; "@" &amp; $F124)</f>
        <v>37.316600000000001</v>
      </c>
      <c r="H124" s="19">
        <f xml:space="preserve"> RTD("kgi.tw.der.pricertdserver.2014.1",,A124 &amp;":"&amp; E124 &amp;"@" &amp; F124)</f>
        <v>37.336599999999997</v>
      </c>
      <c r="I124" s="8">
        <f xml:space="preserve"> RTD("kgi.tw.der.pricertdserver.2014.1",,$A124 &amp; "_" &amp; $I$4 &amp; ":" &amp; $E124 &amp; "@" &amp; $F124)</f>
        <v>-7.9228162514264338E+28</v>
      </c>
      <c r="J124" s="8">
        <f xml:space="preserve"> RTD("kgi.tw.der.pricertdserver.2014.1",,$A124 &amp; "_" &amp; $J$4 &amp; ":" &amp; $E124 &amp; "@" &amp; $F124)</f>
        <v>-7.9228162514264338E+28</v>
      </c>
      <c r="K124" s="7" t="str">
        <f>RTD("kgi.tw.der.pricertdserver.2014.1",,A124 &amp; "_Time" &amp; ":" &amp; E124 &amp; "@" &amp; F124)</f>
        <v>20210514_132930000</v>
      </c>
      <c r="L124" s="45">
        <f t="shared" si="2"/>
        <v>37.336599999999997</v>
      </c>
      <c r="M124" s="43">
        <f>VLOOKUP($A124,XQKGIAP!$A:$I,9,FALSE)</f>
        <v>37.340000000000003</v>
      </c>
      <c r="N124" s="43">
        <f xml:space="preserve"> [3]!'TSE,00741B,ADJUST_CLS'</f>
        <v>37.450000000000003</v>
      </c>
      <c r="O124" s="2">
        <f xml:space="preserve"> [3]!'TSE,00741B,HST_CLOSE'</f>
        <v>0</v>
      </c>
      <c r="P124" s="2">
        <f xml:space="preserve"> [3]!'TSE,00741B,OPEN_PRC'</f>
        <v>37.42</v>
      </c>
      <c r="Q124" s="2">
        <f xml:space="preserve"> [3]!'TSE,00741B,HIGH_1'</f>
        <v>37.450000000000003</v>
      </c>
      <c r="R124" s="2">
        <f xml:space="preserve"> [3]!'TSE,00741B,LOW_1'</f>
        <v>37.35</v>
      </c>
      <c r="S124" s="2">
        <f xml:space="preserve"> [3]!'TSE,00741B,TRDPRC_1'</f>
        <v>37.409999999999997</v>
      </c>
      <c r="T124" s="2">
        <f xml:space="preserve"> [3]!'TSE,00741B,BID'</f>
        <v>37.39</v>
      </c>
      <c r="U124" s="2">
        <f xml:space="preserve"> [3]!'TSE,00741B,ASK'</f>
        <v>37.46</v>
      </c>
      <c r="V124" s="2">
        <f t="shared" si="3"/>
        <v>37.409999999999997</v>
      </c>
    </row>
    <row r="125" spans="1:22">
      <c r="A125" s="3" t="s">
        <v>138</v>
      </c>
      <c r="B125" s="2" t="s">
        <v>1561</v>
      </c>
      <c r="C125" s="2">
        <v>21.75</v>
      </c>
      <c r="E125" s="7" t="s">
        <v>1115</v>
      </c>
      <c r="F125" s="7" t="s">
        <v>1116</v>
      </c>
      <c r="G125" s="8">
        <f xml:space="preserve"> RTD("kgi.tw.der.pricertdserver.2014.1",,$A125 &amp; "_" &amp; $G$5 &amp; ":" &amp; $E125 &amp; "@" &amp; $F125)</f>
        <v>21.46</v>
      </c>
      <c r="H125" s="19">
        <f xml:space="preserve"> RTD("kgi.tw.der.pricertdserver.2014.1",,A125 &amp;":"&amp; E125 &amp;"@" &amp; F125)</f>
        <v>21.73</v>
      </c>
      <c r="I125" s="8">
        <f xml:space="preserve"> RTD("kgi.tw.der.pricertdserver.2014.1",,$A125 &amp; "_" &amp; $I$4 &amp; ":" &amp; $E125 &amp; "@" &amp; $F125)</f>
        <v>-7.9228162514264338E+28</v>
      </c>
      <c r="J125" s="8">
        <f xml:space="preserve"> RTD("kgi.tw.der.pricertdserver.2014.1",,$A125 &amp; "_" &amp; $J$4 &amp; ":" &amp; $E125 &amp; "@" &amp; $F125)</f>
        <v>-7.9228162514264338E+28</v>
      </c>
      <c r="K125" s="7" t="str">
        <f>RTD("kgi.tw.der.pricertdserver.2014.1",,A125 &amp; "_Time" &amp; ":" &amp; E125 &amp; "@" &amp; F125)</f>
        <v>20210514_132945000</v>
      </c>
      <c r="L125" s="45">
        <f t="shared" si="2"/>
        <v>21.73</v>
      </c>
      <c r="M125" s="43">
        <f>VLOOKUP($A125,XQKGIAP!$A:$I,9,FALSE)</f>
        <v>21.76</v>
      </c>
      <c r="N125" s="43">
        <f xml:space="preserve"> [3]!'TSE,00742,ADJUST_CLS'</f>
        <v>21.6</v>
      </c>
      <c r="O125" s="2">
        <f xml:space="preserve"> [3]!'TSE,00742,HST_CLOSE'</f>
        <v>0</v>
      </c>
      <c r="P125" s="2">
        <f xml:space="preserve"> [3]!'TSE,00742,OPEN_PRC'</f>
        <v>21.82</v>
      </c>
      <c r="Q125" s="2">
        <f xml:space="preserve"> [3]!'TSE,00742,HIGH_1'</f>
        <v>21.83</v>
      </c>
      <c r="R125" s="2">
        <f xml:space="preserve"> [3]!'TSE,00742,LOW_1'</f>
        <v>21.6</v>
      </c>
      <c r="S125" s="2">
        <f xml:space="preserve"> [3]!'TSE,00742,TRDPRC_1'</f>
        <v>21.75</v>
      </c>
      <c r="T125" s="2">
        <f xml:space="preserve"> [3]!'TSE,00742,BID'</f>
        <v>21.72</v>
      </c>
      <c r="U125" s="2">
        <f xml:space="preserve"> [3]!'TSE,00742,ASK'</f>
        <v>21.8</v>
      </c>
      <c r="V125" s="2">
        <f t="shared" si="3"/>
        <v>21.75</v>
      </c>
    </row>
    <row r="126" spans="1:22">
      <c r="A126" s="3" t="s">
        <v>139</v>
      </c>
      <c r="B126" s="2" t="s">
        <v>1562</v>
      </c>
      <c r="C126" s="2">
        <v>29.05</v>
      </c>
      <c r="E126" s="7" t="s">
        <v>1115</v>
      </c>
      <c r="F126" s="7" t="s">
        <v>1116</v>
      </c>
      <c r="G126" s="8">
        <f xml:space="preserve"> RTD("kgi.tw.der.pricertdserver.2014.1",,$A126 &amp; "_" &amp; $G$5 &amp; ":" &amp; $E126 &amp; "@" &amp; $F126)</f>
        <v>28.67</v>
      </c>
      <c r="H126" s="19">
        <f xml:space="preserve"> RTD("kgi.tw.der.pricertdserver.2014.1",,A126 &amp;":"&amp; E126 &amp;"@" &amp; F126)</f>
        <v>29.17</v>
      </c>
      <c r="I126" s="8">
        <f xml:space="preserve"> RTD("kgi.tw.der.pricertdserver.2014.1",,$A126 &amp; "_" &amp; $I$4 &amp; ":" &amp; $E126 &amp; "@" &amp; $F126)</f>
        <v>-7.9228162514264338E+28</v>
      </c>
      <c r="J126" s="8">
        <f xml:space="preserve"> RTD("kgi.tw.der.pricertdserver.2014.1",,$A126 &amp; "_" &amp; $J$4 &amp; ":" &amp; $E126 &amp; "@" &amp; $F126)</f>
        <v>-7.9228162514264338E+28</v>
      </c>
      <c r="K126" s="7" t="str">
        <f>RTD("kgi.tw.der.pricertdserver.2014.1",,A126 &amp; "_Time" &amp; ":" &amp; E126 &amp; "@" &amp; F126)</f>
        <v>20210514_132943000</v>
      </c>
      <c r="L126" s="45">
        <f t="shared" si="2"/>
        <v>29.17</v>
      </c>
      <c r="M126" s="43">
        <f>VLOOKUP($A126,XQKGIAP!$A:$I,9,FALSE)</f>
        <v>29.33</v>
      </c>
      <c r="N126" s="43">
        <f xml:space="preserve"> [3]!'TSE,00743,ADJUST_CLS'</f>
        <v>28.49</v>
      </c>
      <c r="O126" s="2">
        <f xml:space="preserve"> [3]!'TSE,00743,HST_CLOSE'</f>
        <v>0</v>
      </c>
      <c r="P126" s="2">
        <f xml:space="preserve"> [3]!'TSE,00743,OPEN_PRC'</f>
        <v>28.49</v>
      </c>
      <c r="Q126" s="2">
        <f xml:space="preserve"> [3]!'TSE,00743,HIGH_1'</f>
        <v>29.05</v>
      </c>
      <c r="R126" s="2">
        <f xml:space="preserve"> [3]!'TSE,00743,LOW_1'</f>
        <v>28.49</v>
      </c>
      <c r="S126" s="2">
        <f xml:space="preserve"> [3]!'TSE,00743,TRDPRC_1'</f>
        <v>29.05</v>
      </c>
      <c r="T126" s="2">
        <f xml:space="preserve"> [3]!'TSE,00743,BID'</f>
        <v>29.05</v>
      </c>
      <c r="U126" s="2">
        <f xml:space="preserve"> [3]!'TSE,00743,ASK'</f>
        <v>29.12</v>
      </c>
      <c r="V126" s="2">
        <f t="shared" si="3"/>
        <v>29.05</v>
      </c>
    </row>
    <row r="127" spans="1:22">
      <c r="A127" s="3" t="s">
        <v>140</v>
      </c>
      <c r="B127" s="2" t="s">
        <v>1563</v>
      </c>
      <c r="C127" s="2">
        <v>41.5</v>
      </c>
      <c r="E127" s="7" t="s">
        <v>1115</v>
      </c>
      <c r="F127" s="7" t="s">
        <v>1116</v>
      </c>
      <c r="G127" s="8">
        <f xml:space="preserve"> RTD("kgi.tw.der.pricertdserver.2014.1",,$A127 &amp; "_" &amp; $G$5 &amp; ":" &amp; $E127 &amp; "@" &amp; $F127)</f>
        <v>41.673099999999998</v>
      </c>
      <c r="H127" s="19">
        <f xml:space="preserve"> RTD("kgi.tw.der.pricertdserver.2014.1",,A127 &amp;":"&amp; E127 &amp;"@" &amp; F127)</f>
        <v>41.689900000000002</v>
      </c>
      <c r="I127" s="8">
        <f xml:space="preserve"> RTD("kgi.tw.der.pricertdserver.2014.1",,$A127 &amp; "_" &amp; $I$4 &amp; ":" &amp; $E127 &amp; "@" &amp; $F127)</f>
        <v>-7.9228162514264338E+28</v>
      </c>
      <c r="J127" s="8">
        <f xml:space="preserve"> RTD("kgi.tw.der.pricertdserver.2014.1",,$A127 &amp; "_" &amp; $J$4 &amp; ":" &amp; $E127 &amp; "@" &amp; $F127)</f>
        <v>-7.9228162514264338E+28</v>
      </c>
      <c r="K127" s="7" t="str">
        <f>RTD("kgi.tw.der.pricertdserver.2014.1",,A127 &amp; "_Time" &amp; ":" &amp; E127 &amp; "@" &amp; F127)</f>
        <v>20210514_132943000</v>
      </c>
      <c r="L127" s="45">
        <f t="shared" si="2"/>
        <v>41.689900000000002</v>
      </c>
      <c r="M127" s="43">
        <f>VLOOKUP($A127,XQKGIAP!$A:$I,9,FALSE)</f>
        <v>41.78</v>
      </c>
      <c r="N127" s="43">
        <f xml:space="preserve"> [3]!'TSE,00744B,ADJUST_CLS'</f>
        <v>41.44</v>
      </c>
      <c r="O127" s="2">
        <f xml:space="preserve"> [3]!'TSE,00744B,HST_CLOSE'</f>
        <v>0</v>
      </c>
      <c r="P127" s="2">
        <f xml:space="preserve"> [3]!'TSE,00744B,OPEN_PRC'</f>
        <v>41.5</v>
      </c>
      <c r="Q127" s="2">
        <f xml:space="preserve"> [3]!'TSE,00744B,HIGH_1'</f>
        <v>41.5</v>
      </c>
      <c r="R127" s="2">
        <f xml:space="preserve"> [3]!'TSE,00744B,LOW_1'</f>
        <v>41.5</v>
      </c>
      <c r="S127" s="2">
        <f xml:space="preserve"> [3]!'TSE,00744B,TRDPRC_1'</f>
        <v>41.5</v>
      </c>
      <c r="T127" s="2">
        <f xml:space="preserve"> [3]!'TSE,00744B,BID'</f>
        <v>41.43</v>
      </c>
      <c r="U127" s="2">
        <f xml:space="preserve"> [3]!'TSE,00744B,ASK'</f>
        <v>41.45</v>
      </c>
      <c r="V127" s="2">
        <f t="shared" si="3"/>
        <v>41.5</v>
      </c>
    </row>
    <row r="128" spans="1:22">
      <c r="A128" s="3" t="s">
        <v>141</v>
      </c>
      <c r="B128" s="2" t="s">
        <v>1564</v>
      </c>
      <c r="C128" s="2">
        <v>40.630000000000003</v>
      </c>
      <c r="E128" s="7" t="s">
        <v>1115</v>
      </c>
      <c r="F128" s="7" t="s">
        <v>1116</v>
      </c>
      <c r="G128" s="8">
        <f xml:space="preserve"> RTD("kgi.tw.der.pricertdserver.2014.1",,$A128 &amp; "_" &amp; $G$5 &amp; ":" &amp; $E128 &amp; "@" &amp; $F128)</f>
        <v>40.6462</v>
      </c>
      <c r="H128" s="19">
        <f xml:space="preserve"> RTD("kgi.tw.der.pricertdserver.2014.1",,A128 &amp;":"&amp; E128 &amp;"@" &amp; F128)</f>
        <v>40.709699999999998</v>
      </c>
      <c r="I128" s="8">
        <f xml:space="preserve"> RTD("kgi.tw.der.pricertdserver.2014.1",,$A128 &amp; "_" &amp; $I$4 &amp; ":" &amp; $E128 &amp; "@" &amp; $F128)</f>
        <v>-7.9228162514264338E+28</v>
      </c>
      <c r="J128" s="8">
        <f xml:space="preserve"> RTD("kgi.tw.der.pricertdserver.2014.1",,$A128 &amp; "_" &amp; $J$4 &amp; ":" &amp; $E128 &amp; "@" &amp; $F128)</f>
        <v>-7.9228162514264338E+28</v>
      </c>
      <c r="K128" s="7" t="str">
        <f>RTD("kgi.tw.der.pricertdserver.2014.1",,A128 &amp; "_Time" &amp; ":" &amp; E128 &amp; "@" &amp; F128)</f>
        <v>20210514_132930000</v>
      </c>
      <c r="L128" s="45">
        <f t="shared" si="2"/>
        <v>40.709699999999998</v>
      </c>
      <c r="M128" s="43">
        <f>VLOOKUP($A128,XQKGIAP!$A:$I,9,FALSE)</f>
        <v>40.770000000000003</v>
      </c>
      <c r="N128" s="43">
        <f xml:space="preserve"> [3]!'TSE,00745B,ADJUST_CLS'</f>
        <v>40.57</v>
      </c>
      <c r="O128" s="2">
        <f xml:space="preserve"> [3]!'TSE,00745B,HST_CLOSE'</f>
        <v>0</v>
      </c>
      <c r="P128" s="2">
        <f xml:space="preserve"> [3]!'TSE,00745B,OPEN_PRC'</f>
        <v>40.630000000000003</v>
      </c>
      <c r="Q128" s="2">
        <f xml:space="preserve"> [3]!'TSE,00745B,HIGH_1'</f>
        <v>40.630000000000003</v>
      </c>
      <c r="R128" s="2">
        <f xml:space="preserve"> [3]!'TSE,00745B,LOW_1'</f>
        <v>40.630000000000003</v>
      </c>
      <c r="S128" s="2">
        <f xml:space="preserve"> [3]!'TSE,00745B,TRDPRC_1'</f>
        <v>40.630000000000003</v>
      </c>
      <c r="T128" s="2">
        <f xml:space="preserve"> [3]!'TSE,00745B,BID'</f>
        <v>40.479999999999997</v>
      </c>
      <c r="U128" s="2">
        <f xml:space="preserve"> [3]!'TSE,00745B,ASK'</f>
        <v>40.65</v>
      </c>
      <c r="V128" s="2">
        <f t="shared" si="3"/>
        <v>40.630000000000003</v>
      </c>
    </row>
    <row r="129" spans="1:22">
      <c r="A129" s="3" t="s">
        <v>142</v>
      </c>
      <c r="B129" s="2" t="s">
        <v>1565</v>
      </c>
      <c r="C129" s="2">
        <v>42.55</v>
      </c>
      <c r="E129" s="7" t="s">
        <v>1115</v>
      </c>
      <c r="F129" s="7" t="s">
        <v>1116</v>
      </c>
      <c r="G129" s="8">
        <f xml:space="preserve"> RTD("kgi.tw.der.pricertdserver.2014.1",,$A129 &amp; "_" &amp; $G$5 &amp; ":" &amp; $E129 &amp; "@" &amp; $F129)</f>
        <v>42.267800000000001</v>
      </c>
      <c r="H129" s="19">
        <f xml:space="preserve"> RTD("kgi.tw.der.pricertdserver.2014.1",,A129 &amp;":"&amp; E129 &amp;"@" &amp; F129)</f>
        <v>42.290300000000002</v>
      </c>
      <c r="I129" s="8">
        <f xml:space="preserve"> RTD("kgi.tw.der.pricertdserver.2014.1",,$A129 &amp; "_" &amp; $I$4 &amp; ":" &amp; $E129 &amp; "@" &amp; $F129)</f>
        <v>-7.9228162514264338E+28</v>
      </c>
      <c r="J129" s="8">
        <f xml:space="preserve"> RTD("kgi.tw.der.pricertdserver.2014.1",,$A129 &amp; "_" &amp; $J$4 &amp; ":" &amp; $E129 &amp; "@" &amp; $F129)</f>
        <v>-7.9228162514264338E+28</v>
      </c>
      <c r="K129" s="7" t="str">
        <f>RTD("kgi.tw.der.pricertdserver.2014.1",,A129 &amp; "_Time" &amp; ":" &amp; E129 &amp; "@" &amp; F129)</f>
        <v>20210514_132930000</v>
      </c>
      <c r="L129" s="45">
        <f t="shared" si="2"/>
        <v>42.290300000000002</v>
      </c>
      <c r="M129" s="43">
        <f>VLOOKUP($A129,XQKGIAP!$A:$I,9,FALSE)</f>
        <v>42.29</v>
      </c>
      <c r="N129" s="43">
        <f xml:space="preserve"> [3]!'TSE,00746B,ADJUST_CLS'</f>
        <v>42.38</v>
      </c>
      <c r="O129" s="2">
        <f xml:space="preserve"> [3]!'TSE,00746B,HST_CLOSE'</f>
        <v>0</v>
      </c>
      <c r="P129" s="2">
        <f xml:space="preserve"> [3]!'TSE,00746B,OPEN_PRC'</f>
        <v>42.38</v>
      </c>
      <c r="Q129" s="2">
        <f xml:space="preserve"> [3]!'TSE,00746B,HIGH_1'</f>
        <v>42.55</v>
      </c>
      <c r="R129" s="2">
        <f xml:space="preserve"> [3]!'TSE,00746B,LOW_1'</f>
        <v>42.38</v>
      </c>
      <c r="S129" s="2">
        <f xml:space="preserve"> [3]!'TSE,00746B,TRDPRC_1'</f>
        <v>42.55</v>
      </c>
      <c r="T129" s="2">
        <f xml:space="preserve"> [3]!'TSE,00746B,BID'</f>
        <v>42.41</v>
      </c>
      <c r="U129" s="2">
        <f xml:space="preserve"> [3]!'TSE,00746B,ASK'</f>
        <v>42.45</v>
      </c>
      <c r="V129" s="2">
        <f t="shared" si="3"/>
        <v>42.55</v>
      </c>
    </row>
    <row r="130" spans="1:22">
      <c r="A130" s="3" t="s">
        <v>143</v>
      </c>
      <c r="B130" s="2" t="s">
        <v>1566</v>
      </c>
      <c r="C130" s="2">
        <v>50.75</v>
      </c>
      <c r="E130" s="7" t="s">
        <v>1115</v>
      </c>
      <c r="F130" s="7" t="s">
        <v>1116</v>
      </c>
      <c r="G130" s="8">
        <f xml:space="preserve"> RTD("kgi.tw.der.pricertdserver.2014.1",,$A130 &amp; "_" &amp; $G$5 &amp; ":" &amp; $E130 &amp; "@" &amp; $F130)</f>
        <v>50.692</v>
      </c>
      <c r="H130" s="19">
        <f xml:space="preserve"> RTD("kgi.tw.der.pricertdserver.2014.1",,A130 &amp;":"&amp; E130 &amp;"@" &amp; F130)</f>
        <v>50.752400000000002</v>
      </c>
      <c r="I130" s="8">
        <f xml:space="preserve"> RTD("kgi.tw.der.pricertdserver.2014.1",,$A130 &amp; "_" &amp; $I$4 &amp; ":" &amp; $E130 &amp; "@" &amp; $F130)</f>
        <v>-7.9228162514264338E+28</v>
      </c>
      <c r="J130" s="8">
        <f xml:space="preserve"> RTD("kgi.tw.der.pricertdserver.2014.1",,$A130 &amp; "_" &amp; $J$4 &amp; ":" &amp; $E130 &amp; "@" &amp; $F130)</f>
        <v>-7.9228162514264338E+28</v>
      </c>
      <c r="K130" s="7" t="str">
        <f>RTD("kgi.tw.der.pricertdserver.2014.1",,A130 &amp; "_Time" &amp; ":" &amp; E130 &amp; "@" &amp; F130)</f>
        <v>20210514_132939000</v>
      </c>
      <c r="L130" s="45">
        <f t="shared" si="2"/>
        <v>50.752400000000002</v>
      </c>
      <c r="M130" s="43">
        <f>VLOOKUP($A130,XQKGIAP!$A:$I,9,FALSE)</f>
        <v>50.89</v>
      </c>
      <c r="N130" s="43">
        <f xml:space="preserve"> [3]!'TSE,00747B,ADJUST_CLS'</f>
        <v>50.8</v>
      </c>
      <c r="O130" s="2">
        <f xml:space="preserve"> [3]!'TSE,00747B,HST_CLOSE'</f>
        <v>0</v>
      </c>
      <c r="P130" s="2">
        <f xml:space="preserve"> [3]!'TSE,00747B,OPEN_PRC'</f>
        <v>50.75</v>
      </c>
      <c r="Q130" s="2">
        <f xml:space="preserve"> [3]!'TSE,00747B,HIGH_1'</f>
        <v>50.75</v>
      </c>
      <c r="R130" s="2">
        <f xml:space="preserve"> [3]!'TSE,00747B,LOW_1'</f>
        <v>50.75</v>
      </c>
      <c r="S130" s="2">
        <f xml:space="preserve"> [3]!'TSE,00747B,TRDPRC_1'</f>
        <v>50.75</v>
      </c>
      <c r="T130" s="2">
        <f xml:space="preserve"> [3]!'TSE,00747B,BID'</f>
        <v>50.7</v>
      </c>
      <c r="U130" s="2">
        <f xml:space="preserve"> [3]!'TSE,00747B,ASK'</f>
        <v>50.8</v>
      </c>
      <c r="V130" s="2">
        <f t="shared" si="3"/>
        <v>50.75</v>
      </c>
    </row>
    <row r="131" spans="1:22">
      <c r="A131" s="3" t="s">
        <v>144</v>
      </c>
      <c r="B131" s="2" t="s">
        <v>1567</v>
      </c>
      <c r="C131" s="2">
        <v>41.63</v>
      </c>
      <c r="E131" s="7" t="s">
        <v>1115</v>
      </c>
      <c r="F131" s="7" t="s">
        <v>1116</v>
      </c>
      <c r="G131" s="8">
        <f xml:space="preserve"> RTD("kgi.tw.der.pricertdserver.2014.1",,$A131 &amp; "_" &amp; $G$5 &amp; ":" &amp; $E131 &amp; "@" &amp; $F131)</f>
        <v>41.55</v>
      </c>
      <c r="H131" s="19">
        <f xml:space="preserve"> RTD("kgi.tw.der.pricertdserver.2014.1",,A131 &amp;":"&amp; E131 &amp;"@" &amp; F131)</f>
        <v>41.54</v>
      </c>
      <c r="I131" s="8">
        <f xml:space="preserve"> RTD("kgi.tw.der.pricertdserver.2014.1",,$A131 &amp; "_" &amp; $I$4 &amp; ":" &amp; $E131 &amp; "@" &amp; $F131)</f>
        <v>-7.9228162514264338E+28</v>
      </c>
      <c r="J131" s="8">
        <f xml:space="preserve"> RTD("kgi.tw.der.pricertdserver.2014.1",,$A131 &amp; "_" &amp; $J$4 &amp; ":" &amp; $E131 &amp; "@" &amp; $F131)</f>
        <v>-7.9228162514264338E+28</v>
      </c>
      <c r="K131" s="7" t="str">
        <f>RTD("kgi.tw.der.pricertdserver.2014.1",,A131 &amp; "_Time" &amp; ":" &amp; E131 &amp; "@" &amp; F131)</f>
        <v>20210514_132942000</v>
      </c>
      <c r="L131" s="45">
        <f t="shared" si="2"/>
        <v>41.54</v>
      </c>
      <c r="M131" s="43">
        <f>VLOOKUP($A131,XQKGIAP!$A:$I,9,FALSE)</f>
        <v>41.63</v>
      </c>
      <c r="N131" s="43">
        <f xml:space="preserve"> [3]!'TSE,00748B,ADJUST_CLS'</f>
        <v>41.63</v>
      </c>
      <c r="O131" s="2">
        <f xml:space="preserve"> [3]!'TSE,00748B,HST_CLOSE'</f>
        <v>0</v>
      </c>
      <c r="P131" s="2">
        <f xml:space="preserve"> [3]!'TSE,00748B,OPEN_PRC'</f>
        <v>41.63</v>
      </c>
      <c r="Q131" s="2">
        <f xml:space="preserve"> [3]!'TSE,00748B,HIGH_1'</f>
        <v>41.63</v>
      </c>
      <c r="R131" s="2">
        <f xml:space="preserve"> [3]!'TSE,00748B,LOW_1'</f>
        <v>41.63</v>
      </c>
      <c r="S131" s="2">
        <f xml:space="preserve"> [3]!'TSE,00748B,TRDPRC_1'</f>
        <v>41.63</v>
      </c>
      <c r="T131" s="2">
        <f xml:space="preserve"> [3]!'TSE,00748B,BID'</f>
        <v>41.54</v>
      </c>
      <c r="U131" s="2">
        <f xml:space="preserve"> [3]!'TSE,00748B,ASK'</f>
        <v>41.55</v>
      </c>
      <c r="V131" s="2">
        <f t="shared" si="3"/>
        <v>41.63</v>
      </c>
    </row>
    <row r="132" spans="1:22">
      <c r="A132" s="3" t="s">
        <v>145</v>
      </c>
      <c r="B132" s="2" t="s">
        <v>1568</v>
      </c>
      <c r="C132" s="2">
        <v>41.68</v>
      </c>
      <c r="E132" s="7" t="s">
        <v>1115</v>
      </c>
      <c r="F132" s="7" t="s">
        <v>1116</v>
      </c>
      <c r="G132" s="8">
        <f xml:space="preserve"> RTD("kgi.tw.der.pricertdserver.2014.1",,$A132 &amp; "_" &amp; $G$5 &amp; ":" &amp; $E132 &amp; "@" &amp; $F132)</f>
        <v>41.55</v>
      </c>
      <c r="H132" s="19">
        <f xml:space="preserve"> RTD("kgi.tw.der.pricertdserver.2014.1",,A132 &amp;":"&amp; E132 &amp;"@" &amp; F132)</f>
        <v>41.52</v>
      </c>
      <c r="I132" s="8">
        <f xml:space="preserve"> RTD("kgi.tw.der.pricertdserver.2014.1",,$A132 &amp; "_" &amp; $I$4 &amp; ":" &amp; $E132 &amp; "@" &amp; $F132)</f>
        <v>-7.9228162514264338E+28</v>
      </c>
      <c r="J132" s="8">
        <f xml:space="preserve"> RTD("kgi.tw.der.pricertdserver.2014.1",,$A132 &amp; "_" &amp; $J$4 &amp; ":" &amp; $E132 &amp; "@" &amp; $F132)</f>
        <v>-7.9228162514264338E+28</v>
      </c>
      <c r="K132" s="7" t="str">
        <f>RTD("kgi.tw.der.pricertdserver.2014.1",,A132 &amp; "_Time" &amp; ":" &amp; E132 &amp; "@" &amp; F132)</f>
        <v>20210514_132942000</v>
      </c>
      <c r="L132" s="45">
        <f t="shared" si="2"/>
        <v>41.52</v>
      </c>
      <c r="M132" s="43">
        <f>VLOOKUP($A132,XQKGIAP!$A:$I,9,FALSE)</f>
        <v>41.56</v>
      </c>
      <c r="N132" s="43">
        <f xml:space="preserve"> [3]!'TSE,00749B,ADJUST_CLS'</f>
        <v>41.63</v>
      </c>
      <c r="O132" s="2">
        <f xml:space="preserve"> [3]!'TSE,00749B,HST_CLOSE'</f>
        <v>0</v>
      </c>
      <c r="P132" s="2">
        <f xml:space="preserve"> [3]!'TSE,00749B,OPEN_PRC'</f>
        <v>41.52</v>
      </c>
      <c r="Q132" s="2">
        <f xml:space="preserve"> [3]!'TSE,00749B,HIGH_1'</f>
        <v>41.68</v>
      </c>
      <c r="R132" s="2">
        <f xml:space="preserve"> [3]!'TSE,00749B,LOW_1'</f>
        <v>41.52</v>
      </c>
      <c r="S132" s="2">
        <f xml:space="preserve"> [3]!'TSE,00749B,TRDPRC_1'</f>
        <v>41.68</v>
      </c>
      <c r="T132" s="2">
        <f xml:space="preserve"> [3]!'TSE,00749B,BID'</f>
        <v>41.6</v>
      </c>
      <c r="U132" s="2">
        <f xml:space="preserve"> [3]!'TSE,00749B,ASK'</f>
        <v>41.65</v>
      </c>
      <c r="V132" s="2">
        <f t="shared" si="3"/>
        <v>41.68</v>
      </c>
    </row>
    <row r="133" spans="1:22">
      <c r="A133" s="3" t="s">
        <v>146</v>
      </c>
      <c r="B133" s="2" t="s">
        <v>1569</v>
      </c>
      <c r="C133" s="2">
        <v>41.29</v>
      </c>
      <c r="E133" s="7" t="s">
        <v>1115</v>
      </c>
      <c r="F133" s="7" t="s">
        <v>1116</v>
      </c>
      <c r="G133" s="8">
        <f xml:space="preserve"> RTD("kgi.tw.der.pricertdserver.2014.1",,$A133 &amp; "_" &amp; $G$5 &amp; ":" &amp; $E133 &amp; "@" &amp; $F133)</f>
        <v>41.23</v>
      </c>
      <c r="H133" s="19">
        <f xml:space="preserve"> RTD("kgi.tw.der.pricertdserver.2014.1",,A133 &amp;":"&amp; E133 &amp;"@" &amp; F133)</f>
        <v>41.2</v>
      </c>
      <c r="I133" s="8">
        <f xml:space="preserve"> RTD("kgi.tw.der.pricertdserver.2014.1",,$A133 &amp; "_" &amp; $I$4 &amp; ":" &amp; $E133 &amp; "@" &amp; $F133)</f>
        <v>-7.9228162514264338E+28</v>
      </c>
      <c r="J133" s="8">
        <f xml:space="preserve"> RTD("kgi.tw.der.pricertdserver.2014.1",,$A133 &amp; "_" &amp; $J$4 &amp; ":" &amp; $E133 &amp; "@" &amp; $F133)</f>
        <v>-7.9228162514264338E+28</v>
      </c>
      <c r="K133" s="7" t="str">
        <f>RTD("kgi.tw.der.pricertdserver.2014.1",,A133 &amp; "_Time" &amp; ":" &amp; E133 &amp; "@" &amp; F133)</f>
        <v>20210514_132957000</v>
      </c>
      <c r="L133" s="45">
        <f t="shared" si="2"/>
        <v>41.2</v>
      </c>
      <c r="M133" s="43">
        <f>VLOOKUP($A133,XQKGIAP!$A:$I,9,FALSE)</f>
        <v>41.23</v>
      </c>
      <c r="N133" s="43">
        <f xml:space="preserve"> [3]!'TSE,00750B,ADJUST_CLS'</f>
        <v>41.22</v>
      </c>
      <c r="O133" s="2">
        <f xml:space="preserve"> [3]!'TSE,00750B,HST_CLOSE'</f>
        <v>0</v>
      </c>
      <c r="P133" s="2">
        <f xml:space="preserve"> [3]!'TSE,00750B,OPEN_PRC'</f>
        <v>41.22</v>
      </c>
      <c r="Q133" s="2">
        <f xml:space="preserve"> [3]!'TSE,00750B,HIGH_1'</f>
        <v>41.29</v>
      </c>
      <c r="R133" s="2">
        <f xml:space="preserve"> [3]!'TSE,00750B,LOW_1'</f>
        <v>41.22</v>
      </c>
      <c r="S133" s="2">
        <f xml:space="preserve"> [3]!'TSE,00750B,TRDPRC_1'</f>
        <v>41.29</v>
      </c>
      <c r="T133" s="2">
        <f xml:space="preserve"> [3]!'TSE,00750B,BID'</f>
        <v>41.21</v>
      </c>
      <c r="U133" s="2">
        <f xml:space="preserve"> [3]!'TSE,00750B,ASK'</f>
        <v>41.25</v>
      </c>
      <c r="V133" s="2">
        <f t="shared" si="3"/>
        <v>41.29</v>
      </c>
    </row>
    <row r="134" spans="1:22">
      <c r="A134" s="3" t="s">
        <v>147</v>
      </c>
      <c r="B134" s="2" t="s">
        <v>1570</v>
      </c>
      <c r="C134" s="2">
        <v>42.46</v>
      </c>
      <c r="E134" s="7" t="s">
        <v>1115</v>
      </c>
      <c r="F134" s="7" t="s">
        <v>1116</v>
      </c>
      <c r="G134" s="8">
        <f xml:space="preserve"> RTD("kgi.tw.der.pricertdserver.2014.1",,$A134 &amp; "_" &amp; $G$5 &amp; ":" &amp; $E134 &amp; "@" &amp; $F134)</f>
        <v>42.393700000000003</v>
      </c>
      <c r="H134" s="19">
        <f xml:space="preserve"> RTD("kgi.tw.der.pricertdserver.2014.1",,A134 &amp;":"&amp; E134 &amp;"@" &amp; F134)</f>
        <v>42.395099999999999</v>
      </c>
      <c r="I134" s="8">
        <f xml:space="preserve"> RTD("kgi.tw.der.pricertdserver.2014.1",,$A134 &amp; "_" &amp; $I$4 &amp; ":" &amp; $E134 &amp; "@" &amp; $F134)</f>
        <v>-7.9228162514264338E+28</v>
      </c>
      <c r="J134" s="8">
        <f xml:space="preserve"> RTD("kgi.tw.der.pricertdserver.2014.1",,$A134 &amp; "_" &amp; $J$4 &amp; ":" &amp; $E134 &amp; "@" &amp; $F134)</f>
        <v>-7.9228162514264338E+28</v>
      </c>
      <c r="K134" s="7" t="str">
        <f>RTD("kgi.tw.der.pricertdserver.2014.1",,A134 &amp; "_Time" &amp; ":" &amp; E134 &amp; "@" &amp; F134)</f>
        <v>20210514_132945000</v>
      </c>
      <c r="L134" s="45">
        <f t="shared" si="2"/>
        <v>42.395099999999999</v>
      </c>
      <c r="M134" s="43">
        <f>VLOOKUP($A134,XQKGIAP!$A:$I,9,FALSE)</f>
        <v>42.43</v>
      </c>
      <c r="N134" s="43">
        <f xml:space="preserve"> [3]!'TSE,00751B,ADJUST_CLS'</f>
        <v>42.41</v>
      </c>
      <c r="O134" s="2">
        <f xml:space="preserve"> [3]!'TSE,00751B,HST_CLOSE'</f>
        <v>0</v>
      </c>
      <c r="P134" s="2">
        <f xml:space="preserve"> [3]!'TSE,00751B,OPEN_PRC'</f>
        <v>42.41</v>
      </c>
      <c r="Q134" s="2">
        <f xml:space="preserve"> [3]!'TSE,00751B,HIGH_1'</f>
        <v>42.5</v>
      </c>
      <c r="R134" s="2">
        <f xml:space="preserve"> [3]!'TSE,00751B,LOW_1'</f>
        <v>42.38</v>
      </c>
      <c r="S134" s="2">
        <f xml:space="preserve"> [3]!'TSE,00751B,TRDPRC_1'</f>
        <v>42.46</v>
      </c>
      <c r="T134" s="2">
        <f xml:space="preserve"> [3]!'TSE,00751B,BID'</f>
        <v>42.46</v>
      </c>
      <c r="U134" s="2">
        <f xml:space="preserve"> [3]!'TSE,00751B,ASK'</f>
        <v>42.53</v>
      </c>
      <c r="V134" s="2">
        <f t="shared" si="3"/>
        <v>42.46</v>
      </c>
    </row>
    <row r="135" spans="1:22">
      <c r="A135" s="3" t="s">
        <v>148</v>
      </c>
      <c r="B135" s="2" t="s">
        <v>1571</v>
      </c>
      <c r="C135" s="2">
        <v>27.52</v>
      </c>
      <c r="E135" s="7" t="s">
        <v>1115</v>
      </c>
      <c r="F135" s="7" t="s">
        <v>1116</v>
      </c>
      <c r="G135" s="8">
        <f xml:space="preserve"> RTD("kgi.tw.der.pricertdserver.2014.1",,$A135 &amp; "_" &amp; $G$5 &amp; ":" &amp; $E135 &amp; "@" &amp; $F135)</f>
        <v>27.25</v>
      </c>
      <c r="H135" s="19">
        <f xml:space="preserve"> RTD("kgi.tw.der.pricertdserver.2014.1",,A135 &amp;":"&amp; E135 &amp;"@" &amp; F135)</f>
        <v>27.39</v>
      </c>
      <c r="I135" s="8">
        <f xml:space="preserve"> RTD("kgi.tw.der.pricertdserver.2014.1",,$A135 &amp; "_" &amp; $I$4 &amp; ":" &amp; $E135 &amp; "@" &amp; $F135)</f>
        <v>-7.9228162514264338E+28</v>
      </c>
      <c r="J135" s="8">
        <f xml:space="preserve"> RTD("kgi.tw.der.pricertdserver.2014.1",,$A135 &amp; "_" &amp; $J$4 &amp; ":" &amp; $E135 &amp; "@" &amp; $F135)</f>
        <v>-7.9228162514264338E+28</v>
      </c>
      <c r="K135" s="7" t="str">
        <f>RTD("kgi.tw.der.pricertdserver.2014.1",,A135 &amp; "_Time" &amp; ":" &amp; E135 &amp; "@" &amp; F135)</f>
        <v>20210514_132949000</v>
      </c>
      <c r="L135" s="45">
        <f t="shared" ref="L135:L198" si="4">IF(ISERROR($H135),$M135,$H135)</f>
        <v>27.39</v>
      </c>
      <c r="M135" s="43">
        <f>VLOOKUP($A135,XQKGIAP!$A:$I,9,FALSE)</f>
        <v>27.42</v>
      </c>
      <c r="N135" s="43">
        <f xml:space="preserve"> [3]!'TSE,00752,ADJUST_CLS'</f>
        <v>27.85</v>
      </c>
      <c r="O135" s="2">
        <f xml:space="preserve"> [3]!'TSE,00752,HST_CLOSE'</f>
        <v>0</v>
      </c>
      <c r="P135" s="2">
        <f xml:space="preserve"> [3]!'TSE,00752,OPEN_PRC'</f>
        <v>27.69</v>
      </c>
      <c r="Q135" s="2">
        <f xml:space="preserve"> [3]!'TSE,00752,HIGH_1'</f>
        <v>27.69</v>
      </c>
      <c r="R135" s="2">
        <f xml:space="preserve"> [3]!'TSE,00752,LOW_1'</f>
        <v>27.27</v>
      </c>
      <c r="S135" s="2">
        <f xml:space="preserve"> [3]!'TSE,00752,TRDPRC_1'</f>
        <v>27.52</v>
      </c>
      <c r="T135" s="2">
        <f xml:space="preserve"> [3]!'TSE,00752,BID'</f>
        <v>27.51</v>
      </c>
      <c r="U135" s="2">
        <f xml:space="preserve"> [3]!'TSE,00752,ASK'</f>
        <v>27.52</v>
      </c>
      <c r="V135" s="2">
        <f t="shared" ref="V135:V198" si="5">IF($V$1=0,IF(S135&lt;&gt;0,S135,N135),C135)</f>
        <v>27.52</v>
      </c>
    </row>
    <row r="136" spans="1:22">
      <c r="A136" s="3" t="s">
        <v>149</v>
      </c>
      <c r="B136" s="2" t="s">
        <v>1572</v>
      </c>
      <c r="C136" s="2">
        <v>33.36</v>
      </c>
      <c r="E136" s="7" t="s">
        <v>1115</v>
      </c>
      <c r="F136" s="7" t="s">
        <v>1116</v>
      </c>
      <c r="G136" s="8">
        <f xml:space="preserve"> RTD("kgi.tw.der.pricertdserver.2014.1",,$A136 &amp; "_" &amp; $G$5 &amp; ":" &amp; $E136 &amp; "@" &amp; $F136)</f>
        <v>33.180656165666136</v>
      </c>
      <c r="H136" s="19">
        <f xml:space="preserve"> RTD("kgi.tw.der.pricertdserver.2014.1",,A136 &amp;":"&amp; E136 &amp;"@" &amp; F136)</f>
        <v>33.394501279121002</v>
      </c>
      <c r="I136" s="8">
        <f xml:space="preserve"> RTD("kgi.tw.der.pricertdserver.2014.1",,$A136 &amp; "_" &amp; $I$4 &amp; ":" &amp; $E136 &amp; "@" &amp; $F136)</f>
        <v>33.3700618375833</v>
      </c>
      <c r="J136" s="8">
        <f xml:space="preserve"> RTD("kgi.tw.der.pricertdserver.2014.1",,$A136 &amp; "_" &amp; $J$4 &amp; ":" &amp; $E136 &amp; "@" &amp; $F136)</f>
        <v>33.47392946411852</v>
      </c>
      <c r="K136" s="7" t="str">
        <f>RTD("kgi.tw.der.pricertdserver.2014.1",,A136 &amp; "_Time" &amp; ":" &amp; E136 &amp; "@" &amp; F136)</f>
        <v>20210514_151455616</v>
      </c>
      <c r="L136" s="45">
        <f t="shared" si="4"/>
        <v>33.394501279121002</v>
      </c>
      <c r="M136" s="43">
        <f>VLOOKUP($A136,XQKGIAP!$A:$I,9,FALSE)</f>
        <v>33.4</v>
      </c>
      <c r="N136" s="43">
        <f xml:space="preserve"> [3]!'TSE,00753L,ADJUST_CLS'</f>
        <v>33.99</v>
      </c>
      <c r="O136" s="2">
        <f xml:space="preserve"> [3]!'TSE,00753L,HST_CLOSE'</f>
        <v>0</v>
      </c>
      <c r="P136" s="2">
        <f xml:space="preserve"> [3]!'TSE,00753L,OPEN_PRC'</f>
        <v>33.58</v>
      </c>
      <c r="Q136" s="2">
        <f xml:space="preserve"> [3]!'TSE,00753L,HIGH_1'</f>
        <v>33.6</v>
      </c>
      <c r="R136" s="2">
        <f xml:space="preserve"> [3]!'TSE,00753L,LOW_1'</f>
        <v>32.68</v>
      </c>
      <c r="S136" s="2">
        <f xml:space="preserve"> [3]!'TSE,00753L,TRDPRC_1'</f>
        <v>33.36</v>
      </c>
      <c r="T136" s="2">
        <f xml:space="preserve"> [3]!'TSE,00753L,BID'</f>
        <v>33.35</v>
      </c>
      <c r="U136" s="2">
        <f xml:space="preserve"> [3]!'TSE,00753L,ASK'</f>
        <v>33.39</v>
      </c>
      <c r="V136" s="2">
        <f t="shared" si="5"/>
        <v>33.36</v>
      </c>
    </row>
    <row r="137" spans="1:22">
      <c r="A137" s="3" t="s">
        <v>150</v>
      </c>
      <c r="B137" s="2" t="s">
        <v>1573</v>
      </c>
      <c r="C137" s="2">
        <v>43.85</v>
      </c>
      <c r="E137" s="7" t="s">
        <v>1115</v>
      </c>
      <c r="F137" s="7" t="s">
        <v>1116</v>
      </c>
      <c r="G137" s="8">
        <f xml:space="preserve"> RTD("kgi.tw.der.pricertdserver.2014.1",,$A137 &amp; "_" &amp; $G$5 &amp; ":" &amp; $E137 &amp; "@" &amp; $F137)</f>
        <v>43.734299999999998</v>
      </c>
      <c r="H137" s="19">
        <f xml:space="preserve"> RTD("kgi.tw.der.pricertdserver.2014.1",,A137 &amp;":"&amp; E137 &amp;"@" &amp; F137)</f>
        <v>43.697299999999998</v>
      </c>
      <c r="I137" s="8">
        <f xml:space="preserve"> RTD("kgi.tw.der.pricertdserver.2014.1",,$A137 &amp; "_" &amp; $I$4 &amp; ":" &amp; $E137 &amp; "@" &amp; $F137)</f>
        <v>-7.9228162514264338E+28</v>
      </c>
      <c r="J137" s="8">
        <f xml:space="preserve"> RTD("kgi.tw.der.pricertdserver.2014.1",,$A137 &amp; "_" &amp; $J$4 &amp; ":" &amp; $E137 &amp; "@" &amp; $F137)</f>
        <v>-7.9228162514264338E+28</v>
      </c>
      <c r="K137" s="7" t="str">
        <f>RTD("kgi.tw.der.pricertdserver.2014.1",,A137 &amp; "_Time" &amp; ":" &amp; E137 &amp; "@" &amp; F137)</f>
        <v>20210514_132945000</v>
      </c>
      <c r="L137" s="45">
        <f t="shared" si="4"/>
        <v>43.697299999999998</v>
      </c>
      <c r="M137" s="43">
        <f>VLOOKUP($A137,XQKGIAP!$A:$I,9,FALSE)</f>
        <v>43.73</v>
      </c>
      <c r="N137" s="43">
        <f xml:space="preserve"> [3]!'TSE,00754B,ADJUST_CLS'</f>
        <v>43.66</v>
      </c>
      <c r="O137" s="2">
        <f xml:space="preserve"> [3]!'TSE,00754B,HST_CLOSE'</f>
        <v>0</v>
      </c>
      <c r="P137" s="2">
        <f xml:space="preserve"> [3]!'TSE,00754B,OPEN_PRC'</f>
        <v>43.85</v>
      </c>
      <c r="Q137" s="2">
        <f xml:space="preserve"> [3]!'TSE,00754B,HIGH_1'</f>
        <v>43.85</v>
      </c>
      <c r="R137" s="2">
        <f xml:space="preserve"> [3]!'TSE,00754B,LOW_1'</f>
        <v>43.83</v>
      </c>
      <c r="S137" s="2">
        <f xml:space="preserve"> [3]!'TSE,00754B,TRDPRC_1'</f>
        <v>43.85</v>
      </c>
      <c r="T137" s="2">
        <f xml:space="preserve"> [3]!'TSE,00754B,BID'</f>
        <v>43.79</v>
      </c>
      <c r="U137" s="2">
        <f xml:space="preserve"> [3]!'TSE,00754B,ASK'</f>
        <v>43.86</v>
      </c>
      <c r="V137" s="2">
        <f t="shared" si="5"/>
        <v>43.85</v>
      </c>
    </row>
    <row r="138" spans="1:22">
      <c r="A138" s="3" t="s">
        <v>151</v>
      </c>
      <c r="B138" s="2" t="s">
        <v>1574</v>
      </c>
      <c r="C138" s="2">
        <v>42.15</v>
      </c>
      <c r="E138" s="7" t="s">
        <v>1115</v>
      </c>
      <c r="F138" s="7" t="s">
        <v>1116</v>
      </c>
      <c r="G138" s="8">
        <f xml:space="preserve"> RTD("kgi.tw.der.pricertdserver.2014.1",,$A138 &amp; "_" &amp; $G$5 &amp; ":" &amp; $E138 &amp; "@" &amp; $F138)</f>
        <v>41.936599999999999</v>
      </c>
      <c r="H138" s="19">
        <f xml:space="preserve"> RTD("kgi.tw.der.pricertdserver.2014.1",,A138 &amp;":"&amp; E138 &amp;"@" &amp; F138)</f>
        <v>41.901499999999999</v>
      </c>
      <c r="I138" s="8">
        <f xml:space="preserve"> RTD("kgi.tw.der.pricertdserver.2014.1",,$A138 &amp; "_" &amp; $I$4 &amp; ":" &amp; $E138 &amp; "@" &amp; $F138)</f>
        <v>-7.9228162514264338E+28</v>
      </c>
      <c r="J138" s="8">
        <f xml:space="preserve"> RTD("kgi.tw.der.pricertdserver.2014.1",,$A138 &amp; "_" &amp; $J$4 &amp; ":" &amp; $E138 &amp; "@" &amp; $F138)</f>
        <v>-7.9228162514264338E+28</v>
      </c>
      <c r="K138" s="7" t="str">
        <f>RTD("kgi.tw.der.pricertdserver.2014.1",,A138 &amp; "_Time" &amp; ":" &amp; E138 &amp; "@" &amp; F138)</f>
        <v>20210514_132945000</v>
      </c>
      <c r="L138" s="45">
        <f t="shared" si="4"/>
        <v>41.901499999999999</v>
      </c>
      <c r="M138" s="43">
        <f>VLOOKUP($A138,XQKGIAP!$A:$I,9,FALSE)</f>
        <v>41.94</v>
      </c>
      <c r="N138" s="43">
        <f xml:space="preserve"> [3]!'TSE,00755B,ADJUST_CLS'</f>
        <v>42.07</v>
      </c>
      <c r="O138" s="2">
        <f xml:space="preserve"> [3]!'TSE,00755B,HST_CLOSE'</f>
        <v>0</v>
      </c>
      <c r="P138" s="2">
        <f xml:space="preserve"> [3]!'TSE,00755B,OPEN_PRC'</f>
        <v>42.07</v>
      </c>
      <c r="Q138" s="2">
        <f xml:space="preserve"> [3]!'TSE,00755B,HIGH_1'</f>
        <v>42.19</v>
      </c>
      <c r="R138" s="2">
        <f xml:space="preserve"> [3]!'TSE,00755B,LOW_1'</f>
        <v>42.07</v>
      </c>
      <c r="S138" s="2">
        <f xml:space="preserve"> [3]!'TSE,00755B,TRDPRC_1'</f>
        <v>42.15</v>
      </c>
      <c r="T138" s="2">
        <f xml:space="preserve"> [3]!'TSE,00755B,BID'</f>
        <v>42.1</v>
      </c>
      <c r="U138" s="2">
        <f xml:space="preserve"> [3]!'TSE,00755B,ASK'</f>
        <v>42.2</v>
      </c>
      <c r="V138" s="2">
        <f t="shared" si="5"/>
        <v>42.15</v>
      </c>
    </row>
    <row r="139" spans="1:22">
      <c r="A139" s="3" t="s">
        <v>152</v>
      </c>
      <c r="B139" s="2" t="s">
        <v>1575</v>
      </c>
      <c r="C139" s="2">
        <v>43.55</v>
      </c>
      <c r="E139" s="7" t="s">
        <v>1115</v>
      </c>
      <c r="F139" s="7" t="s">
        <v>1116</v>
      </c>
      <c r="G139" s="8">
        <f xml:space="preserve"> RTD("kgi.tw.der.pricertdserver.2014.1",,$A139 &amp; "_" &amp; $G$5 &amp; ":" &amp; $E139 &amp; "@" &amp; $F139)</f>
        <v>43.3108</v>
      </c>
      <c r="H139" s="19">
        <f xml:space="preserve"> RTD("kgi.tw.der.pricertdserver.2014.1",,A139 &amp;":"&amp; E139 &amp;"@" &amp; F139)</f>
        <v>43.275199999999998</v>
      </c>
      <c r="I139" s="8">
        <f xml:space="preserve"> RTD("kgi.tw.der.pricertdserver.2014.1",,$A139 &amp; "_" &amp; $I$4 &amp; ":" &amp; $E139 &amp; "@" &amp; $F139)</f>
        <v>-7.9228162514264338E+28</v>
      </c>
      <c r="J139" s="8">
        <f xml:space="preserve"> RTD("kgi.tw.der.pricertdserver.2014.1",,$A139 &amp; "_" &amp; $J$4 &amp; ":" &amp; $E139 &amp; "@" &amp; $F139)</f>
        <v>-7.9228162514264338E+28</v>
      </c>
      <c r="K139" s="7" t="str">
        <f>RTD("kgi.tw.der.pricertdserver.2014.1",,A139 &amp; "_Time" &amp; ":" &amp; E139 &amp; "@" &amp; F139)</f>
        <v>20210514_132945000</v>
      </c>
      <c r="L139" s="45">
        <f t="shared" si="4"/>
        <v>43.275199999999998</v>
      </c>
      <c r="M139" s="43">
        <f>VLOOKUP($A139,XQKGIAP!$A:$I,9,FALSE)</f>
        <v>43.31</v>
      </c>
      <c r="N139" s="43">
        <f xml:space="preserve"> [3]!'TSE,00756B,ADJUST_CLS'</f>
        <v>43.52</v>
      </c>
      <c r="O139" s="2">
        <f xml:space="preserve"> [3]!'TSE,00756B,HST_CLOSE'</f>
        <v>0</v>
      </c>
      <c r="P139" s="2">
        <f xml:space="preserve"> [3]!'TSE,00756B,OPEN_PRC'</f>
        <v>43.3</v>
      </c>
      <c r="Q139" s="2">
        <f xml:space="preserve"> [3]!'TSE,00756B,HIGH_1'</f>
        <v>43.59</v>
      </c>
      <c r="R139" s="2">
        <f xml:space="preserve"> [3]!'TSE,00756B,LOW_1'</f>
        <v>43.3</v>
      </c>
      <c r="S139" s="2">
        <f xml:space="preserve"> [3]!'TSE,00756B,TRDPRC_1'</f>
        <v>43.55</v>
      </c>
      <c r="T139" s="2">
        <f xml:space="preserve"> [3]!'TSE,00756B,BID'</f>
        <v>43.46</v>
      </c>
      <c r="U139" s="2">
        <f xml:space="preserve"> [3]!'TSE,00756B,ASK'</f>
        <v>43.58</v>
      </c>
      <c r="V139" s="2">
        <f t="shared" si="5"/>
        <v>43.55</v>
      </c>
    </row>
    <row r="140" spans="1:22">
      <c r="A140" s="3" t="s">
        <v>153</v>
      </c>
      <c r="B140" s="2" t="s">
        <v>1576</v>
      </c>
      <c r="C140" s="2">
        <v>43.24</v>
      </c>
      <c r="E140" s="7" t="s">
        <v>1115</v>
      </c>
      <c r="F140" s="7" t="s">
        <v>1116</v>
      </c>
      <c r="G140" s="8">
        <f xml:space="preserve"> RTD("kgi.tw.der.pricertdserver.2014.1",,$A140 &amp; "_" &amp; $G$5 &amp; ":" &amp; $E140 &amp; "@" &amp; $F140)</f>
        <v>42.77</v>
      </c>
      <c r="H140" s="19">
        <f xml:space="preserve"> RTD("kgi.tw.der.pricertdserver.2014.1",,A140 &amp;":"&amp; E140 &amp;"@" &amp; F140)</f>
        <v>42.74</v>
      </c>
      <c r="I140" s="8">
        <f xml:space="preserve"> RTD("kgi.tw.der.pricertdserver.2014.1",,$A140 &amp; "_" &amp; $I$4 &amp; ":" &amp; $E140 &amp; "@" &amp; $F140)</f>
        <v>-7.9228162514264338E+28</v>
      </c>
      <c r="J140" s="8">
        <f xml:space="preserve"> RTD("kgi.tw.der.pricertdserver.2014.1",,$A140 &amp; "_" &amp; $J$4 &amp; ":" &amp; $E140 &amp; "@" &amp; $F140)</f>
        <v>-7.9228162514264338E+28</v>
      </c>
      <c r="K140" s="7" t="str">
        <f>RTD("kgi.tw.der.pricertdserver.2014.1",,A140 &amp; "_Time" &amp; ":" &amp; E140 &amp; "@" &amp; F140)</f>
        <v>20210514_132947000</v>
      </c>
      <c r="L140" s="45">
        <f t="shared" si="4"/>
        <v>42.74</v>
      </c>
      <c r="M140" s="43">
        <f>VLOOKUP($A140,XQKGIAP!$A:$I,9,FALSE)</f>
        <v>42.74</v>
      </c>
      <c r="N140" s="43">
        <f xml:space="preserve"> [3]!'TSE,00757,ADJUST_CLS'</f>
        <v>43.01</v>
      </c>
      <c r="O140" s="2">
        <f xml:space="preserve"> [3]!'TSE,00757,HST_CLOSE'</f>
        <v>0</v>
      </c>
      <c r="P140" s="2">
        <f xml:space="preserve"> [3]!'TSE,00757,OPEN_PRC'</f>
        <v>43.2</v>
      </c>
      <c r="Q140" s="2">
        <f xml:space="preserve"> [3]!'TSE,00757,HIGH_1'</f>
        <v>43.31</v>
      </c>
      <c r="R140" s="2">
        <f xml:space="preserve"> [3]!'TSE,00757,LOW_1'</f>
        <v>43.1</v>
      </c>
      <c r="S140" s="2">
        <f xml:space="preserve"> [3]!'TSE,00757,TRDPRC_1'</f>
        <v>43.24</v>
      </c>
      <c r="T140" s="2">
        <f xml:space="preserve"> [3]!'TSE,00757,BID'</f>
        <v>43.24</v>
      </c>
      <c r="U140" s="2">
        <f xml:space="preserve"> [3]!'TSE,00757,ASK'</f>
        <v>43.26</v>
      </c>
      <c r="V140" s="2">
        <f t="shared" si="5"/>
        <v>43.24</v>
      </c>
    </row>
    <row r="141" spans="1:22">
      <c r="A141" s="3" t="s">
        <v>154</v>
      </c>
      <c r="B141" s="2" t="s">
        <v>1577</v>
      </c>
      <c r="C141" s="2">
        <v>60.15</v>
      </c>
      <c r="E141" s="7" t="s">
        <v>1115</v>
      </c>
      <c r="F141" s="7" t="s">
        <v>1116</v>
      </c>
      <c r="G141" s="8">
        <f xml:space="preserve"> RTD("kgi.tw.der.pricertdserver.2014.1",,$A141 &amp; "_" &amp; $G$5 &amp; ":" &amp; $E141 &amp; "@" &amp; $F141)</f>
        <v>60.01</v>
      </c>
      <c r="H141" s="19">
        <f xml:space="preserve"> RTD("kgi.tw.der.pricertdserver.2014.1",,A141 &amp;":"&amp; E141 &amp;"@" &amp; F141)</f>
        <v>60</v>
      </c>
      <c r="I141" s="8">
        <f xml:space="preserve"> RTD("kgi.tw.der.pricertdserver.2014.1",,$A141 &amp; "_" &amp; $I$4 &amp; ":" &amp; $E141 &amp; "@" &amp; $F141)</f>
        <v>-7.9228162514264338E+28</v>
      </c>
      <c r="J141" s="8">
        <f xml:space="preserve"> RTD("kgi.tw.der.pricertdserver.2014.1",,$A141 &amp; "_" &amp; $J$4 &amp; ":" &amp; $E141 &amp; "@" &amp; $F141)</f>
        <v>-7.9228162514264338E+28</v>
      </c>
      <c r="K141" s="7" t="str">
        <f>RTD("kgi.tw.der.pricertdserver.2014.1",,A141 &amp; "_Time" &amp; ":" &amp; E141 &amp; "@" &amp; F141)</f>
        <v>20210514_132939000</v>
      </c>
      <c r="L141" s="45">
        <f t="shared" si="4"/>
        <v>60</v>
      </c>
      <c r="M141" s="43">
        <f>VLOOKUP($A141,XQKGIAP!$A:$I,9,FALSE)</f>
        <v>60.07</v>
      </c>
      <c r="N141" s="43">
        <f xml:space="preserve"> [3]!'TSE,00758B,ADJUST_CLS'</f>
        <v>60.05</v>
      </c>
      <c r="O141" s="2">
        <f xml:space="preserve"> [3]!'TSE,00758B,HST_CLOSE'</f>
        <v>0</v>
      </c>
      <c r="P141" s="2">
        <f xml:space="preserve"> [3]!'TSE,00758B,OPEN_PRC'</f>
        <v>60.1</v>
      </c>
      <c r="Q141" s="2">
        <f xml:space="preserve"> [3]!'TSE,00758B,HIGH_1'</f>
        <v>60.15</v>
      </c>
      <c r="R141" s="2">
        <f xml:space="preserve"> [3]!'TSE,00758B,LOW_1'</f>
        <v>60.1</v>
      </c>
      <c r="S141" s="2">
        <f xml:space="preserve"> [3]!'TSE,00758B,TRDPRC_1'</f>
        <v>60.15</v>
      </c>
      <c r="T141" s="2">
        <f xml:space="preserve"> [3]!'TSE,00758B,BID'</f>
        <v>60.05</v>
      </c>
      <c r="U141" s="2">
        <f xml:space="preserve"> [3]!'TSE,00758B,ASK'</f>
        <v>60.25</v>
      </c>
      <c r="V141" s="2">
        <f t="shared" si="5"/>
        <v>60.15</v>
      </c>
    </row>
    <row r="142" spans="1:22">
      <c r="A142" s="3" t="s">
        <v>155</v>
      </c>
      <c r="B142" s="2" t="s">
        <v>1578</v>
      </c>
      <c r="C142" s="2">
        <v>67.05</v>
      </c>
      <c r="E142" s="7" t="s">
        <v>1115</v>
      </c>
      <c r="F142" s="7" t="s">
        <v>1116</v>
      </c>
      <c r="G142" s="8">
        <f xml:space="preserve"> RTD("kgi.tw.der.pricertdserver.2014.1",,$A142 &amp; "_" &amp; $G$5 &amp; ":" &amp; $E142 &amp; "@" &amp; $F142)</f>
        <v>66.930000000000007</v>
      </c>
      <c r="H142" s="19">
        <f xml:space="preserve"> RTD("kgi.tw.der.pricertdserver.2014.1",,A142 &amp;":"&amp; E142 &amp;"@" &amp; F142)</f>
        <v>66.92</v>
      </c>
      <c r="I142" s="8">
        <f xml:space="preserve"> RTD("kgi.tw.der.pricertdserver.2014.1",,$A142 &amp; "_" &amp; $I$4 &amp; ":" &amp; $E142 &amp; "@" &amp; $F142)</f>
        <v>-7.9228162514264338E+28</v>
      </c>
      <c r="J142" s="8">
        <f xml:space="preserve"> RTD("kgi.tw.der.pricertdserver.2014.1",,$A142 &amp; "_" &amp; $J$4 &amp; ":" &amp; $E142 &amp; "@" &amp; $F142)</f>
        <v>-7.9228162514264338E+28</v>
      </c>
      <c r="K142" s="7" t="str">
        <f>RTD("kgi.tw.der.pricertdserver.2014.1",,A142 &amp; "_Time" &amp; ":" &amp; E142 &amp; "@" &amp; F142)</f>
        <v>20210514_132949000</v>
      </c>
      <c r="L142" s="45">
        <f t="shared" si="4"/>
        <v>66.92</v>
      </c>
      <c r="M142" s="43">
        <f>VLOOKUP($A142,XQKGIAP!$A:$I,9,FALSE)</f>
        <v>66.989999999999995</v>
      </c>
      <c r="N142" s="43">
        <f xml:space="preserve"> [3]!'TSE,00759B,ADJUST_CLS'</f>
        <v>66.95</v>
      </c>
      <c r="O142" s="2">
        <f xml:space="preserve"> [3]!'TSE,00759B,HST_CLOSE'</f>
        <v>0</v>
      </c>
      <c r="P142" s="2">
        <f xml:space="preserve"> [3]!'TSE,00759B,OPEN_PRC'</f>
        <v>67.05</v>
      </c>
      <c r="Q142" s="2">
        <f xml:space="preserve"> [3]!'TSE,00759B,HIGH_1'</f>
        <v>67.05</v>
      </c>
      <c r="R142" s="2">
        <f xml:space="preserve"> [3]!'TSE,00759B,LOW_1'</f>
        <v>67.05</v>
      </c>
      <c r="S142" s="2">
        <f xml:space="preserve"> [3]!'TSE,00759B,TRDPRC_1'</f>
        <v>67.05</v>
      </c>
      <c r="T142" s="2">
        <f xml:space="preserve"> [3]!'TSE,00759B,BID'</f>
        <v>66.900000000000006</v>
      </c>
      <c r="U142" s="2">
        <f xml:space="preserve"> [3]!'TSE,00759B,ASK'</f>
        <v>67.05</v>
      </c>
      <c r="V142" s="2">
        <f t="shared" si="5"/>
        <v>67.05</v>
      </c>
    </row>
    <row r="143" spans="1:22">
      <c r="A143" s="3" t="s">
        <v>156</v>
      </c>
      <c r="B143" s="2" t="s">
        <v>1579</v>
      </c>
      <c r="C143" s="2">
        <v>64.150000000000006</v>
      </c>
      <c r="E143" s="7" t="s">
        <v>1115</v>
      </c>
      <c r="F143" s="7" t="s">
        <v>1116</v>
      </c>
      <c r="G143" s="8">
        <f xml:space="preserve"> RTD("kgi.tw.der.pricertdserver.2014.1",,$A143 &amp; "_" &amp; $G$5 &amp; ":" &amp; $E143 &amp; "@" &amp; $F143)</f>
        <v>63.84</v>
      </c>
      <c r="H143" s="19">
        <f xml:space="preserve"> RTD("kgi.tw.der.pricertdserver.2014.1",,A143 &amp;":"&amp; E143 &amp;"@" &amp; F143)</f>
        <v>63.83</v>
      </c>
      <c r="I143" s="8">
        <f xml:space="preserve"> RTD("kgi.tw.der.pricertdserver.2014.1",,$A143 &amp; "_" &amp; $I$4 &amp; ":" &amp; $E143 &amp; "@" &amp; $F143)</f>
        <v>-7.9228162514264338E+28</v>
      </c>
      <c r="J143" s="8">
        <f xml:space="preserve"> RTD("kgi.tw.der.pricertdserver.2014.1",,$A143 &amp; "_" &amp; $J$4 &amp; ":" &amp; $E143 &amp; "@" &amp; $F143)</f>
        <v>-7.9228162514264338E+28</v>
      </c>
      <c r="K143" s="7" t="str">
        <f>RTD("kgi.tw.der.pricertdserver.2014.1",,A143 &amp; "_Time" &amp; ":" &amp; E143 &amp; "@" &amp; F143)</f>
        <v>20210514_132939000</v>
      </c>
      <c r="L143" s="45">
        <f t="shared" si="4"/>
        <v>63.83</v>
      </c>
      <c r="M143" s="43">
        <f>VLOOKUP($A143,XQKGIAP!$A:$I,9,FALSE)</f>
        <v>63.9</v>
      </c>
      <c r="N143" s="43">
        <f xml:space="preserve"> [3]!'TSE,00760B,ADJUST_CLS'</f>
        <v>64.25</v>
      </c>
      <c r="O143" s="2">
        <f xml:space="preserve"> [3]!'TSE,00760B,HST_CLOSE'</f>
        <v>0</v>
      </c>
      <c r="P143" s="2">
        <f xml:space="preserve"> [3]!'TSE,00760B,OPEN_PRC'</f>
        <v>64.099999999999994</v>
      </c>
      <c r="Q143" s="2">
        <f xml:space="preserve"> [3]!'TSE,00760B,HIGH_1'</f>
        <v>64.150000000000006</v>
      </c>
      <c r="R143" s="2">
        <f xml:space="preserve"> [3]!'TSE,00760B,LOW_1'</f>
        <v>64.05</v>
      </c>
      <c r="S143" s="2">
        <f xml:space="preserve"> [3]!'TSE,00760B,TRDPRC_1'</f>
        <v>64.150000000000006</v>
      </c>
      <c r="T143" s="2">
        <f xml:space="preserve"> [3]!'TSE,00760B,BID'</f>
        <v>64</v>
      </c>
      <c r="U143" s="2">
        <f xml:space="preserve"> [3]!'TSE,00760B,ASK'</f>
        <v>64.150000000000006</v>
      </c>
      <c r="V143" s="2">
        <f t="shared" si="5"/>
        <v>64.150000000000006</v>
      </c>
    </row>
    <row r="144" spans="1:22">
      <c r="A144" s="3" t="s">
        <v>157</v>
      </c>
      <c r="B144" s="2" t="s">
        <v>1580</v>
      </c>
      <c r="C144" s="2">
        <v>43.47</v>
      </c>
      <c r="E144" s="7" t="s">
        <v>1115</v>
      </c>
      <c r="F144" s="7" t="s">
        <v>1116</v>
      </c>
      <c r="G144" s="8">
        <f xml:space="preserve"> RTD("kgi.tw.der.pricertdserver.2014.1",,$A144 &amp; "_" &amp; $G$5 &amp; ":" &amp; $E144 &amp; "@" &amp; $F144)</f>
        <v>43.52</v>
      </c>
      <c r="H144" s="19">
        <f xml:space="preserve"> RTD("kgi.tw.der.pricertdserver.2014.1",,A144 &amp;":"&amp; E144 &amp;"@" &amp; F144)</f>
        <v>43.531399999999998</v>
      </c>
      <c r="I144" s="8">
        <f xml:space="preserve"> RTD("kgi.tw.der.pricertdserver.2014.1",,$A144 &amp; "_" &amp; $I$4 &amp; ":" &amp; $E144 &amp; "@" &amp; $F144)</f>
        <v>-7.9228162514264338E+28</v>
      </c>
      <c r="J144" s="8">
        <f xml:space="preserve"> RTD("kgi.tw.der.pricertdserver.2014.1",,$A144 &amp; "_" &amp; $J$4 &amp; ":" &amp; $E144 &amp; "@" &amp; $F144)</f>
        <v>-7.9228162514264338E+28</v>
      </c>
      <c r="K144" s="7" t="str">
        <f>RTD("kgi.tw.der.pricertdserver.2014.1",,A144 &amp; "_Time" &amp; ":" &amp; E144 &amp; "@" &amp; F144)</f>
        <v>20210514_132928000</v>
      </c>
      <c r="L144" s="45">
        <f t="shared" si="4"/>
        <v>43.531399999999998</v>
      </c>
      <c r="M144" s="43">
        <f>VLOOKUP($A144,XQKGIAP!$A:$I,9,FALSE)</f>
        <v>43.55</v>
      </c>
      <c r="N144" s="43">
        <f xml:space="preserve"> [3]!'TSE,00761B,ADJUST_CLS'</f>
        <v>43.24</v>
      </c>
      <c r="O144" s="2">
        <f xml:space="preserve"> [3]!'TSE,00761B,HST_CLOSE'</f>
        <v>0</v>
      </c>
      <c r="P144" s="2">
        <f xml:space="preserve"> [3]!'TSE,00761B,OPEN_PRC'</f>
        <v>43.46</v>
      </c>
      <c r="Q144" s="2">
        <f xml:space="preserve"> [3]!'TSE,00761B,HIGH_1'</f>
        <v>43.47</v>
      </c>
      <c r="R144" s="2">
        <f xml:space="preserve"> [3]!'TSE,00761B,LOW_1'</f>
        <v>43.46</v>
      </c>
      <c r="S144" s="2">
        <f xml:space="preserve"> [3]!'TSE,00761B,TRDPRC_1'</f>
        <v>43.47</v>
      </c>
      <c r="T144" s="2">
        <f xml:space="preserve"> [3]!'TSE,00761B,BID'</f>
        <v>43.47</v>
      </c>
      <c r="U144" s="2">
        <f xml:space="preserve"> [3]!'TSE,00761B,ASK'</f>
        <v>43.5</v>
      </c>
      <c r="V144" s="2">
        <f t="shared" si="5"/>
        <v>43.47</v>
      </c>
    </row>
    <row r="145" spans="1:26">
      <c r="A145" s="3" t="s">
        <v>158</v>
      </c>
      <c r="B145" s="2" t="s">
        <v>1581</v>
      </c>
      <c r="C145" s="2">
        <v>34.83</v>
      </c>
      <c r="E145" s="7" t="s">
        <v>1115</v>
      </c>
      <c r="F145" s="7" t="s">
        <v>1116</v>
      </c>
      <c r="G145" s="8">
        <f xml:space="preserve"> RTD("kgi.tw.der.pricertdserver.2014.1",,$A145 &amp; "_" &amp; $G$5 &amp; ":" &amp; $E145 &amp; "@" &amp; $F145)</f>
        <v>34.700000000000003</v>
      </c>
      <c r="H145" s="19">
        <f xml:space="preserve"> RTD("kgi.tw.der.pricertdserver.2014.1",,A145 &amp;":"&amp; E145 &amp;"@" &amp; F145)</f>
        <v>34.72</v>
      </c>
      <c r="I145" s="8">
        <f xml:space="preserve"> RTD("kgi.tw.der.pricertdserver.2014.1",,$A145 &amp; "_" &amp; $I$4 &amp; ":" &amp; $E145 &amp; "@" &amp; $F145)</f>
        <v>-7.9228162514264338E+28</v>
      </c>
      <c r="J145" s="8">
        <f xml:space="preserve"> RTD("kgi.tw.der.pricertdserver.2014.1",,$A145 &amp; "_" &amp; $J$4 &amp; ":" &amp; $E145 &amp; "@" &amp; $F145)</f>
        <v>-7.9228162514264338E+28</v>
      </c>
      <c r="K145" s="7" t="str">
        <f>RTD("kgi.tw.der.pricertdserver.2014.1",,A145 &amp; "_Time" &amp; ":" &amp; E145 &amp; "@" &amp; F145)</f>
        <v>20210514_132945000</v>
      </c>
      <c r="L145" s="45">
        <f t="shared" si="4"/>
        <v>34.72</v>
      </c>
      <c r="M145" s="43">
        <f>VLOOKUP($A145,XQKGIAP!$A:$I,9,FALSE)</f>
        <v>34.72</v>
      </c>
      <c r="N145" s="43">
        <f xml:space="preserve"> [3]!'TSE,00762,ADJUST_CLS'</f>
        <v>34.6</v>
      </c>
      <c r="O145" s="2">
        <f xml:space="preserve"> [3]!'TSE,00762,HST_CLOSE'</f>
        <v>0</v>
      </c>
      <c r="P145" s="2">
        <f xml:space="preserve"> [3]!'TSE,00762,OPEN_PRC'</f>
        <v>34.72</v>
      </c>
      <c r="Q145" s="2">
        <f xml:space="preserve"> [3]!'TSE,00762,HIGH_1'</f>
        <v>34.880000000000003</v>
      </c>
      <c r="R145" s="2">
        <f xml:space="preserve"> [3]!'TSE,00762,LOW_1'</f>
        <v>34.700000000000003</v>
      </c>
      <c r="S145" s="2">
        <f xml:space="preserve"> [3]!'TSE,00762,TRDPRC_1'</f>
        <v>34.83</v>
      </c>
      <c r="T145" s="2">
        <f xml:space="preserve"> [3]!'TSE,00762,BID'</f>
        <v>34.85</v>
      </c>
      <c r="U145" s="2">
        <f xml:space="preserve"> [3]!'TSE,00762,ASK'</f>
        <v>34.869999999999997</v>
      </c>
      <c r="V145" s="2">
        <f t="shared" si="5"/>
        <v>34.83</v>
      </c>
    </row>
    <row r="146" spans="1:26">
      <c r="A146" s="3" t="s">
        <v>159</v>
      </c>
      <c r="B146" s="2" t="s">
        <v>2512</v>
      </c>
      <c r="C146" s="2">
        <v>30.24</v>
      </c>
      <c r="E146" s="7" t="s">
        <v>1115</v>
      </c>
      <c r="F146" s="7" t="s">
        <v>1116</v>
      </c>
      <c r="G146" s="8">
        <f xml:space="preserve"> RTD("kgi.tw.der.pricertdserver.2014.1",,$A146 &amp; "_" &amp; $G$5 &amp; ":" &amp; $E146 &amp; "@" &amp; $F146)</f>
        <v>30.462405195252021</v>
      </c>
      <c r="H146" s="19">
        <f xml:space="preserve"> RTD("kgi.tw.der.pricertdserver.2014.1",,A146 &amp;":"&amp; E146 &amp;"@" &amp; F146)</f>
        <v>30.280971958180018</v>
      </c>
      <c r="I146" s="8">
        <f xml:space="preserve"> RTD("kgi.tw.der.pricertdserver.2014.1",,$A146 &amp; "_" &amp; $I$4 &amp; ":" &amp; $E146 &amp; "@" &amp; $F146)</f>
        <v>30.274522300516168</v>
      </c>
      <c r="J146" s="8">
        <f xml:space="preserve"> RTD("kgi.tw.der.pricertdserver.2014.1",,$A146 &amp; "_" &amp; $J$4 &amp; ":" &amp; $E146 &amp; "@" &amp; $F146)</f>
        <v>30.284196787011947</v>
      </c>
      <c r="K146" s="7" t="str">
        <f>RTD("kgi.tw.der.pricertdserver.2014.1",,A146 &amp; "_Time" &amp; ":" &amp; E146 &amp; "@" &amp; F146)</f>
        <v>20210514_151457913</v>
      </c>
      <c r="L146" s="45">
        <f t="shared" si="4"/>
        <v>30.280971958180018</v>
      </c>
      <c r="M146" s="43">
        <f>VLOOKUP($A146,XQKGIAP!$A:$I,9,FALSE)</f>
        <v>30.29</v>
      </c>
      <c r="N146" s="43">
        <f xml:space="preserve"> [3]!'TSE,00763U,ADJUST_CLS'</f>
        <v>30.79</v>
      </c>
      <c r="O146" s="2">
        <f xml:space="preserve"> [3]!'TSE,00763U,HST_CLOSE'</f>
        <v>0</v>
      </c>
      <c r="P146" s="2">
        <f xml:space="preserve"> [3]!'TSE,00763U,OPEN_PRC'</f>
        <v>30.72</v>
      </c>
      <c r="Q146" s="2">
        <f xml:space="preserve"> [3]!'TSE,00763U,HIGH_1'</f>
        <v>30.72</v>
      </c>
      <c r="R146" s="2">
        <f xml:space="preserve"> [3]!'TSE,00763U,LOW_1'</f>
        <v>30.19</v>
      </c>
      <c r="S146" s="2">
        <f xml:space="preserve"> [3]!'TSE,00763U,TRDPRC_1'</f>
        <v>30.24</v>
      </c>
      <c r="T146" s="2">
        <f xml:space="preserve"> [3]!'TSE,00763U,BID'</f>
        <v>30.23</v>
      </c>
      <c r="U146" s="2">
        <f xml:space="preserve"> [3]!'TSE,00763U,ASK'</f>
        <v>30.24</v>
      </c>
      <c r="V146" s="2">
        <f t="shared" si="5"/>
        <v>30.24</v>
      </c>
    </row>
    <row r="147" spans="1:26">
      <c r="A147" s="3" t="s">
        <v>160</v>
      </c>
      <c r="B147" s="2" t="s">
        <v>1582</v>
      </c>
      <c r="C147" s="2">
        <v>40.340000000000003</v>
      </c>
      <c r="E147" s="7" t="s">
        <v>1115</v>
      </c>
      <c r="F147" s="7" t="s">
        <v>1116</v>
      </c>
      <c r="G147" s="8">
        <f xml:space="preserve"> RTD("kgi.tw.der.pricertdserver.2014.1",,$A147 &amp; "_" &amp; $G$5 &amp; ":" &amp; $E147 &amp; "@" &amp; $F147)</f>
        <v>40.373399999999997</v>
      </c>
      <c r="H147" s="19">
        <f xml:space="preserve"> RTD("kgi.tw.der.pricertdserver.2014.1",,A147 &amp;":"&amp; E147 &amp;"@" &amp; F147)</f>
        <v>40.338099999999997</v>
      </c>
      <c r="I147" s="8">
        <f xml:space="preserve"> RTD("kgi.tw.der.pricertdserver.2014.1",,$A147 &amp; "_" &amp; $I$4 &amp; ":" &amp; $E147 &amp; "@" &amp; $F147)</f>
        <v>-7.9228162514264338E+28</v>
      </c>
      <c r="J147" s="8">
        <f xml:space="preserve"> RTD("kgi.tw.der.pricertdserver.2014.1",,$A147 &amp; "_" &amp; $J$4 &amp; ":" &amp; $E147 &amp; "@" &amp; $F147)</f>
        <v>-7.9228162514264338E+28</v>
      </c>
      <c r="K147" s="7" t="str">
        <f>RTD("kgi.tw.der.pricertdserver.2014.1",,A147 &amp; "_Time" &amp; ":" &amp; E147 &amp; "@" &amp; F147)</f>
        <v>20210514_132945000</v>
      </c>
      <c r="L147" s="45">
        <f t="shared" si="4"/>
        <v>40.338099999999997</v>
      </c>
      <c r="M147" s="43">
        <f>VLOOKUP($A147,XQKGIAP!$A:$I,9,FALSE)</f>
        <v>40.369999999999997</v>
      </c>
      <c r="N147" s="43">
        <f xml:space="preserve"> [3]!'TSE,00764B,ADJUST_CLS'</f>
        <v>40.22</v>
      </c>
      <c r="O147" s="2">
        <f xml:space="preserve"> [3]!'TSE,00764B,HST_CLOSE'</f>
        <v>0</v>
      </c>
      <c r="P147" s="2">
        <f xml:space="preserve"> [3]!'TSE,00764B,OPEN_PRC'</f>
        <v>40.22</v>
      </c>
      <c r="Q147" s="2">
        <f xml:space="preserve"> [3]!'TSE,00764B,HIGH_1'</f>
        <v>40.35</v>
      </c>
      <c r="R147" s="2">
        <f xml:space="preserve"> [3]!'TSE,00764B,LOW_1'</f>
        <v>40.22</v>
      </c>
      <c r="S147" s="2">
        <f xml:space="preserve"> [3]!'TSE,00764B,TRDPRC_1'</f>
        <v>40.340000000000003</v>
      </c>
      <c r="T147" s="2">
        <f xml:space="preserve"> [3]!'TSE,00764B,BID'</f>
        <v>40.29</v>
      </c>
      <c r="U147" s="2">
        <f xml:space="preserve"> [3]!'TSE,00764B,ASK'</f>
        <v>40.299999999999997</v>
      </c>
      <c r="V147" s="2">
        <f t="shared" si="5"/>
        <v>40.340000000000003</v>
      </c>
    </row>
    <row r="148" spans="1:26">
      <c r="A148" s="3" t="s">
        <v>161</v>
      </c>
      <c r="B148" s="2" t="s">
        <v>1583</v>
      </c>
      <c r="C148" s="2">
        <v>39.97</v>
      </c>
      <c r="E148" s="7" t="s">
        <v>1115</v>
      </c>
      <c r="F148" s="7" t="s">
        <v>1116</v>
      </c>
      <c r="G148" s="8">
        <f xml:space="preserve"> RTD("kgi.tw.der.pricertdserver.2014.1",,$A148 &amp; "_" &amp; $G$5 &amp; ":" &amp; $E148 &amp; "@" &amp; $F148)</f>
        <v>39.848999999999997</v>
      </c>
      <c r="H148" s="19">
        <f xml:space="preserve"> RTD("kgi.tw.der.pricertdserver.2014.1",,A148 &amp;":"&amp; E148 &amp;"@" &amp; F148)</f>
        <v>39.857900000000001</v>
      </c>
      <c r="I148" s="8">
        <f xml:space="preserve"> RTD("kgi.tw.der.pricertdserver.2014.1",,$A148 &amp; "_" &amp; $I$4 &amp; ":" &amp; $E148 &amp; "@" &amp; $F148)</f>
        <v>-7.9228162514264338E+28</v>
      </c>
      <c r="J148" s="8">
        <f xml:space="preserve"> RTD("kgi.tw.der.pricertdserver.2014.1",,$A148 &amp; "_" &amp; $J$4 &amp; ":" &amp; $E148 &amp; "@" &amp; $F148)</f>
        <v>-7.9228162514264338E+28</v>
      </c>
      <c r="K148" s="7" t="str">
        <f>RTD("kgi.tw.der.pricertdserver.2014.1",,A148 &amp; "_Time" &amp; ":" &amp; E148 &amp; "@" &amp; F148)</f>
        <v>20210514_132945000</v>
      </c>
      <c r="L148" s="45">
        <f t="shared" si="4"/>
        <v>39.857900000000001</v>
      </c>
      <c r="M148" s="43">
        <f>VLOOKUP($A148,XQKGIAP!$A:$I,9,FALSE)</f>
        <v>39.950000000000003</v>
      </c>
      <c r="N148" s="43">
        <f xml:space="preserve"> [3]!'TSE,00765B,ADJUST_CLS'</f>
        <v>39.92</v>
      </c>
      <c r="O148" s="2">
        <f xml:space="preserve"> [3]!'TSE,00765B,HST_CLOSE'</f>
        <v>0</v>
      </c>
      <c r="P148" s="2">
        <f xml:space="preserve"> [3]!'TSE,00765B,OPEN_PRC'</f>
        <v>39.799999999999997</v>
      </c>
      <c r="Q148" s="2">
        <f xml:space="preserve"> [3]!'TSE,00765B,HIGH_1'</f>
        <v>39.97</v>
      </c>
      <c r="R148" s="2">
        <f xml:space="preserve"> [3]!'TSE,00765B,LOW_1'</f>
        <v>39.799999999999997</v>
      </c>
      <c r="S148" s="2">
        <f xml:space="preserve"> [3]!'TSE,00765B,TRDPRC_1'</f>
        <v>39.97</v>
      </c>
      <c r="T148" s="2">
        <f xml:space="preserve"> [3]!'TSE,00765B,BID'</f>
        <v>39.9</v>
      </c>
      <c r="U148" s="2">
        <f xml:space="preserve"> [3]!'TSE,00765B,ASK'</f>
        <v>40.01</v>
      </c>
      <c r="V148" s="2">
        <f t="shared" si="5"/>
        <v>39.97</v>
      </c>
    </row>
    <row r="149" spans="1:26">
      <c r="A149" s="3" t="s">
        <v>164</v>
      </c>
      <c r="B149" s="2" t="s">
        <v>1584</v>
      </c>
      <c r="C149" s="2">
        <v>64.3</v>
      </c>
      <c r="E149" s="7" t="s">
        <v>1115</v>
      </c>
      <c r="F149" s="7" t="s">
        <v>1116</v>
      </c>
      <c r="G149" s="8">
        <f xml:space="preserve"> RTD("kgi.tw.der.pricertdserver.2014.1",,$A149 &amp; "_" &amp; $G$5 &amp; ":" &amp; $E149 &amp; "@" &amp; $F149)</f>
        <v>64.395600000000002</v>
      </c>
      <c r="H149" s="19">
        <f xml:space="preserve"> RTD("kgi.tw.der.pricertdserver.2014.1",,A149 &amp;":"&amp; E149 &amp;"@" &amp; F149)</f>
        <v>64.384399999999999</v>
      </c>
      <c r="I149" s="8">
        <f xml:space="preserve"> RTD("kgi.tw.der.pricertdserver.2014.1",,$A149 &amp; "_" &amp; $I$4 &amp; ":" &amp; $E149 &amp; "@" &amp; $F149)</f>
        <v>-7.9228162514264338E+28</v>
      </c>
      <c r="J149" s="8">
        <f xml:space="preserve"> RTD("kgi.tw.der.pricertdserver.2014.1",,$A149 &amp; "_" &amp; $J$4 &amp; ":" &amp; $E149 &amp; "@" &amp; $F149)</f>
        <v>-7.9228162514264338E+28</v>
      </c>
      <c r="K149" s="7" t="str">
        <f>RTD("kgi.tw.der.pricertdserver.2014.1",,A149 &amp; "_Time" &amp; ":" &amp; E149 &amp; "@" &amp; F149)</f>
        <v>20210514_132939000</v>
      </c>
      <c r="L149" s="45">
        <f t="shared" si="4"/>
        <v>64.384399999999999</v>
      </c>
      <c r="M149" s="43">
        <f>VLOOKUP($A149,XQKGIAP!$A:$I,9,FALSE)</f>
        <v>64.45</v>
      </c>
      <c r="N149" s="43">
        <f xml:space="preserve"> [3]!'TSE,00768B,ADJUST_CLS'</f>
        <v>64.599999999999994</v>
      </c>
      <c r="O149" s="2">
        <f xml:space="preserve"> [3]!'TSE,00768B,HST_CLOSE'</f>
        <v>0</v>
      </c>
      <c r="P149" s="2">
        <f xml:space="preserve"> [3]!'TSE,00768B,OPEN_PRC'</f>
        <v>64.400000000000006</v>
      </c>
      <c r="Q149" s="2">
        <f xml:space="preserve"> [3]!'TSE,00768B,HIGH_1'</f>
        <v>64.400000000000006</v>
      </c>
      <c r="R149" s="2">
        <f xml:space="preserve"> [3]!'TSE,00768B,LOW_1'</f>
        <v>64.3</v>
      </c>
      <c r="S149" s="2">
        <f xml:space="preserve"> [3]!'TSE,00768B,TRDPRC_1'</f>
        <v>64.3</v>
      </c>
      <c r="T149" s="2">
        <f xml:space="preserve"> [3]!'TSE,00768B,BID'</f>
        <v>64.3</v>
      </c>
      <c r="U149" s="2">
        <f xml:space="preserve"> [3]!'TSE,00768B,ASK'</f>
        <v>64.45</v>
      </c>
      <c r="V149" s="2">
        <f t="shared" si="5"/>
        <v>64.3</v>
      </c>
      <c r="Z149" s="43"/>
    </row>
    <row r="150" spans="1:26">
      <c r="A150" s="3" t="s">
        <v>166</v>
      </c>
      <c r="B150" s="2" t="s">
        <v>1585</v>
      </c>
      <c r="C150" s="2">
        <v>33.340000000000003</v>
      </c>
      <c r="E150" s="7" t="s">
        <v>1115</v>
      </c>
      <c r="F150" s="7" t="s">
        <v>1116</v>
      </c>
      <c r="G150" s="8">
        <f xml:space="preserve"> RTD("kgi.tw.der.pricertdserver.2014.1",,$A150 &amp; "_" &amp; $G$5 &amp; ":" &amp; $E150 &amp; "@" &amp; $F150)</f>
        <v>33.159999999999997</v>
      </c>
      <c r="H150" s="19">
        <f xml:space="preserve"> RTD("kgi.tw.der.pricertdserver.2014.1",,A150 &amp;":"&amp; E150 &amp;"@" &amp; F150)</f>
        <v>33.130000000000003</v>
      </c>
      <c r="I150" s="8">
        <f xml:space="preserve"> RTD("kgi.tw.der.pricertdserver.2014.1",,$A150 &amp; "_" &amp; $I$4 &amp; ":" &amp; $E150 &amp; "@" &amp; $F150)</f>
        <v>-7.9228162514264338E+28</v>
      </c>
      <c r="J150" s="8">
        <f xml:space="preserve"> RTD("kgi.tw.der.pricertdserver.2014.1",,$A150 &amp; "_" &amp; $J$4 &amp; ":" &amp; $E150 &amp; "@" &amp; $F150)</f>
        <v>-7.9228162514264338E+28</v>
      </c>
      <c r="K150" s="7" t="str">
        <f>RTD("kgi.tw.der.pricertdserver.2014.1",,A150 &amp; "_Time" &amp; ":" &amp; E150 &amp; "@" &amp; F150)</f>
        <v>20210514_132928000</v>
      </c>
      <c r="L150" s="45">
        <f t="shared" si="4"/>
        <v>33.130000000000003</v>
      </c>
      <c r="M150" s="43">
        <f>VLOOKUP($A150,XQKGIAP!$A:$I,9,FALSE)</f>
        <v>33.159999999999997</v>
      </c>
      <c r="N150" s="43">
        <f xml:space="preserve"> [3]!'TSE,00770,ADJUST_CLS'</f>
        <v>32.9</v>
      </c>
      <c r="O150" s="2">
        <f xml:space="preserve"> [3]!'TSE,00770,HST_CLOSE'</f>
        <v>0</v>
      </c>
      <c r="P150" s="2">
        <f xml:space="preserve"> [3]!'TSE,00770,OPEN_PRC'</f>
        <v>33.200000000000003</v>
      </c>
      <c r="Q150" s="2">
        <f xml:space="preserve"> [3]!'TSE,00770,HIGH_1'</f>
        <v>33.340000000000003</v>
      </c>
      <c r="R150" s="2">
        <f xml:space="preserve"> [3]!'TSE,00770,LOW_1'</f>
        <v>33.200000000000003</v>
      </c>
      <c r="S150" s="2">
        <f xml:space="preserve"> [3]!'TSE,00770,TRDPRC_1'</f>
        <v>33.340000000000003</v>
      </c>
      <c r="T150" s="2">
        <f xml:space="preserve"> [3]!'TSE,00770,BID'</f>
        <v>33.33</v>
      </c>
      <c r="U150" s="2">
        <f xml:space="preserve"> [3]!'TSE,00770,ASK'</f>
        <v>33.369999999999997</v>
      </c>
      <c r="V150" s="2">
        <f t="shared" si="5"/>
        <v>33.340000000000003</v>
      </c>
      <c r="Z150" s="43"/>
    </row>
    <row r="151" spans="1:26">
      <c r="A151" s="3" t="s">
        <v>167</v>
      </c>
      <c r="B151" s="2" t="s">
        <v>1586</v>
      </c>
      <c r="C151" s="2">
        <v>19</v>
      </c>
      <c r="E151" s="7" t="s">
        <v>1115</v>
      </c>
      <c r="F151" s="7" t="s">
        <v>1116</v>
      </c>
      <c r="G151" s="8">
        <f xml:space="preserve"> RTD("kgi.tw.der.pricertdserver.2014.1",,$A151 &amp; "_" &amp; $G$5 &amp; ":" &amp; $E151 &amp; "@" &amp; $F151)</f>
        <v>19.14</v>
      </c>
      <c r="H151" s="19">
        <f xml:space="preserve"> RTD("kgi.tw.der.pricertdserver.2014.1",,A151 &amp;":"&amp; E151 &amp;"@" &amp; F151)</f>
        <v>19.14</v>
      </c>
      <c r="I151" s="8">
        <f xml:space="preserve"> RTD("kgi.tw.der.pricertdserver.2014.1",,$A151 &amp; "_" &amp; $I$4 &amp; ":" &amp; $E151 &amp; "@" &amp; $F151)</f>
        <v>-7.9228162514264338E+28</v>
      </c>
      <c r="J151" s="8">
        <f xml:space="preserve"> RTD("kgi.tw.der.pricertdserver.2014.1",,$A151 &amp; "_" &amp; $J$4 &amp; ":" &amp; $E151 &amp; "@" &amp; $F151)</f>
        <v>-7.9228162514264338E+28</v>
      </c>
      <c r="K151" s="7" t="str">
        <f>RTD("kgi.tw.der.pricertdserver.2014.1",,A151 &amp; "_Time" &amp; ":" &amp; E151 &amp; "@" &amp; F151)</f>
        <v>20210514_132945000</v>
      </c>
      <c r="L151" s="45">
        <f t="shared" si="4"/>
        <v>19.14</v>
      </c>
      <c r="M151" s="43">
        <f>VLOOKUP($A151,XQKGIAP!$A:$I,9,FALSE)</f>
        <v>19.16</v>
      </c>
      <c r="N151" s="43">
        <f xml:space="preserve"> [3]!'TSE,00771,ADJUST_CLS'</f>
        <v>18.940000000000001</v>
      </c>
      <c r="O151" s="2">
        <f xml:space="preserve"> [3]!'TSE,00771,HST_CLOSE'</f>
        <v>0</v>
      </c>
      <c r="P151" s="2">
        <f xml:space="preserve"> [3]!'TSE,00771,OPEN_PRC'</f>
        <v>18.97</v>
      </c>
      <c r="Q151" s="2">
        <f xml:space="preserve"> [3]!'TSE,00771,HIGH_1'</f>
        <v>19.02</v>
      </c>
      <c r="R151" s="2">
        <f xml:space="preserve"> [3]!'TSE,00771,LOW_1'</f>
        <v>18.97</v>
      </c>
      <c r="S151" s="2">
        <f xml:space="preserve"> [3]!'TSE,00771,TRDPRC_1'</f>
        <v>19</v>
      </c>
      <c r="T151" s="2">
        <f xml:space="preserve"> [3]!'TSE,00771,BID'</f>
        <v>18.98</v>
      </c>
      <c r="U151" s="2">
        <f xml:space="preserve"> [3]!'TSE,00771,ASK'</f>
        <v>19.02</v>
      </c>
      <c r="V151" s="2">
        <f t="shared" si="5"/>
        <v>19</v>
      </c>
      <c r="Z151" s="43"/>
    </row>
    <row r="152" spans="1:26">
      <c r="A152" s="3" t="s">
        <v>168</v>
      </c>
      <c r="B152" s="2" t="s">
        <v>1587</v>
      </c>
      <c r="C152" s="2">
        <v>42.25</v>
      </c>
      <c r="E152" s="7" t="s">
        <v>1115</v>
      </c>
      <c r="F152" s="7" t="s">
        <v>1116</v>
      </c>
      <c r="G152" s="8">
        <f xml:space="preserve"> RTD("kgi.tw.der.pricertdserver.2014.1",,$A152 &amp; "_" &amp; $G$5 &amp; ":" &amp; $E152 &amp; "@" &amp; $F152)</f>
        <v>42.348399999999998</v>
      </c>
      <c r="H152" s="19">
        <f xml:space="preserve"> RTD("kgi.tw.der.pricertdserver.2014.1",,A152 &amp;":"&amp; E152 &amp;"@" &amp; F152)</f>
        <v>42.301400000000001</v>
      </c>
      <c r="I152" s="8">
        <f xml:space="preserve"> RTD("kgi.tw.der.pricertdserver.2014.1",,$A152 &amp; "_" &amp; $I$4 &amp; ":" &amp; $E152 &amp; "@" &amp; $F152)</f>
        <v>-7.9228162514264338E+28</v>
      </c>
      <c r="J152" s="8">
        <f xml:space="preserve"> RTD("kgi.tw.der.pricertdserver.2014.1",,$A152 &amp; "_" &amp; $J$4 &amp; ":" &amp; $E152 &amp; "@" &amp; $F152)</f>
        <v>-7.9228162514264338E+28</v>
      </c>
      <c r="K152" s="7" t="str">
        <f>RTD("kgi.tw.der.pricertdserver.2014.1",,A152 &amp; "_Time" &amp; ":" &amp; E152 &amp; "@" &amp; F152)</f>
        <v>20210514_132949000</v>
      </c>
      <c r="L152" s="45">
        <f t="shared" si="4"/>
        <v>42.301400000000001</v>
      </c>
      <c r="M152" s="43">
        <f>VLOOKUP($A152,XQKGIAP!$A:$I,9,FALSE)</f>
        <v>42.38</v>
      </c>
      <c r="N152" s="45">
        <f xml:space="preserve"> [3]!'TSE,00772B,ADJUST_CLS'</f>
        <v>42.25</v>
      </c>
      <c r="O152" s="2">
        <f xml:space="preserve"> [3]!'TSE,00772B,HST_CLOSE'</f>
        <v>0</v>
      </c>
      <c r="P152" s="2">
        <f xml:space="preserve"> [3]!'TSE,00772B,OPEN_PRC'</f>
        <v>42.27</v>
      </c>
      <c r="Q152" s="2">
        <f xml:space="preserve"> [3]!'TSE,00772B,HIGH_1'</f>
        <v>42.35</v>
      </c>
      <c r="R152" s="2">
        <f xml:space="preserve"> [3]!'TSE,00772B,LOW_1'</f>
        <v>42.25</v>
      </c>
      <c r="S152" s="2">
        <f xml:space="preserve"> [3]!'TSE,00772B,TRDPRC_1'</f>
        <v>42.25</v>
      </c>
      <c r="T152" s="2">
        <f xml:space="preserve"> [3]!'TSE,00772B,BID'</f>
        <v>42.25</v>
      </c>
      <c r="U152" s="2">
        <f xml:space="preserve"> [3]!'TSE,00772B,ASK'</f>
        <v>42.29</v>
      </c>
      <c r="V152" s="2">
        <f t="shared" si="5"/>
        <v>42.25</v>
      </c>
      <c r="Z152" s="45"/>
    </row>
    <row r="153" spans="1:26">
      <c r="A153" s="3" t="s">
        <v>169</v>
      </c>
      <c r="B153" s="2" t="s">
        <v>1588</v>
      </c>
      <c r="C153" s="2">
        <v>43.03</v>
      </c>
      <c r="E153" s="7" t="s">
        <v>1115</v>
      </c>
      <c r="F153" s="7" t="s">
        <v>1116</v>
      </c>
      <c r="G153" s="8">
        <f xml:space="preserve"> RTD("kgi.tw.der.pricertdserver.2014.1",,$A153 &amp; "_" &amp; $G$5 &amp; ":" &amp; $E153 &amp; "@" &amp; $F153)</f>
        <v>43.106099999999998</v>
      </c>
      <c r="H153" s="19">
        <f xml:space="preserve"> RTD("kgi.tw.der.pricertdserver.2014.1",,A153 &amp;":"&amp; E153 &amp;"@" &amp; F153)</f>
        <v>43.008200000000002</v>
      </c>
      <c r="I153" s="8">
        <f xml:space="preserve"> RTD("kgi.tw.der.pricertdserver.2014.1",,$A153 &amp; "_" &amp; $I$4 &amp; ":" &amp; $E153 &amp; "@" &amp; $F153)</f>
        <v>-7.9228162514264338E+28</v>
      </c>
      <c r="J153" s="8">
        <f xml:space="preserve"> RTD("kgi.tw.der.pricertdserver.2014.1",,$A153 &amp; "_" &amp; $J$4 &amp; ":" &amp; $E153 &amp; "@" &amp; $F153)</f>
        <v>-7.9228162514264338E+28</v>
      </c>
      <c r="K153" s="7" t="str">
        <f>RTD("kgi.tw.der.pricertdserver.2014.1",,A153 &amp; "_Time" &amp; ":" &amp; E153 &amp; "@" &amp; F153)</f>
        <v>20210514_132949000</v>
      </c>
      <c r="L153" s="45">
        <f t="shared" si="4"/>
        <v>43.008200000000002</v>
      </c>
      <c r="M153" s="43">
        <f>VLOOKUP($A153,XQKGIAP!$A:$I,9,FALSE)</f>
        <v>43.06</v>
      </c>
      <c r="N153" s="43">
        <f xml:space="preserve"> [3]!'TSE,00773B,ADJUST_CLS'</f>
        <v>42.83</v>
      </c>
      <c r="O153" s="2">
        <f xml:space="preserve"> [3]!'TSE,00773B,HST_CLOSE'</f>
        <v>0</v>
      </c>
      <c r="P153" s="2">
        <f xml:space="preserve"> [3]!'TSE,00773B,OPEN_PRC'</f>
        <v>42.93</v>
      </c>
      <c r="Q153" s="2">
        <f xml:space="preserve"> [3]!'TSE,00773B,HIGH_1'</f>
        <v>43.03</v>
      </c>
      <c r="R153" s="2">
        <f xml:space="preserve"> [3]!'TSE,00773B,LOW_1'</f>
        <v>42.91</v>
      </c>
      <c r="S153" s="2">
        <f xml:space="preserve"> [3]!'TSE,00773B,TRDPRC_1'</f>
        <v>43.03</v>
      </c>
      <c r="T153" s="2">
        <f xml:space="preserve"> [3]!'TSE,00773B,BID'</f>
        <v>43</v>
      </c>
      <c r="U153" s="2">
        <f xml:space="preserve"> [3]!'TSE,00773B,ASK'</f>
        <v>43.05</v>
      </c>
      <c r="V153" s="2">
        <f t="shared" si="5"/>
        <v>43.03</v>
      </c>
      <c r="Z153" s="43"/>
    </row>
    <row r="154" spans="1:26">
      <c r="A154" s="3" t="s">
        <v>170</v>
      </c>
      <c r="B154" s="2" t="s">
        <v>1433</v>
      </c>
      <c r="C154" s="2">
        <v>38.979999999999997</v>
      </c>
      <c r="E154" s="7" t="s">
        <v>1115</v>
      </c>
      <c r="F154" s="7" t="s">
        <v>1116</v>
      </c>
      <c r="G154" s="8">
        <f xml:space="preserve"> RTD("kgi.tw.der.pricertdserver.2014.1",,$A154 &amp; "_" &amp; $G$5 &amp; ":" &amp; $E154 &amp; "@" &amp; $F154)</f>
        <v>39.008400000000002</v>
      </c>
      <c r="H154" s="19">
        <f xml:space="preserve"> RTD("kgi.tw.der.pricertdserver.2014.1",,A154 &amp;":"&amp; E154 &amp;"@" &amp; F154)</f>
        <v>39.039400000000001</v>
      </c>
      <c r="I154" s="8">
        <f xml:space="preserve"> RTD("kgi.tw.der.pricertdserver.2014.1",,$A154 &amp; "_" &amp; $I$4 &amp; ":" &amp; $E154 &amp; "@" &amp; $F154)</f>
        <v>-7.9228162514264338E+28</v>
      </c>
      <c r="J154" s="8">
        <f xml:space="preserve"> RTD("kgi.tw.der.pricertdserver.2014.1",,$A154 &amp; "_" &amp; $J$4 &amp; ":" &amp; $E154 &amp; "@" &amp; $F154)</f>
        <v>-7.9228162514264338E+28</v>
      </c>
      <c r="K154" s="7" t="str">
        <f>RTD("kgi.tw.der.pricertdserver.2014.1",,A154 &amp; "_Time" &amp; ":" &amp; E154 &amp; "@" &amp; F154)</f>
        <v>20210514_132945000</v>
      </c>
      <c r="L154" s="45">
        <f t="shared" si="4"/>
        <v>39.039400000000001</v>
      </c>
      <c r="M154" s="43">
        <f>VLOOKUP($A154,XQKGIAP!$A:$I,9,FALSE)</f>
        <v>39.06</v>
      </c>
      <c r="N154" s="46">
        <f xml:space="preserve"> [3]!'TSE,00774B,ADJUST_CLS'</f>
        <v>39</v>
      </c>
      <c r="O154" s="2">
        <f xml:space="preserve"> [3]!'TSE,00774B,HST_CLOSE'</f>
        <v>0</v>
      </c>
      <c r="P154" s="2">
        <f xml:space="preserve"> [3]!'TSE,00774B,OPEN_PRC'</f>
        <v>38.979999999999997</v>
      </c>
      <c r="Q154" s="2">
        <f xml:space="preserve"> [3]!'TSE,00774B,HIGH_1'</f>
        <v>38.979999999999997</v>
      </c>
      <c r="R154" s="2">
        <f xml:space="preserve"> [3]!'TSE,00774B,LOW_1'</f>
        <v>38.979999999999997</v>
      </c>
      <c r="S154" s="2">
        <f xml:space="preserve"> [3]!'TSE,00774B,TRDPRC_1'</f>
        <v>38.979999999999997</v>
      </c>
      <c r="T154" s="2">
        <f xml:space="preserve"> [3]!'TSE,00774B,BID'</f>
        <v>38.79</v>
      </c>
      <c r="U154" s="2">
        <f xml:space="preserve"> [3]!'TSE,00774B,ASK'</f>
        <v>39.19</v>
      </c>
      <c r="V154" s="2">
        <f t="shared" si="5"/>
        <v>38.979999999999997</v>
      </c>
      <c r="Z154" s="46"/>
    </row>
    <row r="155" spans="1:26">
      <c r="A155" s="3" t="s">
        <v>434</v>
      </c>
      <c r="B155" s="2" t="s">
        <v>1589</v>
      </c>
      <c r="C155" s="2">
        <v>9.11</v>
      </c>
      <c r="E155" s="7" t="s">
        <v>1115</v>
      </c>
      <c r="F155" s="7" t="s">
        <v>1116</v>
      </c>
      <c r="G155" s="8">
        <f xml:space="preserve"> RTD("kgi.tw.der.pricertdserver.2014.1",,$A155 &amp; "_" &amp; $G$5 &amp; ":" &amp; $E155 &amp; "@" &amp; $F155)</f>
        <v>8.9510000000000005</v>
      </c>
      <c r="H155" s="19">
        <f xml:space="preserve"> RTD("kgi.tw.der.pricertdserver.2014.1",,A155 &amp;":"&amp; E155 &amp;"@" &amp; F155)</f>
        <v>8.9962999999999997</v>
      </c>
      <c r="I155" s="8">
        <f xml:space="preserve"> RTD("kgi.tw.der.pricertdserver.2014.1",,$A155 &amp; "_" &amp; $I$4 &amp; ":" &amp; $E155 &amp; "@" &amp; $F155)</f>
        <v>-7.9228162514264338E+28</v>
      </c>
      <c r="J155" s="8">
        <f xml:space="preserve"> RTD("kgi.tw.der.pricertdserver.2014.1",,$A155 &amp; "_" &amp; $J$4 &amp; ":" &amp; $E155 &amp; "@" &amp; $F155)</f>
        <v>-7.9228162514264338E+28</v>
      </c>
      <c r="K155" s="7" t="str">
        <f>RTD("kgi.tw.der.pricertdserver.2014.1",,A155 &amp; "_Time" &amp; ":" &amp; E155 &amp; "@" &amp; F155)</f>
        <v>20210514_132946000</v>
      </c>
      <c r="L155" s="45">
        <f t="shared" si="4"/>
        <v>8.9962999999999997</v>
      </c>
      <c r="M155" s="43">
        <f>VLOOKUP($A155,XQKGIAP!$A:$I,9,FALSE)</f>
        <v>8.99</v>
      </c>
      <c r="N155" s="43">
        <f xml:space="preserve"> [3]!'TSE,00774C,ADJUST_CLS'</f>
        <v>9.11</v>
      </c>
      <c r="O155" s="2">
        <f xml:space="preserve"> [3]!'TSE,00774C,HST_CLOSE'</f>
        <v>0</v>
      </c>
      <c r="P155" s="2">
        <f xml:space="preserve"> [3]!'TSE,00774C,OPEN_PRC'</f>
        <v>0</v>
      </c>
      <c r="Q155" s="2">
        <f xml:space="preserve"> [3]!'TSE,00774C,HIGH_1'</f>
        <v>0</v>
      </c>
      <c r="R155" s="2">
        <f xml:space="preserve"> [3]!'TSE,00774C,LOW_1'</f>
        <v>0</v>
      </c>
      <c r="S155" s="2">
        <f xml:space="preserve"> [3]!'TSE,00774C,TRDPRC_1'</f>
        <v>0</v>
      </c>
      <c r="T155" s="2">
        <f xml:space="preserve"> [3]!'TSE,00774C,BID'</f>
        <v>8.94</v>
      </c>
      <c r="U155" s="2">
        <f xml:space="preserve"> [3]!'TSE,00774C,ASK'</f>
        <v>9.1300000000000008</v>
      </c>
      <c r="V155" s="2">
        <f t="shared" si="5"/>
        <v>9.11</v>
      </c>
      <c r="Z155" s="43"/>
    </row>
    <row r="156" spans="1:26">
      <c r="A156" s="3" t="s">
        <v>171</v>
      </c>
      <c r="B156" s="2" t="s">
        <v>1590</v>
      </c>
      <c r="C156" s="2">
        <v>40.520000000000003</v>
      </c>
      <c r="E156" s="7" t="s">
        <v>1115</v>
      </c>
      <c r="F156" s="7" t="s">
        <v>1116</v>
      </c>
      <c r="G156" s="8">
        <f xml:space="preserve"> RTD("kgi.tw.der.pricertdserver.2014.1",,$A156 &amp; "_" &amp; $G$5 &amp; ":" &amp; $E156 &amp; "@" &amp; $F156)</f>
        <v>40.472700000000003</v>
      </c>
      <c r="H156" s="19">
        <f xml:space="preserve"> RTD("kgi.tw.der.pricertdserver.2014.1",,A156 &amp;":"&amp; E156 &amp;"@" &amp; F156)</f>
        <v>40.4529</v>
      </c>
      <c r="I156" s="8">
        <f xml:space="preserve"> RTD("kgi.tw.der.pricertdserver.2014.1",,$A156 &amp; "_" &amp; $I$4 &amp; ":" &amp; $E156 &amp; "@" &amp; $F156)</f>
        <v>-7.9228162514264338E+28</v>
      </c>
      <c r="J156" s="8">
        <f xml:space="preserve"> RTD("kgi.tw.der.pricertdserver.2014.1",,$A156 &amp; "_" &amp; $J$4 &amp; ":" &amp; $E156 &amp; "@" &amp; $F156)</f>
        <v>-7.9228162514264338E+28</v>
      </c>
      <c r="K156" s="7" t="str">
        <f>RTD("kgi.tw.der.pricertdserver.2014.1",,A156 &amp; "_Time" &amp; ":" &amp; E156 &amp; "@" &amp; F156)</f>
        <v>20210514_132945000</v>
      </c>
      <c r="L156" s="45">
        <f t="shared" si="4"/>
        <v>40.4529</v>
      </c>
      <c r="M156" s="43">
        <f>VLOOKUP($A156,XQKGIAP!$A:$I,9,FALSE)</f>
        <v>40.450000000000003</v>
      </c>
      <c r="N156" s="43">
        <f xml:space="preserve"> [3]!'TSE,00775B,ADJUST_CLS'</f>
        <v>40.5</v>
      </c>
      <c r="O156" s="2">
        <f xml:space="preserve"> [3]!'TSE,00775B,HST_CLOSE'</f>
        <v>0</v>
      </c>
      <c r="P156" s="2">
        <f xml:space="preserve"> [3]!'TSE,00775B,OPEN_PRC'</f>
        <v>40.520000000000003</v>
      </c>
      <c r="Q156" s="2">
        <f xml:space="preserve"> [3]!'TSE,00775B,HIGH_1'</f>
        <v>40.520000000000003</v>
      </c>
      <c r="R156" s="2">
        <f xml:space="preserve"> [3]!'TSE,00775B,LOW_1'</f>
        <v>40.520000000000003</v>
      </c>
      <c r="S156" s="2">
        <f xml:space="preserve"> [3]!'TSE,00775B,TRDPRC_1'</f>
        <v>40.520000000000003</v>
      </c>
      <c r="T156" s="2">
        <f xml:space="preserve"> [3]!'TSE,00775B,BID'</f>
        <v>40.520000000000003</v>
      </c>
      <c r="U156" s="2">
        <f xml:space="preserve"> [3]!'TSE,00775B,ASK'</f>
        <v>40.71</v>
      </c>
      <c r="V156" s="2">
        <f t="shared" si="5"/>
        <v>40.520000000000003</v>
      </c>
      <c r="Z156" s="43"/>
    </row>
    <row r="157" spans="1:26">
      <c r="A157" s="3" t="s">
        <v>173</v>
      </c>
      <c r="B157" s="2" t="s">
        <v>1591</v>
      </c>
      <c r="C157" s="2">
        <v>41.42</v>
      </c>
      <c r="E157" s="7" t="s">
        <v>1115</v>
      </c>
      <c r="F157" s="7" t="s">
        <v>1116</v>
      </c>
      <c r="G157" s="8">
        <f xml:space="preserve"> RTD("kgi.tw.der.pricertdserver.2014.1",,$A157 &amp; "_" &amp; $G$5 &amp; ":" &amp; $E157 &amp; "@" &amp; $F157)</f>
        <v>41.33</v>
      </c>
      <c r="H157" s="19">
        <f xml:space="preserve"> RTD("kgi.tw.der.pricertdserver.2014.1",,A157 &amp;":"&amp; E157 &amp;"@" &amp; F157)</f>
        <v>41.3</v>
      </c>
      <c r="I157" s="8">
        <f xml:space="preserve"> RTD("kgi.tw.der.pricertdserver.2014.1",,$A157 &amp; "_" &amp; $I$4 &amp; ":" &amp; $E157 &amp; "@" &amp; $F157)</f>
        <v>-7.9228162514264338E+28</v>
      </c>
      <c r="J157" s="8">
        <f xml:space="preserve"> RTD("kgi.tw.der.pricertdserver.2014.1",,$A157 &amp; "_" &amp; $J$4 &amp; ":" &amp; $E157 &amp; "@" &amp; $F157)</f>
        <v>-7.9228162514264338E+28</v>
      </c>
      <c r="K157" s="7" t="str">
        <f>RTD("kgi.tw.der.pricertdserver.2014.1",,A157 &amp; "_Time" &amp; ":" &amp; E157 &amp; "@" &amp; F157)</f>
        <v>20210514_132942000</v>
      </c>
      <c r="L157" s="45">
        <f t="shared" si="4"/>
        <v>41.3</v>
      </c>
      <c r="M157" s="43">
        <f>VLOOKUP($A157,XQKGIAP!$A:$I,9,FALSE)</f>
        <v>41.34</v>
      </c>
      <c r="N157" s="43">
        <f xml:space="preserve"> [3]!'TSE,00777B,ADJUST_CLS'</f>
        <v>41.3</v>
      </c>
      <c r="O157" s="2">
        <f xml:space="preserve"> [3]!'TSE,00777B,HST_CLOSE'</f>
        <v>0</v>
      </c>
      <c r="P157" s="2">
        <f xml:space="preserve"> [3]!'TSE,00777B,OPEN_PRC'</f>
        <v>41.3</v>
      </c>
      <c r="Q157" s="2">
        <f xml:space="preserve"> [3]!'TSE,00777B,HIGH_1'</f>
        <v>41.42</v>
      </c>
      <c r="R157" s="2">
        <f xml:space="preserve"> [3]!'TSE,00777B,LOW_1'</f>
        <v>41.3</v>
      </c>
      <c r="S157" s="2">
        <f xml:space="preserve"> [3]!'TSE,00777B,TRDPRC_1'</f>
        <v>41.42</v>
      </c>
      <c r="T157" s="2">
        <f xml:space="preserve"> [3]!'TSE,00777B,BID'</f>
        <v>41.26</v>
      </c>
      <c r="U157" s="2">
        <f xml:space="preserve"> [3]!'TSE,00777B,ASK'</f>
        <v>41.3</v>
      </c>
      <c r="V157" s="2">
        <f t="shared" si="5"/>
        <v>41.42</v>
      </c>
      <c r="Z157" s="43"/>
    </row>
    <row r="158" spans="1:26">
      <c r="A158" s="3" t="s">
        <v>174</v>
      </c>
      <c r="B158" s="2" t="s">
        <v>1592</v>
      </c>
      <c r="C158" s="2">
        <v>42.48</v>
      </c>
      <c r="E158" s="7" t="s">
        <v>1115</v>
      </c>
      <c r="F158" s="7" t="s">
        <v>1116</v>
      </c>
      <c r="G158" s="8">
        <f xml:space="preserve"> RTD("kgi.tw.der.pricertdserver.2014.1",,$A158 &amp; "_" &amp; $G$5 &amp; ":" &amp; $E158 &amp; "@" &amp; $F158)</f>
        <v>42.8</v>
      </c>
      <c r="H158" s="19">
        <f xml:space="preserve"> RTD("kgi.tw.der.pricertdserver.2014.1",,A158 &amp;":"&amp; E158 &amp;"@" &amp; F158)</f>
        <v>42.76</v>
      </c>
      <c r="I158" s="8">
        <f xml:space="preserve"> RTD("kgi.tw.der.pricertdserver.2014.1",,$A158 &amp; "_" &amp; $I$4 &amp; ":" &amp; $E158 &amp; "@" &amp; $F158)</f>
        <v>-7.9228162514264338E+28</v>
      </c>
      <c r="J158" s="8">
        <f xml:space="preserve"> RTD("kgi.tw.der.pricertdserver.2014.1",,$A158 &amp; "_" &amp; $J$4 &amp; ":" &amp; $E158 &amp; "@" &amp; $F158)</f>
        <v>-7.9228162514264338E+28</v>
      </c>
      <c r="K158" s="7" t="str">
        <f>RTD("kgi.tw.der.pricertdserver.2014.1",,A158 &amp; "_Time" &amp; ":" &amp; E158 &amp; "@" &amp; F158)</f>
        <v>20210514_132942000</v>
      </c>
      <c r="L158" s="45">
        <f t="shared" si="4"/>
        <v>42.76</v>
      </c>
      <c r="M158" s="43">
        <f>VLOOKUP($A158,XQKGIAP!$A:$I,9,FALSE)</f>
        <v>42.8</v>
      </c>
      <c r="N158" s="43">
        <f xml:space="preserve"> [3]!'TSE,00778B,ADJUST_CLS'</f>
        <v>42.55</v>
      </c>
      <c r="O158" s="2">
        <f xml:space="preserve"> [3]!'TSE,00778B,HST_CLOSE'</f>
        <v>0</v>
      </c>
      <c r="P158" s="2">
        <f xml:space="preserve"> [3]!'TSE,00778B,OPEN_PRC'</f>
        <v>42.47</v>
      </c>
      <c r="Q158" s="2">
        <f xml:space="preserve"> [3]!'TSE,00778B,HIGH_1'</f>
        <v>42.48</v>
      </c>
      <c r="R158" s="2">
        <f xml:space="preserve"> [3]!'TSE,00778B,LOW_1'</f>
        <v>42.47</v>
      </c>
      <c r="S158" s="2">
        <f xml:space="preserve"> [3]!'TSE,00778B,TRDPRC_1'</f>
        <v>42.48</v>
      </c>
      <c r="T158" s="2">
        <f xml:space="preserve"> [3]!'TSE,00778B,BID'</f>
        <v>42.48</v>
      </c>
      <c r="U158" s="2">
        <f xml:space="preserve"> [3]!'TSE,00778B,ASK'</f>
        <v>42.5</v>
      </c>
      <c r="V158" s="2">
        <f t="shared" si="5"/>
        <v>42.48</v>
      </c>
    </row>
    <row r="159" spans="1:26">
      <c r="A159" s="3" t="s">
        <v>175</v>
      </c>
      <c r="B159" s="2" t="s">
        <v>1593</v>
      </c>
      <c r="C159" s="2">
        <v>40.5</v>
      </c>
      <c r="E159" s="7" t="s">
        <v>1115</v>
      </c>
      <c r="F159" s="7" t="s">
        <v>1116</v>
      </c>
      <c r="G159" s="8">
        <f xml:space="preserve"> RTD("kgi.tw.der.pricertdserver.2014.1",,$A159 &amp; "_" &amp; $G$5 &amp; ":" &amp; $E159 &amp; "@" &amp; $F159)</f>
        <v>40.43</v>
      </c>
      <c r="H159" s="19">
        <f xml:space="preserve"> RTD("kgi.tw.der.pricertdserver.2014.1",,A159 &amp;":"&amp; E159 &amp;"@" &amp; F159)</f>
        <v>40.479999999999997</v>
      </c>
      <c r="I159" s="8">
        <f xml:space="preserve"> RTD("kgi.tw.der.pricertdserver.2014.1",,$A159 &amp; "_" &amp; $I$4 &amp; ":" &amp; $E159 &amp; "@" &amp; $F159)</f>
        <v>-7.9228162514264338E+28</v>
      </c>
      <c r="J159" s="8">
        <f xml:space="preserve"> RTD("kgi.tw.der.pricertdserver.2014.1",,$A159 &amp; "_" &amp; $J$4 &amp; ":" &amp; $E159 &amp; "@" &amp; $F159)</f>
        <v>-7.9228162514264338E+28</v>
      </c>
      <c r="K159" s="7" t="str">
        <f>RTD("kgi.tw.der.pricertdserver.2014.1",,A159 &amp; "_Time" &amp; ":" &amp; E159 &amp; "@" &amp; F159)</f>
        <v>20210514_132957000</v>
      </c>
      <c r="L159" s="45">
        <f t="shared" si="4"/>
        <v>40.479999999999997</v>
      </c>
      <c r="M159" s="43">
        <f>VLOOKUP($A159,XQKGIAP!$A:$I,9,FALSE)</f>
        <v>40.47</v>
      </c>
      <c r="N159" s="43">
        <f xml:space="preserve"> [3]!'TSE,00779B,ADJUST_CLS'</f>
        <v>40.520000000000003</v>
      </c>
      <c r="O159" s="2">
        <f xml:space="preserve"> [3]!'TSE,00779B,HST_CLOSE'</f>
        <v>0</v>
      </c>
      <c r="P159" s="2">
        <f xml:space="preserve"> [3]!'TSE,00779B,OPEN_PRC'</f>
        <v>40.49</v>
      </c>
      <c r="Q159" s="2">
        <f xml:space="preserve"> [3]!'TSE,00779B,HIGH_1'</f>
        <v>40.5</v>
      </c>
      <c r="R159" s="2">
        <f xml:space="preserve"> [3]!'TSE,00779B,LOW_1'</f>
        <v>40.49</v>
      </c>
      <c r="S159" s="2">
        <f xml:space="preserve"> [3]!'TSE,00779B,TRDPRC_1'</f>
        <v>40.5</v>
      </c>
      <c r="T159" s="2">
        <f xml:space="preserve"> [3]!'TSE,00779B,BID'</f>
        <v>40.39</v>
      </c>
      <c r="U159" s="2">
        <f xml:space="preserve"> [3]!'TSE,00779B,ASK'</f>
        <v>40.5</v>
      </c>
      <c r="V159" s="2">
        <f t="shared" si="5"/>
        <v>40.5</v>
      </c>
    </row>
    <row r="160" spans="1:26">
      <c r="A160" s="3" t="s">
        <v>176</v>
      </c>
      <c r="B160" s="2" t="s">
        <v>1594</v>
      </c>
      <c r="C160" s="2">
        <v>40.299999999999997</v>
      </c>
      <c r="E160" s="7" t="s">
        <v>1115</v>
      </c>
      <c r="F160" s="7" t="s">
        <v>1116</v>
      </c>
      <c r="G160" s="8">
        <f xml:space="preserve"> RTD("kgi.tw.der.pricertdserver.2014.1",,$A160 &amp; "_" &amp; $G$5 &amp; ":" &amp; $E160 &amp; "@" &amp; $F160)</f>
        <v>40.473100000000002</v>
      </c>
      <c r="H160" s="19">
        <f xml:space="preserve"> RTD("kgi.tw.der.pricertdserver.2014.1",,A160 &amp;":"&amp; E160 &amp;"@" &amp; F160)</f>
        <v>40.406700000000001</v>
      </c>
      <c r="I160" s="8">
        <f xml:space="preserve"> RTD("kgi.tw.der.pricertdserver.2014.1",,$A160 &amp; "_" &amp; $I$4 &amp; ":" &amp; $E160 &amp; "@" &amp; $F160)</f>
        <v>-7.9228162514264338E+28</v>
      </c>
      <c r="J160" s="8">
        <f xml:space="preserve"> RTD("kgi.tw.der.pricertdserver.2014.1",,$A160 &amp; "_" &amp; $J$4 &amp; ":" &amp; $E160 &amp; "@" &amp; $F160)</f>
        <v>-7.9228162514264338E+28</v>
      </c>
      <c r="K160" s="7" t="str">
        <f>RTD("kgi.tw.der.pricertdserver.2014.1",,A160 &amp; "_Time" &amp; ":" &amp; E160 &amp; "@" &amp; F160)</f>
        <v>20210514_132929000</v>
      </c>
      <c r="L160" s="45">
        <f t="shared" si="4"/>
        <v>40.406700000000001</v>
      </c>
      <c r="M160" s="43">
        <f>VLOOKUP($A160,XQKGIAP!$A:$I,9,FALSE)</f>
        <v>40.44</v>
      </c>
      <c r="N160" s="43">
        <f xml:space="preserve"> [3]!'TSE,00780B,ADJUST_CLS'</f>
        <v>40.299999999999997</v>
      </c>
      <c r="O160" s="2">
        <f xml:space="preserve"> [3]!'TSE,00780B,HST_CLOSE'</f>
        <v>0</v>
      </c>
      <c r="P160" s="2">
        <f xml:space="preserve"> [3]!'TSE,00780B,OPEN_PRC'</f>
        <v>40.299999999999997</v>
      </c>
      <c r="Q160" s="2">
        <f xml:space="preserve"> [3]!'TSE,00780B,HIGH_1'</f>
        <v>40.299999999999997</v>
      </c>
      <c r="R160" s="2">
        <f xml:space="preserve"> [3]!'TSE,00780B,LOW_1'</f>
        <v>40.299999999999997</v>
      </c>
      <c r="S160" s="2">
        <f xml:space="preserve"> [3]!'TSE,00780B,TRDPRC_1'</f>
        <v>40.299999999999997</v>
      </c>
      <c r="T160" s="2">
        <f xml:space="preserve"> [3]!'TSE,00780B,BID'</f>
        <v>40.24</v>
      </c>
      <c r="U160" s="2">
        <f xml:space="preserve"> [3]!'TSE,00780B,ASK'</f>
        <v>40.25</v>
      </c>
      <c r="V160" s="2">
        <f t="shared" si="5"/>
        <v>40.299999999999997</v>
      </c>
    </row>
    <row r="161" spans="1:22">
      <c r="A161" s="3" t="s">
        <v>177</v>
      </c>
      <c r="B161" s="2" t="s">
        <v>1434</v>
      </c>
      <c r="C161" s="2">
        <v>40.31</v>
      </c>
      <c r="E161" s="7" t="s">
        <v>1115</v>
      </c>
      <c r="F161" s="7" t="s">
        <v>1116</v>
      </c>
      <c r="G161" s="8">
        <f xml:space="preserve"> RTD("kgi.tw.der.pricertdserver.2014.1",,$A161 &amp; "_" &amp; $G$5 &amp; ":" &amp; $E161 &amp; "@" &amp; $F161)</f>
        <v>40.306699999999999</v>
      </c>
      <c r="H161" s="19">
        <f xml:space="preserve"> RTD("kgi.tw.der.pricertdserver.2014.1",,A161 &amp;":"&amp; E161 &amp;"@" &amp; F161)</f>
        <v>40.344499999999996</v>
      </c>
      <c r="I161" s="8">
        <f xml:space="preserve"> RTD("kgi.tw.der.pricertdserver.2014.1",,$A161 &amp; "_" &amp; $I$4 &amp; ":" &amp; $E161 &amp; "@" &amp; $F161)</f>
        <v>-7.9228162514264338E+28</v>
      </c>
      <c r="J161" s="8">
        <f xml:space="preserve"> RTD("kgi.tw.der.pricertdserver.2014.1",,$A161 &amp; "_" &amp; $J$4 &amp; ":" &amp; $E161 &amp; "@" &amp; $F161)</f>
        <v>-7.9228162514264338E+28</v>
      </c>
      <c r="K161" s="7" t="str">
        <f>RTD("kgi.tw.der.pricertdserver.2014.1",,A161 &amp; "_Time" &amp; ":" &amp; E161 &amp; "@" &amp; F161)</f>
        <v>20210514_132929000</v>
      </c>
      <c r="L161" s="45">
        <f t="shared" si="4"/>
        <v>40.344499999999996</v>
      </c>
      <c r="M161" s="43">
        <f>VLOOKUP($A161,XQKGIAP!$A:$I,9,FALSE)</f>
        <v>40.36</v>
      </c>
      <c r="N161" s="43">
        <f xml:space="preserve"> [3]!'TSE,00781B,ADJUST_CLS'</f>
        <v>40.25</v>
      </c>
      <c r="O161" s="2">
        <f xml:space="preserve"> [3]!'TSE,00781B,HST_CLOSE'</f>
        <v>0</v>
      </c>
      <c r="P161" s="2">
        <f xml:space="preserve"> [3]!'TSE,00781B,OPEN_PRC'</f>
        <v>40.31</v>
      </c>
      <c r="Q161" s="2">
        <f xml:space="preserve"> [3]!'TSE,00781B,HIGH_1'</f>
        <v>40.31</v>
      </c>
      <c r="R161" s="2">
        <f xml:space="preserve"> [3]!'TSE,00781B,LOW_1'</f>
        <v>40.31</v>
      </c>
      <c r="S161" s="2">
        <f xml:space="preserve"> [3]!'TSE,00781B,TRDPRC_1'</f>
        <v>40.31</v>
      </c>
      <c r="T161" s="2">
        <f xml:space="preserve"> [3]!'TSE,00781B,BID'</f>
        <v>40.299999999999997</v>
      </c>
      <c r="U161" s="2">
        <f xml:space="preserve"> [3]!'TSE,00781B,ASK'</f>
        <v>40.369999999999997</v>
      </c>
      <c r="V161" s="2">
        <f t="shared" si="5"/>
        <v>40.31</v>
      </c>
    </row>
    <row r="162" spans="1:22">
      <c r="A162" s="3" t="s">
        <v>178</v>
      </c>
      <c r="B162" s="2" t="s">
        <v>1435</v>
      </c>
      <c r="C162" s="2">
        <v>40.700000000000003</v>
      </c>
      <c r="E162" s="7" t="s">
        <v>1115</v>
      </c>
      <c r="F162" s="7" t="s">
        <v>1116</v>
      </c>
      <c r="G162" s="8">
        <f xml:space="preserve"> RTD("kgi.tw.der.pricertdserver.2014.1",,$A162 &amp; "_" &amp; $G$5 &amp; ":" &amp; $E162 &amp; "@" &amp; $F162)</f>
        <v>40.640599999999999</v>
      </c>
      <c r="H162" s="19">
        <f xml:space="preserve"> RTD("kgi.tw.der.pricertdserver.2014.1",,A162 &amp;":"&amp; E162 &amp;"@" &amp; F162)</f>
        <v>40.639200000000002</v>
      </c>
      <c r="I162" s="8">
        <f xml:space="preserve"> RTD("kgi.tw.der.pricertdserver.2014.1",,$A162 &amp; "_" &amp; $I$4 &amp; ":" &amp; $E162 &amp; "@" &amp; $F162)</f>
        <v>-7.9228162514264338E+28</v>
      </c>
      <c r="J162" s="8">
        <f xml:space="preserve"> RTD("kgi.tw.der.pricertdserver.2014.1",,$A162 &amp; "_" &amp; $J$4 &amp; ":" &amp; $E162 &amp; "@" &amp; $F162)</f>
        <v>-7.9228162514264338E+28</v>
      </c>
      <c r="K162" s="7" t="str">
        <f>RTD("kgi.tw.der.pricertdserver.2014.1",,A162 &amp; "_Time" &amp; ":" &amp; E162 &amp; "@" &amp; F162)</f>
        <v>20210514_132944000</v>
      </c>
      <c r="L162" s="45">
        <f t="shared" si="4"/>
        <v>40.639200000000002</v>
      </c>
      <c r="M162" s="43">
        <f>VLOOKUP($A162,XQKGIAP!$A:$I,9,FALSE)</f>
        <v>40.659999999999997</v>
      </c>
      <c r="N162" s="43">
        <f xml:space="preserve"> [3]!'TSE,00782B,ADJUST_CLS'</f>
        <v>40.6</v>
      </c>
      <c r="O162" s="2">
        <f xml:space="preserve"> [3]!'TSE,00782B,HST_CLOSE'</f>
        <v>0</v>
      </c>
      <c r="P162" s="2">
        <f xml:space="preserve"> [3]!'TSE,00782B,OPEN_PRC'</f>
        <v>40.6</v>
      </c>
      <c r="Q162" s="2">
        <f xml:space="preserve"> [3]!'TSE,00782B,HIGH_1'</f>
        <v>40.700000000000003</v>
      </c>
      <c r="R162" s="2">
        <f xml:space="preserve"> [3]!'TSE,00782B,LOW_1'</f>
        <v>40.6</v>
      </c>
      <c r="S162" s="2">
        <f xml:space="preserve"> [3]!'TSE,00782B,TRDPRC_1'</f>
        <v>40.700000000000003</v>
      </c>
      <c r="T162" s="2">
        <f xml:space="preserve"> [3]!'TSE,00782B,BID'</f>
        <v>40.57</v>
      </c>
      <c r="U162" s="2">
        <f xml:space="preserve"> [3]!'TSE,00782B,ASK'</f>
        <v>40.6</v>
      </c>
      <c r="V162" s="2">
        <f t="shared" si="5"/>
        <v>40.700000000000003</v>
      </c>
    </row>
    <row r="163" spans="1:22">
      <c r="A163" s="3" t="s">
        <v>179</v>
      </c>
      <c r="B163" s="2" t="s">
        <v>1436</v>
      </c>
      <c r="C163" s="2">
        <v>22.15</v>
      </c>
      <c r="E163" s="7" t="s">
        <v>1115</v>
      </c>
      <c r="F163" s="7" t="s">
        <v>1116</v>
      </c>
      <c r="G163" s="8">
        <f xml:space="preserve"> RTD("kgi.tw.der.pricertdserver.2014.1",,$A163 &amp; "_" &amp; $G$5 &amp; ":" &amp; $E163 &amp; "@" &amp; $F163)</f>
        <v>21.98</v>
      </c>
      <c r="H163" s="19">
        <f xml:space="preserve"> RTD("kgi.tw.der.pricertdserver.2014.1",,A163 &amp;":"&amp; E163 &amp;"@" &amp; F163)</f>
        <v>22.28</v>
      </c>
      <c r="I163" s="8">
        <f xml:space="preserve"> RTD("kgi.tw.der.pricertdserver.2014.1",,$A163 &amp; "_" &amp; $I$4 &amp; ":" &amp; $E163 &amp; "@" &amp; $F163)</f>
        <v>-7.9228162514264338E+28</v>
      </c>
      <c r="J163" s="8">
        <f xml:space="preserve"> RTD("kgi.tw.der.pricertdserver.2014.1",,$A163 &amp; "_" &amp; $J$4 &amp; ":" &amp; $E163 &amp; "@" &amp; $F163)</f>
        <v>-7.9228162514264338E+28</v>
      </c>
      <c r="K163" s="7" t="str">
        <f>RTD("kgi.tw.der.pricertdserver.2014.1",,A163 &amp; "_Time" &amp; ":" &amp; E163 &amp; "@" &amp; F163)</f>
        <v>20210514_132930000</v>
      </c>
      <c r="L163" s="45">
        <f t="shared" si="4"/>
        <v>22.28</v>
      </c>
      <c r="M163" s="43">
        <f>VLOOKUP($A163,XQKGIAP!$A:$I,9,FALSE)</f>
        <v>22.35</v>
      </c>
      <c r="N163" s="43">
        <f xml:space="preserve"> [3]!'TSE,00783,ADJUST_CLS'</f>
        <v>21.84</v>
      </c>
      <c r="O163" s="2">
        <f xml:space="preserve"> [3]!'TSE,00783,HST_CLOSE'</f>
        <v>0</v>
      </c>
      <c r="P163" s="2">
        <f xml:space="preserve"> [3]!'TSE,00783,OPEN_PRC'</f>
        <v>21.84</v>
      </c>
      <c r="Q163" s="2">
        <f xml:space="preserve"> [3]!'TSE,00783,HIGH_1'</f>
        <v>22.15</v>
      </c>
      <c r="R163" s="2">
        <f xml:space="preserve"> [3]!'TSE,00783,LOW_1'</f>
        <v>21.8</v>
      </c>
      <c r="S163" s="2">
        <f xml:space="preserve"> [3]!'TSE,00783,TRDPRC_1'</f>
        <v>22.15</v>
      </c>
      <c r="T163" s="2">
        <f xml:space="preserve"> [3]!'TSE,00783,BID'</f>
        <v>22.13</v>
      </c>
      <c r="U163" s="2">
        <f xml:space="preserve"> [3]!'TSE,00783,ASK'</f>
        <v>22.15</v>
      </c>
      <c r="V163" s="2">
        <f t="shared" si="5"/>
        <v>22.15</v>
      </c>
    </row>
    <row r="164" spans="1:22">
      <c r="A164" s="3" t="s">
        <v>180</v>
      </c>
      <c r="B164" s="2" t="s">
        <v>1595</v>
      </c>
      <c r="C164" s="2">
        <v>37.369999999999997</v>
      </c>
      <c r="E164" s="7" t="s">
        <v>1115</v>
      </c>
      <c r="F164" s="7" t="s">
        <v>1116</v>
      </c>
      <c r="G164" s="8">
        <f xml:space="preserve"> RTD("kgi.tw.der.pricertdserver.2014.1",,$A164 &amp; "_" &amp; $G$5 &amp; ":" &amp; $E164 &amp; "@" &amp; $F164)</f>
        <v>37.2986</v>
      </c>
      <c r="H164" s="19">
        <f xml:space="preserve"> RTD("kgi.tw.der.pricertdserver.2014.1",,A164 &amp;":"&amp; E164 &amp;"@" &amp; F164)</f>
        <v>37.318399999999997</v>
      </c>
      <c r="I164" s="8">
        <f xml:space="preserve"> RTD("kgi.tw.der.pricertdserver.2014.1",,$A164 &amp; "_" &amp; $I$4 &amp; ":" &amp; $E164 &amp; "@" &amp; $F164)</f>
        <v>-7.9228162514264338E+28</v>
      </c>
      <c r="J164" s="8">
        <f xml:space="preserve"> RTD("kgi.tw.der.pricertdserver.2014.1",,$A164 &amp; "_" &amp; $J$4 &amp; ":" &amp; $E164 &amp; "@" &amp; $F164)</f>
        <v>-7.9228162514264338E+28</v>
      </c>
      <c r="K164" s="7" t="str">
        <f>RTD("kgi.tw.der.pricertdserver.2014.1",,A164 &amp; "_Time" &amp; ":" &amp; E164 &amp; "@" &amp; F164)</f>
        <v>20210514_132930000</v>
      </c>
      <c r="L164" s="45">
        <f t="shared" si="4"/>
        <v>37.318399999999997</v>
      </c>
      <c r="M164" s="43">
        <f>VLOOKUP($A164,XQKGIAP!$A:$I,9,FALSE)</f>
        <v>37.32</v>
      </c>
      <c r="N164" s="43">
        <f xml:space="preserve"> [3]!'TSE,00784B,ADJUST_CLS'</f>
        <v>37.35</v>
      </c>
      <c r="O164" s="2">
        <f xml:space="preserve"> [3]!'TSE,00784B,HST_CLOSE'</f>
        <v>0</v>
      </c>
      <c r="P164" s="2">
        <f xml:space="preserve"> [3]!'TSE,00784B,OPEN_PRC'</f>
        <v>37.369999999999997</v>
      </c>
      <c r="Q164" s="2">
        <f xml:space="preserve"> [3]!'TSE,00784B,HIGH_1'</f>
        <v>37.369999999999997</v>
      </c>
      <c r="R164" s="2">
        <f xml:space="preserve"> [3]!'TSE,00784B,LOW_1'</f>
        <v>37.369999999999997</v>
      </c>
      <c r="S164" s="2">
        <f xml:space="preserve"> [3]!'TSE,00784B,TRDPRC_1'</f>
        <v>37.369999999999997</v>
      </c>
      <c r="T164" s="2">
        <f xml:space="preserve"> [3]!'TSE,00784B,BID'</f>
        <v>37.31</v>
      </c>
      <c r="U164" s="2">
        <f xml:space="preserve"> [3]!'TSE,00784B,ASK'</f>
        <v>37.380000000000003</v>
      </c>
      <c r="V164" s="2">
        <f t="shared" si="5"/>
        <v>37.369999999999997</v>
      </c>
    </row>
    <row r="165" spans="1:22">
      <c r="A165" s="3" t="s">
        <v>181</v>
      </c>
      <c r="B165" s="2" t="s">
        <v>1457</v>
      </c>
      <c r="C165" s="2">
        <v>41.15</v>
      </c>
      <c r="E165" s="7" t="s">
        <v>1115</v>
      </c>
      <c r="F165" s="7" t="s">
        <v>1116</v>
      </c>
      <c r="G165" s="8">
        <f xml:space="preserve"> RTD("kgi.tw.der.pricertdserver.2014.1",,$A165 &amp; "_" &amp; $G$5 &amp; ":" &amp; $E165 &amp; "@" &amp; $F165)</f>
        <v>41.048099999999998</v>
      </c>
      <c r="H165" s="19">
        <f xml:space="preserve"> RTD("kgi.tw.der.pricertdserver.2014.1",,A165 &amp;":"&amp; E165 &amp;"@" &amp; F165)</f>
        <v>41.070099999999996</v>
      </c>
      <c r="I165" s="8">
        <f xml:space="preserve"> RTD("kgi.tw.der.pricertdserver.2014.1",,$A165 &amp; "_" &amp; $I$4 &amp; ":" &amp; $E165 &amp; "@" &amp; $F165)</f>
        <v>-7.9228162514264338E+28</v>
      </c>
      <c r="J165" s="8">
        <f xml:space="preserve"> RTD("kgi.tw.der.pricertdserver.2014.1",,$A165 &amp; "_" &amp; $J$4 &amp; ":" &amp; $E165 &amp; "@" &amp; $F165)</f>
        <v>-7.9228162514264338E+28</v>
      </c>
      <c r="K165" s="7" t="str">
        <f>RTD("kgi.tw.der.pricertdserver.2014.1",,A165 &amp; "_Time" &amp; ":" &amp; E165 &amp; "@" &amp; F165)</f>
        <v>20210514_132930000</v>
      </c>
      <c r="L165" s="45">
        <f t="shared" si="4"/>
        <v>41.070099999999996</v>
      </c>
      <c r="M165" s="43">
        <f>VLOOKUP($A165,XQKGIAP!$A:$I,9,FALSE)</f>
        <v>41.07</v>
      </c>
      <c r="N165" s="43">
        <f xml:space="preserve"> [3]!'TSE,00785B,ADJUST_CLS'</f>
        <v>40.97</v>
      </c>
      <c r="O165" s="2">
        <f xml:space="preserve"> [3]!'TSE,00785B,HST_CLOSE'</f>
        <v>0</v>
      </c>
      <c r="P165" s="2">
        <f xml:space="preserve"> [3]!'TSE,00785B,OPEN_PRC'</f>
        <v>41.13</v>
      </c>
      <c r="Q165" s="2">
        <f xml:space="preserve"> [3]!'TSE,00785B,HIGH_1'</f>
        <v>41.2</v>
      </c>
      <c r="R165" s="2">
        <f xml:space="preserve"> [3]!'TSE,00785B,LOW_1'</f>
        <v>41.13</v>
      </c>
      <c r="S165" s="2">
        <f xml:space="preserve"> [3]!'TSE,00785B,TRDPRC_1'</f>
        <v>41.15</v>
      </c>
      <c r="T165" s="2">
        <f xml:space="preserve"> [3]!'TSE,00785B,BID'</f>
        <v>41.13</v>
      </c>
      <c r="U165" s="2">
        <f xml:space="preserve"> [3]!'TSE,00785B,ASK'</f>
        <v>41.22</v>
      </c>
      <c r="V165" s="2">
        <f t="shared" si="5"/>
        <v>41.15</v>
      </c>
    </row>
    <row r="166" spans="1:22">
      <c r="A166" s="3" t="s">
        <v>182</v>
      </c>
      <c r="B166" s="2" t="s">
        <v>1458</v>
      </c>
      <c r="C166" s="2">
        <v>40.200000000000003</v>
      </c>
      <c r="E166" s="7" t="s">
        <v>1115</v>
      </c>
      <c r="F166" s="7" t="s">
        <v>1116</v>
      </c>
      <c r="G166" s="8">
        <f xml:space="preserve"> RTD("kgi.tw.der.pricertdserver.2014.1",,$A166 &amp; "_" &amp; $G$5 &amp; ":" &amp; $E166 &amp; "@" &amp; $F166)</f>
        <v>40.221200000000003</v>
      </c>
      <c r="H166" s="19">
        <f xml:space="preserve"> RTD("kgi.tw.der.pricertdserver.2014.1",,A166 &amp;":"&amp; E166 &amp;"@" &amp; F166)</f>
        <v>40.223199999999999</v>
      </c>
      <c r="I166" s="8">
        <f xml:space="preserve"> RTD("kgi.tw.der.pricertdserver.2014.1",,$A166 &amp; "_" &amp; $I$4 &amp; ":" &amp; $E166 &amp; "@" &amp; $F166)</f>
        <v>-7.9228162514264338E+28</v>
      </c>
      <c r="J166" s="8">
        <f xml:space="preserve"> RTD("kgi.tw.der.pricertdserver.2014.1",,$A166 &amp; "_" &amp; $J$4 &amp; ":" &amp; $E166 &amp; "@" &amp; $F166)</f>
        <v>-7.9228162514264338E+28</v>
      </c>
      <c r="K166" s="7" t="str">
        <f>RTD("kgi.tw.der.pricertdserver.2014.1",,A166 &amp; "_Time" &amp; ":" &amp; E166 &amp; "@" &amp; F166)</f>
        <v>20210514_132945000</v>
      </c>
      <c r="L166" s="45">
        <f t="shared" si="4"/>
        <v>40.223199999999999</v>
      </c>
      <c r="M166" s="43">
        <f>VLOOKUP($A166,XQKGIAP!$A:$I,9,FALSE)</f>
        <v>40.26</v>
      </c>
      <c r="N166" s="43">
        <f xml:space="preserve"> [3]!'TSE,00786B,ADJUST_CLS'</f>
        <v>40.159999999999997</v>
      </c>
      <c r="O166" s="2">
        <f xml:space="preserve"> [3]!'TSE,00786B,HST_CLOSE'</f>
        <v>0</v>
      </c>
      <c r="P166" s="2">
        <f xml:space="preserve"> [3]!'TSE,00786B,OPEN_PRC'</f>
        <v>40.119999999999997</v>
      </c>
      <c r="Q166" s="2">
        <f xml:space="preserve"> [3]!'TSE,00786B,HIGH_1'</f>
        <v>40.200000000000003</v>
      </c>
      <c r="R166" s="2">
        <f xml:space="preserve"> [3]!'TSE,00786B,LOW_1'</f>
        <v>40.119999999999997</v>
      </c>
      <c r="S166" s="2">
        <f xml:space="preserve"> [3]!'TSE,00786B,TRDPRC_1'</f>
        <v>40.200000000000003</v>
      </c>
      <c r="T166" s="2">
        <f xml:space="preserve"> [3]!'TSE,00786B,BID'</f>
        <v>40.1</v>
      </c>
      <c r="U166" s="2">
        <f xml:space="preserve"> [3]!'TSE,00786B,ASK'</f>
        <v>40.21</v>
      </c>
      <c r="V166" s="2">
        <f t="shared" si="5"/>
        <v>40.200000000000003</v>
      </c>
    </row>
    <row r="167" spans="1:22">
      <c r="A167" s="3" t="s">
        <v>183</v>
      </c>
      <c r="B167" s="2" t="s">
        <v>1437</v>
      </c>
      <c r="C167" s="2">
        <v>41.13</v>
      </c>
      <c r="E167" s="7" t="s">
        <v>1115</v>
      </c>
      <c r="F167" s="7" t="s">
        <v>1116</v>
      </c>
      <c r="G167" s="8">
        <f xml:space="preserve"> RTD("kgi.tw.der.pricertdserver.2014.1",,$A167 &amp; "_" &amp; $G$5 &amp; ":" &amp; $E167 &amp; "@" &amp; $F167)</f>
        <v>41.222700000000003</v>
      </c>
      <c r="H167" s="19">
        <f xml:space="preserve"> RTD("kgi.tw.der.pricertdserver.2014.1",,A167 &amp;":"&amp; E167 &amp;"@" &amp; F167)</f>
        <v>41.224699999999999</v>
      </c>
      <c r="I167" s="8">
        <f xml:space="preserve"> RTD("kgi.tw.der.pricertdserver.2014.1",,$A167 &amp; "_" &amp; $I$4 &amp; ":" &amp; $E167 &amp; "@" &amp; $F167)</f>
        <v>-7.9228162514264338E+28</v>
      </c>
      <c r="J167" s="8">
        <f xml:space="preserve"> RTD("kgi.tw.der.pricertdserver.2014.1",,$A167 &amp; "_" &amp; $J$4 &amp; ":" &amp; $E167 &amp; "@" &amp; $F167)</f>
        <v>-7.9228162514264338E+28</v>
      </c>
      <c r="K167" s="7" t="str">
        <f>RTD("kgi.tw.der.pricertdserver.2014.1",,A167 &amp; "_Time" &amp; ":" &amp; E167 &amp; "@" &amp; F167)</f>
        <v>20210514_132945000</v>
      </c>
      <c r="L167" s="45">
        <f t="shared" si="4"/>
        <v>41.224699999999999</v>
      </c>
      <c r="M167" s="43">
        <f>VLOOKUP($A167,XQKGIAP!$A:$I,9,FALSE)</f>
        <v>41.26</v>
      </c>
      <c r="N167" s="43">
        <f xml:space="preserve"> [3]!'TSE,00787B,ADJUST_CLS'</f>
        <v>41.15</v>
      </c>
      <c r="O167" s="2">
        <f xml:space="preserve"> [3]!'TSE,00787B,HST_CLOSE'</f>
        <v>0</v>
      </c>
      <c r="P167" s="2">
        <f xml:space="preserve"> [3]!'TSE,00787B,OPEN_PRC'</f>
        <v>41.12</v>
      </c>
      <c r="Q167" s="2">
        <f xml:space="preserve"> [3]!'TSE,00787B,HIGH_1'</f>
        <v>41.13</v>
      </c>
      <c r="R167" s="2">
        <f xml:space="preserve"> [3]!'TSE,00787B,LOW_1'</f>
        <v>41.12</v>
      </c>
      <c r="S167" s="2">
        <f xml:space="preserve"> [3]!'TSE,00787B,TRDPRC_1'</f>
        <v>41.13</v>
      </c>
      <c r="T167" s="2">
        <f xml:space="preserve"> [3]!'TSE,00787B,BID'</f>
        <v>41.1</v>
      </c>
      <c r="U167" s="2">
        <f xml:space="preserve"> [3]!'TSE,00787B,ASK'</f>
        <v>41.22</v>
      </c>
      <c r="V167" s="2">
        <f t="shared" si="5"/>
        <v>41.13</v>
      </c>
    </row>
    <row r="168" spans="1:22">
      <c r="A168" s="3" t="s">
        <v>184</v>
      </c>
      <c r="B168" s="2" t="s">
        <v>1454</v>
      </c>
      <c r="C168" s="2">
        <v>39.119999999999997</v>
      </c>
      <c r="E168" s="7" t="s">
        <v>1115</v>
      </c>
      <c r="F168" s="7" t="s">
        <v>1116</v>
      </c>
      <c r="G168" s="8">
        <f xml:space="preserve"> RTD("kgi.tw.der.pricertdserver.2014.1",,$A168 &amp; "_" &amp; $G$5 &amp; ":" &amp; $E168 &amp; "@" &amp; $F168)</f>
        <v>38.897399999999998</v>
      </c>
      <c r="H168" s="19">
        <f xml:space="preserve"> RTD("kgi.tw.der.pricertdserver.2014.1",,A168 &amp;":"&amp; E168 &amp;"@" &amp; F168)</f>
        <v>38.899000000000001</v>
      </c>
      <c r="I168" s="8">
        <f xml:space="preserve"> RTD("kgi.tw.der.pricertdserver.2014.1",,$A168 &amp; "_" &amp; $I$4 &amp; ":" &amp; $E168 &amp; "@" &amp; $F168)</f>
        <v>-7.9228162514264338E+28</v>
      </c>
      <c r="J168" s="8">
        <f xml:space="preserve"> RTD("kgi.tw.der.pricertdserver.2014.1",,$A168 &amp; "_" &amp; $J$4 &amp; ":" &amp; $E168 &amp; "@" &amp; $F168)</f>
        <v>-7.9228162514264338E+28</v>
      </c>
      <c r="K168" s="7" t="str">
        <f>RTD("kgi.tw.der.pricertdserver.2014.1",,A168 &amp; "_Time" &amp; ":" &amp; E168 &amp; "@" &amp; F168)</f>
        <v>20210514_132945000</v>
      </c>
      <c r="L168" s="45">
        <f t="shared" si="4"/>
        <v>38.899000000000001</v>
      </c>
      <c r="M168" s="43">
        <f>VLOOKUP($A168,XQKGIAP!$A:$I,9,FALSE)</f>
        <v>38.93</v>
      </c>
      <c r="N168" s="43">
        <f xml:space="preserve"> [3]!'TSE,00788B,ADJUST_CLS'</f>
        <v>39.130000000000003</v>
      </c>
      <c r="O168" s="2">
        <f xml:space="preserve"> [3]!'TSE,00788B,HST_CLOSE'</f>
        <v>0</v>
      </c>
      <c r="P168" s="2">
        <f xml:space="preserve"> [3]!'TSE,00788B,OPEN_PRC'</f>
        <v>39.11</v>
      </c>
      <c r="Q168" s="2">
        <f xml:space="preserve"> [3]!'TSE,00788B,HIGH_1'</f>
        <v>39.119999999999997</v>
      </c>
      <c r="R168" s="2">
        <f xml:space="preserve"> [3]!'TSE,00788B,LOW_1'</f>
        <v>39.11</v>
      </c>
      <c r="S168" s="2">
        <f xml:space="preserve"> [3]!'TSE,00788B,TRDPRC_1'</f>
        <v>39.119999999999997</v>
      </c>
      <c r="T168" s="2">
        <f xml:space="preserve"> [3]!'TSE,00788B,BID'</f>
        <v>39.119999999999997</v>
      </c>
      <c r="U168" s="2">
        <f xml:space="preserve"> [3]!'TSE,00788B,ASK'</f>
        <v>39.19</v>
      </c>
      <c r="V168" s="2">
        <f t="shared" si="5"/>
        <v>39.119999999999997</v>
      </c>
    </row>
    <row r="169" spans="1:22">
      <c r="A169" s="3" t="s">
        <v>185</v>
      </c>
      <c r="B169" s="2" t="s">
        <v>1596</v>
      </c>
      <c r="C169" s="2">
        <v>61.65</v>
      </c>
      <c r="E169" s="7" t="s">
        <v>1115</v>
      </c>
      <c r="F169" s="7" t="s">
        <v>1116</v>
      </c>
      <c r="G169" s="8">
        <f xml:space="preserve"> RTD("kgi.tw.der.pricertdserver.2014.1",,$A169 &amp; "_" &amp; $G$5 &amp; ":" &amp; $E169 &amp; "@" &amp; $F169)</f>
        <v>61.8506</v>
      </c>
      <c r="H169" s="19">
        <f xml:space="preserve"> RTD("kgi.tw.der.pricertdserver.2014.1",,A169 &amp;":"&amp; E169 &amp;"@" &amp; F169)</f>
        <v>61.839799999999997</v>
      </c>
      <c r="I169" s="8">
        <f xml:space="preserve"> RTD("kgi.tw.der.pricertdserver.2014.1",,$A169 &amp; "_" &amp; $I$4 &amp; ":" &amp; $E169 &amp; "@" &amp; $F169)</f>
        <v>-7.9228162514264338E+28</v>
      </c>
      <c r="J169" s="8">
        <f xml:space="preserve"> RTD("kgi.tw.der.pricertdserver.2014.1",,$A169 &amp; "_" &amp; $J$4 &amp; ":" &amp; $E169 &amp; "@" &amp; $F169)</f>
        <v>-7.9228162514264338E+28</v>
      </c>
      <c r="K169" s="7" t="str">
        <f>RTD("kgi.tw.der.pricertdserver.2014.1",,A169 &amp; "_Time" &amp; ":" &amp; E169 &amp; "@" &amp; F169)</f>
        <v>20210514_132939000</v>
      </c>
      <c r="L169" s="45">
        <f t="shared" si="4"/>
        <v>61.839799999999997</v>
      </c>
      <c r="M169" s="43">
        <f>VLOOKUP($A169,XQKGIAP!$A:$I,9,FALSE)</f>
        <v>61.9</v>
      </c>
      <c r="N169" s="43">
        <f xml:space="preserve"> [3]!'TSE,00789B,ADJUST_CLS'</f>
        <v>61.85</v>
      </c>
      <c r="O169" s="2">
        <f xml:space="preserve"> [3]!'TSE,00789B,HST_CLOSE'</f>
        <v>0</v>
      </c>
      <c r="P169" s="2">
        <f xml:space="preserve"> [3]!'TSE,00789B,OPEN_PRC'</f>
        <v>61.65</v>
      </c>
      <c r="Q169" s="2">
        <f xml:space="preserve"> [3]!'TSE,00789B,HIGH_1'</f>
        <v>61.65</v>
      </c>
      <c r="R169" s="2">
        <f xml:space="preserve"> [3]!'TSE,00789B,LOW_1'</f>
        <v>61.65</v>
      </c>
      <c r="S169" s="2">
        <f xml:space="preserve"> [3]!'TSE,00789B,TRDPRC_1'</f>
        <v>61.65</v>
      </c>
      <c r="T169" s="2">
        <f xml:space="preserve"> [3]!'TSE,00789B,BID'</f>
        <v>61.5</v>
      </c>
      <c r="U169" s="2">
        <f xml:space="preserve"> [3]!'TSE,00789B,ASK'</f>
        <v>61.6</v>
      </c>
      <c r="V169" s="2">
        <f t="shared" si="5"/>
        <v>61.65</v>
      </c>
    </row>
    <row r="170" spans="1:22">
      <c r="A170" s="3" t="s">
        <v>186</v>
      </c>
      <c r="B170" s="2" t="s">
        <v>1597</v>
      </c>
      <c r="C170" s="2">
        <v>61.6</v>
      </c>
      <c r="E170" s="7" t="s">
        <v>1115</v>
      </c>
      <c r="F170" s="7" t="s">
        <v>1116</v>
      </c>
      <c r="G170" s="8">
        <f xml:space="preserve"> RTD("kgi.tw.der.pricertdserver.2014.1",,$A170 &amp; "_" &amp; $G$5 &amp; ":" &amp; $E170 &amp; "@" &amp; $F170)</f>
        <v>61.627000000000002</v>
      </c>
      <c r="H170" s="19">
        <f xml:space="preserve"> RTD("kgi.tw.der.pricertdserver.2014.1",,A170 &amp;":"&amp; E170 &amp;"@" &amp; F170)</f>
        <v>61.616199999999999</v>
      </c>
      <c r="I170" s="8">
        <f xml:space="preserve"> RTD("kgi.tw.der.pricertdserver.2014.1",,$A170 &amp; "_" &amp; $I$4 &amp; ":" &amp; $E170 &amp; "@" &amp; $F170)</f>
        <v>-7.9228162514264338E+28</v>
      </c>
      <c r="J170" s="8">
        <f xml:space="preserve"> RTD("kgi.tw.der.pricertdserver.2014.1",,$A170 &amp; "_" &amp; $J$4 &amp; ":" &amp; $E170 &amp; "@" &amp; $F170)</f>
        <v>-7.9228162514264338E+28</v>
      </c>
      <c r="K170" s="7" t="str">
        <f>RTD("kgi.tw.der.pricertdserver.2014.1",,A170 &amp; "_Time" &amp; ":" &amp; E170 &amp; "@" &amp; F170)</f>
        <v>20210514_132939000</v>
      </c>
      <c r="L170" s="45">
        <f t="shared" si="4"/>
        <v>61.616199999999999</v>
      </c>
      <c r="M170" s="43">
        <f>VLOOKUP($A170,XQKGIAP!$A:$I,9,FALSE)</f>
        <v>61.68</v>
      </c>
      <c r="N170" s="43">
        <f xml:space="preserve"> [3]!'TSE,00790B,ADJUST_CLS'</f>
        <v>61.6</v>
      </c>
      <c r="O170" s="2">
        <f xml:space="preserve"> [3]!'TSE,00790B,HST_CLOSE'</f>
        <v>0</v>
      </c>
      <c r="P170" s="2">
        <f xml:space="preserve"> [3]!'TSE,00790B,OPEN_PRC'</f>
        <v>61.6</v>
      </c>
      <c r="Q170" s="2">
        <f xml:space="preserve"> [3]!'TSE,00790B,HIGH_1'</f>
        <v>61.6</v>
      </c>
      <c r="R170" s="2">
        <f xml:space="preserve"> [3]!'TSE,00790B,LOW_1'</f>
        <v>61.6</v>
      </c>
      <c r="S170" s="2">
        <f xml:space="preserve"> [3]!'TSE,00790B,TRDPRC_1'</f>
        <v>61.6</v>
      </c>
      <c r="T170" s="2">
        <f xml:space="preserve"> [3]!'TSE,00790B,BID'</f>
        <v>61.45</v>
      </c>
      <c r="U170" s="2">
        <f xml:space="preserve"> [3]!'TSE,00790B,ASK'</f>
        <v>61.65</v>
      </c>
      <c r="V170" s="2">
        <f t="shared" si="5"/>
        <v>61.6</v>
      </c>
    </row>
    <row r="171" spans="1:22">
      <c r="A171" s="3" t="s">
        <v>187</v>
      </c>
      <c r="B171" s="2" t="s">
        <v>1598</v>
      </c>
      <c r="C171" s="2">
        <v>55.85</v>
      </c>
      <c r="E171" s="7" t="s">
        <v>1115</v>
      </c>
      <c r="F171" s="7" t="s">
        <v>1116</v>
      </c>
      <c r="G171" s="8">
        <f xml:space="preserve"> RTD("kgi.tw.der.pricertdserver.2014.1",,$A171 &amp; "_" &amp; $G$5 &amp; ":" &amp; $E171 &amp; "@" &amp; $F171)</f>
        <v>55.994900000000001</v>
      </c>
      <c r="H171" s="19">
        <f xml:space="preserve"> RTD("kgi.tw.der.pricertdserver.2014.1",,A171 &amp;":"&amp; E171 &amp;"@" &amp; F171)</f>
        <v>55.985100000000003</v>
      </c>
      <c r="I171" s="8">
        <f xml:space="preserve"> RTD("kgi.tw.der.pricertdserver.2014.1",,$A171 &amp; "_" &amp; $I$4 &amp; ":" &amp; $E171 &amp; "@" &amp; $F171)</f>
        <v>-7.9228162514264338E+28</v>
      </c>
      <c r="J171" s="8">
        <f xml:space="preserve"> RTD("kgi.tw.der.pricertdserver.2014.1",,$A171 &amp; "_" &amp; $J$4 &amp; ":" &amp; $E171 &amp; "@" &amp; $F171)</f>
        <v>-7.9228162514264338E+28</v>
      </c>
      <c r="K171" s="7" t="str">
        <f>RTD("kgi.tw.der.pricertdserver.2014.1",,A171 &amp; "_Time" &amp; ":" &amp; E171 &amp; "@" &amp; F171)</f>
        <v>20210514_132939000</v>
      </c>
      <c r="L171" s="45">
        <f t="shared" si="4"/>
        <v>55.985100000000003</v>
      </c>
      <c r="M171" s="43">
        <f>VLOOKUP($A171,XQKGIAP!$A:$I,9,FALSE)</f>
        <v>56.04</v>
      </c>
      <c r="N171" s="43">
        <f xml:space="preserve"> [3]!'TSE,00791B,ADJUST_CLS'</f>
        <v>56.15</v>
      </c>
      <c r="O171" s="2">
        <f xml:space="preserve"> [3]!'TSE,00791B,HST_CLOSE'</f>
        <v>0</v>
      </c>
      <c r="P171" s="2">
        <f xml:space="preserve"> [3]!'TSE,00791B,OPEN_PRC'</f>
        <v>55.85</v>
      </c>
      <c r="Q171" s="2">
        <f xml:space="preserve"> [3]!'TSE,00791B,HIGH_1'</f>
        <v>55.9</v>
      </c>
      <c r="R171" s="2">
        <f xml:space="preserve"> [3]!'TSE,00791B,LOW_1'</f>
        <v>55.85</v>
      </c>
      <c r="S171" s="2">
        <f xml:space="preserve"> [3]!'TSE,00791B,TRDPRC_1'</f>
        <v>55.85</v>
      </c>
      <c r="T171" s="2">
        <f xml:space="preserve"> [3]!'TSE,00791B,BID'</f>
        <v>55.7</v>
      </c>
      <c r="U171" s="2">
        <f xml:space="preserve"> [3]!'TSE,00791B,ASK'</f>
        <v>55.8</v>
      </c>
      <c r="V171" s="2">
        <f t="shared" si="5"/>
        <v>55.85</v>
      </c>
    </row>
    <row r="172" spans="1:22">
      <c r="A172" s="3" t="s">
        <v>188</v>
      </c>
      <c r="B172" s="2" t="s">
        <v>1599</v>
      </c>
      <c r="C172" s="2">
        <v>40.65</v>
      </c>
      <c r="E172" s="7" t="s">
        <v>1115</v>
      </c>
      <c r="F172" s="7" t="s">
        <v>1116</v>
      </c>
      <c r="G172" s="8">
        <f xml:space="preserve"> RTD("kgi.tw.der.pricertdserver.2014.1",,$A172 &amp; "_" &amp; $G$5 &amp; ":" &amp; $E172 &amp; "@" &amp; $F172)</f>
        <v>40.447299999999998</v>
      </c>
      <c r="H172" s="19">
        <f xml:space="preserve"> RTD("kgi.tw.der.pricertdserver.2014.1",,A172 &amp;":"&amp; E172 &amp;"@" &amp; F172)</f>
        <v>40.413400000000003</v>
      </c>
      <c r="I172" s="8">
        <f xml:space="preserve"> RTD("kgi.tw.der.pricertdserver.2014.1",,$A172 &amp; "_" &amp; $I$4 &amp; ":" &amp; $E172 &amp; "@" &amp; $F172)</f>
        <v>-7.9228162514264338E+28</v>
      </c>
      <c r="J172" s="8">
        <f xml:space="preserve"> RTD("kgi.tw.der.pricertdserver.2014.1",,$A172 &amp; "_" &amp; $J$4 &amp; ":" &amp; $E172 &amp; "@" &amp; $F172)</f>
        <v>-7.9228162514264338E+28</v>
      </c>
      <c r="K172" s="7" t="str">
        <f>RTD("kgi.tw.der.pricertdserver.2014.1",,A172 &amp; "_Time" &amp; ":" &amp; E172 &amp; "@" &amp; F172)</f>
        <v>20210514_132945000</v>
      </c>
      <c r="L172" s="45">
        <f t="shared" si="4"/>
        <v>40.413400000000003</v>
      </c>
      <c r="M172" s="43">
        <f>VLOOKUP($A172,XQKGIAP!$A:$I,9,FALSE)</f>
        <v>40.450000000000003</v>
      </c>
      <c r="N172" s="43">
        <f xml:space="preserve"> [3]!'TSE,00792B,ADJUST_CLS'</f>
        <v>40.44</v>
      </c>
      <c r="O172" s="2">
        <f xml:space="preserve"> [3]!'TSE,00792B,HST_CLOSE'</f>
        <v>0</v>
      </c>
      <c r="P172" s="2">
        <f xml:space="preserve"> [3]!'TSE,00792B,OPEN_PRC'</f>
        <v>40.5</v>
      </c>
      <c r="Q172" s="2">
        <f xml:space="preserve"> [3]!'TSE,00792B,HIGH_1'</f>
        <v>40.65</v>
      </c>
      <c r="R172" s="2">
        <f xml:space="preserve"> [3]!'TSE,00792B,LOW_1'</f>
        <v>40.5</v>
      </c>
      <c r="S172" s="2">
        <f xml:space="preserve"> [3]!'TSE,00792B,TRDPRC_1'</f>
        <v>40.65</v>
      </c>
      <c r="T172" s="2">
        <f xml:space="preserve"> [3]!'TSE,00792B,BID'</f>
        <v>40.54</v>
      </c>
      <c r="U172" s="2">
        <f xml:space="preserve"> [3]!'TSE,00792B,ASK'</f>
        <v>40.6</v>
      </c>
      <c r="V172" s="2">
        <f t="shared" si="5"/>
        <v>40.65</v>
      </c>
    </row>
    <row r="173" spans="1:22">
      <c r="A173" s="3" t="s">
        <v>189</v>
      </c>
      <c r="B173" s="2" t="s">
        <v>1600</v>
      </c>
      <c r="C173" s="2">
        <v>40</v>
      </c>
      <c r="E173" s="7" t="s">
        <v>1115</v>
      </c>
      <c r="F173" s="7" t="s">
        <v>1116</v>
      </c>
      <c r="G173" s="8">
        <f xml:space="preserve"> RTD("kgi.tw.der.pricertdserver.2014.1",,$A173 &amp; "_" &amp; $G$5 &amp; ":" &amp; $E173 &amp; "@" &amp; $F173)</f>
        <v>40.295900000000003</v>
      </c>
      <c r="H173" s="19">
        <f xml:space="preserve"> RTD("kgi.tw.der.pricertdserver.2014.1",,A173 &amp;":"&amp; E173 &amp;"@" &amp; F173)</f>
        <v>40.262</v>
      </c>
      <c r="I173" s="8">
        <f xml:space="preserve"> RTD("kgi.tw.der.pricertdserver.2014.1",,$A173 &amp; "_" &amp; $I$4 &amp; ":" &amp; $E173 &amp; "@" &amp; $F173)</f>
        <v>-7.9228162514264338E+28</v>
      </c>
      <c r="J173" s="8">
        <f xml:space="preserve"> RTD("kgi.tw.der.pricertdserver.2014.1",,$A173 &amp; "_" &amp; $J$4 &amp; ":" &amp; $E173 &amp; "@" &amp; $F173)</f>
        <v>-7.9228162514264338E+28</v>
      </c>
      <c r="K173" s="7" t="str">
        <f>RTD("kgi.tw.der.pricertdserver.2014.1",,A173 &amp; "_Time" &amp; ":" &amp; E173 &amp; "@" &amp; F173)</f>
        <v>20210514_132945000</v>
      </c>
      <c r="L173" s="45">
        <f t="shared" si="4"/>
        <v>40.262</v>
      </c>
      <c r="M173" s="43">
        <f>VLOOKUP($A173,XQKGIAP!$A:$I,9,FALSE)</f>
        <v>40.299999999999997</v>
      </c>
      <c r="N173" s="43">
        <f xml:space="preserve"> [3]!'TSE,00793B,ADJUST_CLS'</f>
        <v>39.85</v>
      </c>
      <c r="O173" s="2">
        <f xml:space="preserve"> [3]!'TSE,00793B,HST_CLOSE'</f>
        <v>0</v>
      </c>
      <c r="P173" s="2">
        <f xml:space="preserve"> [3]!'TSE,00793B,OPEN_PRC'</f>
        <v>40</v>
      </c>
      <c r="Q173" s="2">
        <f xml:space="preserve"> [3]!'TSE,00793B,HIGH_1'</f>
        <v>40</v>
      </c>
      <c r="R173" s="2">
        <f xml:space="preserve"> [3]!'TSE,00793B,LOW_1'</f>
        <v>39.9</v>
      </c>
      <c r="S173" s="2">
        <f xml:space="preserve"> [3]!'TSE,00793B,TRDPRC_1'</f>
        <v>40</v>
      </c>
      <c r="T173" s="2">
        <f xml:space="preserve"> [3]!'TSE,00793B,BID'</f>
        <v>40.01</v>
      </c>
      <c r="U173" s="2">
        <f xml:space="preserve"> [3]!'TSE,00793B,ASK'</f>
        <v>40.14</v>
      </c>
      <c r="V173" s="2">
        <f t="shared" si="5"/>
        <v>40</v>
      </c>
    </row>
    <row r="174" spans="1:22">
      <c r="A174" s="3" t="s">
        <v>190</v>
      </c>
      <c r="B174" s="2" t="s">
        <v>1601</v>
      </c>
      <c r="C174" s="2">
        <v>39.76</v>
      </c>
      <c r="E174" s="7" t="s">
        <v>1115</v>
      </c>
      <c r="F174" s="7" t="s">
        <v>1116</v>
      </c>
      <c r="G174" s="8">
        <f xml:space="preserve"> RTD("kgi.tw.der.pricertdserver.2014.1",,$A174 &amp; "_" &amp; $G$5 &amp; ":" &amp; $E174 &amp; "@" &amp; $F174)</f>
        <v>39.768700000000003</v>
      </c>
      <c r="H174" s="19">
        <f xml:space="preserve"> RTD("kgi.tw.der.pricertdserver.2014.1",,A174 &amp;":"&amp; E174 &amp;"@" &amp; F174)</f>
        <v>39.777700000000003</v>
      </c>
      <c r="I174" s="8">
        <f xml:space="preserve"> RTD("kgi.tw.der.pricertdserver.2014.1",,$A174 &amp; "_" &amp; $I$4 &amp; ":" &amp; $E174 &amp; "@" &amp; $F174)</f>
        <v>-7.9228162514264338E+28</v>
      </c>
      <c r="J174" s="8">
        <f xml:space="preserve"> RTD("kgi.tw.der.pricertdserver.2014.1",,$A174 &amp; "_" &amp; $J$4 &amp; ":" &amp; $E174 &amp; "@" &amp; $F174)</f>
        <v>-7.9228162514264338E+28</v>
      </c>
      <c r="K174" s="7" t="str">
        <f>RTD("kgi.tw.der.pricertdserver.2014.1",,A174 &amp; "_Time" &amp; ":" &amp; E174 &amp; "@" &amp; F174)</f>
        <v>20210514_132945000</v>
      </c>
      <c r="L174" s="45">
        <f t="shared" si="4"/>
        <v>39.777700000000003</v>
      </c>
      <c r="M174" s="43">
        <f>VLOOKUP($A174,XQKGIAP!$A:$I,9,FALSE)</f>
        <v>39.869999999999997</v>
      </c>
      <c r="N174" s="43">
        <f xml:space="preserve"> [3]!'TSE,00794B,ADJUST_CLS'</f>
        <v>39.75</v>
      </c>
      <c r="O174" s="2">
        <f xml:space="preserve"> [3]!'TSE,00794B,HST_CLOSE'</f>
        <v>0</v>
      </c>
      <c r="P174" s="2">
        <f xml:space="preserve"> [3]!'TSE,00794B,OPEN_PRC'</f>
        <v>39.76</v>
      </c>
      <c r="Q174" s="2">
        <f xml:space="preserve"> [3]!'TSE,00794B,HIGH_1'</f>
        <v>39.76</v>
      </c>
      <c r="R174" s="2">
        <f xml:space="preserve"> [3]!'TSE,00794B,LOW_1'</f>
        <v>39.76</v>
      </c>
      <c r="S174" s="2">
        <f xml:space="preserve"> [3]!'TSE,00794B,TRDPRC_1'</f>
        <v>39.76</v>
      </c>
      <c r="T174" s="2">
        <f xml:space="preserve"> [3]!'TSE,00794B,BID'</f>
        <v>39.630000000000003</v>
      </c>
      <c r="U174" s="2">
        <f xml:space="preserve"> [3]!'TSE,00794B,ASK'</f>
        <v>39.75</v>
      </c>
      <c r="V174" s="2">
        <f t="shared" si="5"/>
        <v>39.76</v>
      </c>
    </row>
    <row r="175" spans="1:22">
      <c r="A175" s="3" t="s">
        <v>191</v>
      </c>
      <c r="B175" s="2" t="s">
        <v>1438</v>
      </c>
      <c r="C175" s="2">
        <v>39.06</v>
      </c>
      <c r="E175" s="7" t="s">
        <v>1115</v>
      </c>
      <c r="F175" s="7" t="s">
        <v>1116</v>
      </c>
      <c r="G175" s="8">
        <f xml:space="preserve"> RTD("kgi.tw.der.pricertdserver.2014.1",,$A175 &amp; "_" &amp; $G$5 &amp; ":" &amp; $E175 &amp; "@" &amp; $F175)</f>
        <v>39.084800000000001</v>
      </c>
      <c r="H175" s="19">
        <f xml:space="preserve"> RTD("kgi.tw.der.pricertdserver.2014.1",,A175 &amp;":"&amp; E175 &amp;"@" &amp; F175)</f>
        <v>39.110199999999999</v>
      </c>
      <c r="I175" s="8">
        <f xml:space="preserve"> RTD("kgi.tw.der.pricertdserver.2014.1",,$A175 &amp; "_" &amp; $I$4 &amp; ":" &amp; $E175 &amp; "@" &amp; $F175)</f>
        <v>-7.9228162514264338E+28</v>
      </c>
      <c r="J175" s="8">
        <f xml:space="preserve"> RTD("kgi.tw.der.pricertdserver.2014.1",,$A175 &amp; "_" &amp; $J$4 &amp; ":" &amp; $E175 &amp; "@" &amp; $F175)</f>
        <v>-7.9228162514264338E+28</v>
      </c>
      <c r="K175" s="7" t="str">
        <f>RTD("kgi.tw.der.pricertdserver.2014.1",,A175 &amp; "_Time" &amp; ":" &amp; E175 &amp; "@" &amp; F175)</f>
        <v>20210514_132949000</v>
      </c>
      <c r="L175" s="45">
        <f t="shared" si="4"/>
        <v>39.110199999999999</v>
      </c>
      <c r="M175" s="43">
        <f>VLOOKUP($A175,XQKGIAP!$A:$I,9,FALSE)</f>
        <v>39.119999999999997</v>
      </c>
      <c r="N175" s="43">
        <f xml:space="preserve"> [3]!'TSE,00795B,ADJUST_CLS'</f>
        <v>38.979999999999997</v>
      </c>
      <c r="O175" s="2">
        <f xml:space="preserve"> [3]!'TSE,00795B,HST_CLOSE'</f>
        <v>0</v>
      </c>
      <c r="P175" s="2">
        <f xml:space="preserve"> [3]!'TSE,00795B,OPEN_PRC'</f>
        <v>39</v>
      </c>
      <c r="Q175" s="2">
        <f xml:space="preserve"> [3]!'TSE,00795B,HIGH_1'</f>
        <v>39.06</v>
      </c>
      <c r="R175" s="2">
        <f xml:space="preserve"> [3]!'TSE,00795B,LOW_1'</f>
        <v>39</v>
      </c>
      <c r="S175" s="2">
        <f xml:space="preserve"> [3]!'TSE,00795B,TRDPRC_1'</f>
        <v>39.06</v>
      </c>
      <c r="T175" s="2">
        <f xml:space="preserve"> [3]!'TSE,00795B,BID'</f>
        <v>39.06</v>
      </c>
      <c r="U175" s="2">
        <f xml:space="preserve"> [3]!'TSE,00795B,ASK'</f>
        <v>39.08</v>
      </c>
      <c r="V175" s="2">
        <f t="shared" si="5"/>
        <v>39.06</v>
      </c>
    </row>
    <row r="176" spans="1:22">
      <c r="A176" s="3" t="s">
        <v>192</v>
      </c>
      <c r="B176" s="2" t="s">
        <v>1439</v>
      </c>
      <c r="C176" s="2">
        <v>39.380000000000003</v>
      </c>
      <c r="E176" s="7" t="s">
        <v>1115</v>
      </c>
      <c r="F176" s="7" t="s">
        <v>1116</v>
      </c>
      <c r="G176" s="8">
        <f xml:space="preserve"> RTD("kgi.tw.der.pricertdserver.2014.1",,$A176 &amp; "_" &amp; $G$5 &amp; ":" &amp; $E176 &amp; "@" &amp; $F176)</f>
        <v>39.427599999999998</v>
      </c>
      <c r="H176" s="19">
        <f xml:space="preserve"> RTD("kgi.tw.der.pricertdserver.2014.1",,A176 &amp;":"&amp; E176 &amp;"@" &amp; F176)</f>
        <v>39.441800000000001</v>
      </c>
      <c r="I176" s="8">
        <f xml:space="preserve"> RTD("kgi.tw.der.pricertdserver.2014.1",,$A176 &amp; "_" &amp; $I$4 &amp; ":" &amp; $E176 &amp; "@" &amp; $F176)</f>
        <v>-7.9228162514264338E+28</v>
      </c>
      <c r="J176" s="8">
        <f xml:space="preserve"> RTD("kgi.tw.der.pricertdserver.2014.1",,$A176 &amp; "_" &amp; $J$4 &amp; ":" &amp; $E176 &amp; "@" &amp; $F176)</f>
        <v>-7.9228162514264338E+28</v>
      </c>
      <c r="K176" s="7" t="str">
        <f>RTD("kgi.tw.der.pricertdserver.2014.1",,A176 &amp; "_Time" &amp; ":" &amp; E176 &amp; "@" &amp; F176)</f>
        <v>20210514_132949000</v>
      </c>
      <c r="L176" s="45">
        <f t="shared" si="4"/>
        <v>39.441800000000001</v>
      </c>
      <c r="M176" s="43">
        <f>VLOOKUP($A176,XQKGIAP!$A:$I,9,FALSE)</f>
        <v>39.53</v>
      </c>
      <c r="N176" s="43">
        <f xml:space="preserve"> [3]!'TSE,00796B,ADJUST_CLS'</f>
        <v>39.39</v>
      </c>
      <c r="O176" s="2">
        <f xml:space="preserve"> [3]!'TSE,00796B,HST_CLOSE'</f>
        <v>0</v>
      </c>
      <c r="P176" s="2">
        <f xml:space="preserve"> [3]!'TSE,00796B,OPEN_PRC'</f>
        <v>39.35</v>
      </c>
      <c r="Q176" s="2">
        <f xml:space="preserve"> [3]!'TSE,00796B,HIGH_1'</f>
        <v>39.380000000000003</v>
      </c>
      <c r="R176" s="2">
        <f xml:space="preserve"> [3]!'TSE,00796B,LOW_1'</f>
        <v>39.33</v>
      </c>
      <c r="S176" s="2">
        <f xml:space="preserve"> [3]!'TSE,00796B,TRDPRC_1'</f>
        <v>39.380000000000003</v>
      </c>
      <c r="T176" s="2">
        <f xml:space="preserve"> [3]!'TSE,00796B,BID'</f>
        <v>39.340000000000003</v>
      </c>
      <c r="U176" s="2">
        <f xml:space="preserve"> [3]!'TSE,00796B,ASK'</f>
        <v>39.35</v>
      </c>
      <c r="V176" s="2">
        <f t="shared" si="5"/>
        <v>39.380000000000003</v>
      </c>
    </row>
    <row r="177" spans="1:26">
      <c r="A177" s="3" t="s">
        <v>195</v>
      </c>
      <c r="B177" s="2" t="s">
        <v>1602</v>
      </c>
      <c r="C177" s="2">
        <v>40.17</v>
      </c>
      <c r="E177" s="7" t="s">
        <v>1115</v>
      </c>
      <c r="F177" s="7" t="s">
        <v>1116</v>
      </c>
      <c r="G177" s="8">
        <f xml:space="preserve"> RTD("kgi.tw.der.pricertdserver.2014.1",,$A177 &amp; "_" &amp; $G$5 &amp; ":" &amp; $E177 &amp; "@" &amp; $F177)</f>
        <v>40.598999999999997</v>
      </c>
      <c r="H177" s="19">
        <f xml:space="preserve"> RTD("kgi.tw.der.pricertdserver.2014.1",,A177 &amp;":"&amp; E177 &amp;"@" &amp; F177)</f>
        <v>40.573799999999999</v>
      </c>
      <c r="I177" s="8">
        <f xml:space="preserve"> RTD("kgi.tw.der.pricertdserver.2014.1",,$A177 &amp; "_" &amp; $I$4 &amp; ":" &amp; $E177 &amp; "@" &amp; $F177)</f>
        <v>-7.9228162514264338E+28</v>
      </c>
      <c r="J177" s="8">
        <f xml:space="preserve"> RTD("kgi.tw.der.pricertdserver.2014.1",,$A177 &amp; "_" &amp; $J$4 &amp; ":" &amp; $E177 &amp; "@" &amp; $F177)</f>
        <v>-7.9228162514264338E+28</v>
      </c>
      <c r="K177" s="7" t="str">
        <f>RTD("kgi.tw.der.pricertdserver.2014.1",,A177 &amp; "_Time" &amp; ":" &amp; E177 &amp; "@" &amp; F177)</f>
        <v>20210514_132929000</v>
      </c>
      <c r="L177" s="45">
        <f t="shared" si="4"/>
        <v>40.573799999999999</v>
      </c>
      <c r="M177" s="43">
        <f>VLOOKUP($A177,XQKGIAP!$A:$I,9,FALSE)</f>
        <v>40.6</v>
      </c>
      <c r="N177" s="43">
        <f xml:space="preserve"> [3]!'TSE,00799B,ADJUST_CLS'</f>
        <v>40.299999999999997</v>
      </c>
      <c r="O177" s="2">
        <f xml:space="preserve"> [3]!'TSE,00799B,HST_CLOSE'</f>
        <v>0</v>
      </c>
      <c r="P177" s="2">
        <f xml:space="preserve"> [3]!'TSE,00799B,OPEN_PRC'</f>
        <v>40.18</v>
      </c>
      <c r="Q177" s="2">
        <f xml:space="preserve"> [3]!'TSE,00799B,HIGH_1'</f>
        <v>40.18</v>
      </c>
      <c r="R177" s="2">
        <f xml:space="preserve"> [3]!'TSE,00799B,LOW_1'</f>
        <v>40.14</v>
      </c>
      <c r="S177" s="2">
        <f xml:space="preserve"> [3]!'TSE,00799B,TRDPRC_1'</f>
        <v>40.17</v>
      </c>
      <c r="T177" s="2">
        <f xml:space="preserve"> [3]!'TSE,00799B,BID'</f>
        <v>40.08</v>
      </c>
      <c r="U177" s="2">
        <f xml:space="preserve"> [3]!'TSE,00799B,ASK'</f>
        <v>40.159999999999997</v>
      </c>
      <c r="V177" s="2">
        <f t="shared" si="5"/>
        <v>40.17</v>
      </c>
    </row>
    <row r="178" spans="1:26">
      <c r="A178" s="3" t="s">
        <v>196</v>
      </c>
      <c r="B178" s="2" t="s">
        <v>1440</v>
      </c>
      <c r="C178" s="2">
        <v>122.5</v>
      </c>
      <c r="E178" s="7" t="s">
        <v>1115</v>
      </c>
      <c r="F178" s="7" t="s">
        <v>1116</v>
      </c>
      <c r="G178" s="8">
        <f xml:space="preserve"> RTD("kgi.tw.der.pricertdserver.2014.1",,$A178 &amp; "_" &amp; $G$5 &amp; ":" &amp; $E178 &amp; "@" &amp; $F178)</f>
        <v>123.26</v>
      </c>
      <c r="H178" s="19">
        <f xml:space="preserve"> RTD("kgi.tw.der.pricertdserver.2014.1",,A178 &amp;":"&amp; E178 &amp;"@" &amp; F178)</f>
        <v>125.55</v>
      </c>
      <c r="I178" s="8">
        <f xml:space="preserve"> RTD("kgi.tw.der.pricertdserver.2014.1",,$A178 &amp; "_" &amp; $I$4 &amp; ":" &amp; $E178 &amp; "@" &amp; $F178)</f>
        <v>-7.9228162514264338E+28</v>
      </c>
      <c r="J178" s="8">
        <f xml:space="preserve"> RTD("kgi.tw.der.pricertdserver.2014.1",,$A178 &amp; "_" &amp; $J$4 &amp; ":" &amp; $E178 &amp; "@" &amp; $F178)</f>
        <v>-7.9228162514264338E+28</v>
      </c>
      <c r="K178" s="7" t="str">
        <f>RTD("kgi.tw.der.pricertdserver.2014.1",,A178 &amp; "_Time" &amp; ":" &amp; E178 &amp; "@" &amp; F178)</f>
        <v>20210514_132957000</v>
      </c>
      <c r="L178" s="45">
        <f t="shared" si="4"/>
        <v>125.55</v>
      </c>
      <c r="M178" s="43">
        <f>VLOOKUP($A178,XQKGIAP!$A:$I,9,FALSE)</f>
        <v>125.55</v>
      </c>
      <c r="N178" s="43">
        <f xml:space="preserve"> [3]!'TSE,008201,ADJUST_CLS'</f>
        <v>122.5</v>
      </c>
      <c r="O178" s="2">
        <f xml:space="preserve"> [3]!'TSE,008201,HST_CLOSE'</f>
        <v>0</v>
      </c>
      <c r="P178" s="2">
        <f xml:space="preserve"> [3]!'TSE,008201,OPEN_PRC'</f>
        <v>0</v>
      </c>
      <c r="Q178" s="2">
        <f xml:space="preserve"> [3]!'TSE,008201,HIGH_1'</f>
        <v>0</v>
      </c>
      <c r="R178" s="2">
        <f xml:space="preserve"> [3]!'TSE,008201,LOW_1'</f>
        <v>0</v>
      </c>
      <c r="S178" s="2">
        <f xml:space="preserve"> [3]!'TSE,008201,TRDPRC_1'</f>
        <v>0</v>
      </c>
      <c r="T178" s="2">
        <f xml:space="preserve"> [3]!'TSE,008201,BID'</f>
        <v>91.2</v>
      </c>
      <c r="U178" s="2">
        <f xml:space="preserve"> [3]!'TSE,008201,ASK'</f>
        <v>124</v>
      </c>
      <c r="V178" s="2">
        <f t="shared" si="5"/>
        <v>122.5</v>
      </c>
    </row>
    <row r="179" spans="1:26">
      <c r="A179" s="3" t="s">
        <v>197</v>
      </c>
      <c r="B179" s="2" t="s">
        <v>1603</v>
      </c>
      <c r="C179" s="2">
        <v>25.75</v>
      </c>
      <c r="E179" s="7" t="s">
        <v>1115</v>
      </c>
      <c r="F179" s="7" t="s">
        <v>1116</v>
      </c>
      <c r="G179" s="8">
        <f xml:space="preserve"> RTD("kgi.tw.der.pricertdserver.2014.1",,$A179 &amp; "_" &amp; $G$5 &amp; ":" &amp; $E179 &amp; "@" &amp; $F179)</f>
        <v>25.6</v>
      </c>
      <c r="H179" s="19">
        <f xml:space="preserve"> RTD("kgi.tw.der.pricertdserver.2014.1",,A179 &amp;":"&amp; E179 &amp;"@" &amp; F179)</f>
        <v>25.58</v>
      </c>
      <c r="I179" s="8">
        <f xml:space="preserve"> RTD("kgi.tw.der.pricertdserver.2014.1",,$A179 &amp; "_" &amp; $I$4 &amp; ":" &amp; $E179 &amp; "@" &amp; $F179)</f>
        <v>-7.9228162514264338E+28</v>
      </c>
      <c r="J179" s="8">
        <f xml:space="preserve"> RTD("kgi.tw.der.pricertdserver.2014.1",,$A179 &amp; "_" &amp; $J$4 &amp; ":" &amp; $E179 &amp; "@" &amp; $F179)</f>
        <v>-7.9228162514264338E+28</v>
      </c>
      <c r="K179" s="7" t="str">
        <f>RTD("kgi.tw.der.pricertdserver.2014.1",,A179 &amp; "_Time" &amp; ":" &amp; E179 &amp; "@" &amp; F179)</f>
        <v>20210514_132929000</v>
      </c>
      <c r="L179" s="45">
        <f t="shared" si="4"/>
        <v>25.58</v>
      </c>
      <c r="M179" s="43">
        <f>VLOOKUP($A179,XQKGIAP!$A:$I,9,FALSE)</f>
        <v>25.6</v>
      </c>
      <c r="N179" s="43">
        <f xml:space="preserve"> [3]!'TSE,00830,ADJUST_CLS'</f>
        <v>25.29</v>
      </c>
      <c r="O179" s="2">
        <f xml:space="preserve"> [3]!'TSE,00830,HST_CLOSE'</f>
        <v>0</v>
      </c>
      <c r="P179" s="2">
        <f xml:space="preserve"> [3]!'TSE,00830,OPEN_PRC'</f>
        <v>25.68</v>
      </c>
      <c r="Q179" s="2">
        <f xml:space="preserve"> [3]!'TSE,00830,HIGH_1'</f>
        <v>25.77</v>
      </c>
      <c r="R179" s="2">
        <f xml:space="preserve"> [3]!'TSE,00830,LOW_1'</f>
        <v>25.65</v>
      </c>
      <c r="S179" s="2">
        <f xml:space="preserve"> [3]!'TSE,00830,TRDPRC_1'</f>
        <v>25.75</v>
      </c>
      <c r="T179" s="2">
        <f xml:space="preserve"> [3]!'TSE,00830,BID'</f>
        <v>25.74</v>
      </c>
      <c r="U179" s="2">
        <f xml:space="preserve"> [3]!'TSE,00830,ASK'</f>
        <v>25.75</v>
      </c>
      <c r="V179" s="2">
        <f t="shared" si="5"/>
        <v>25.75</v>
      </c>
    </row>
    <row r="180" spans="1:26">
      <c r="A180" s="3" t="s">
        <v>198</v>
      </c>
      <c r="B180" s="2" t="s">
        <v>1441</v>
      </c>
      <c r="C180" s="2">
        <v>36.700000000000003</v>
      </c>
      <c r="E180" s="7" t="s">
        <v>1115</v>
      </c>
      <c r="F180" s="7" t="s">
        <v>1116</v>
      </c>
      <c r="G180" s="8">
        <f xml:space="preserve"> RTD("kgi.tw.der.pricertdserver.2014.1",,$A180 &amp; "_" &amp; $G$5 &amp; ":" &amp; $E180 &amp; "@" &amp; $F180)</f>
        <v>36.663400000000003</v>
      </c>
      <c r="H180" s="19">
        <f xml:space="preserve"> RTD("kgi.tw.der.pricertdserver.2014.1",,A180 &amp;":"&amp; E180 &amp;"@" &amp; F180)</f>
        <v>36.645499999999998</v>
      </c>
      <c r="I180" s="8">
        <f xml:space="preserve"> RTD("kgi.tw.der.pricertdserver.2014.1",,$A180 &amp; "_" &amp; $I$4 &amp; ":" &amp; $E180 &amp; "@" &amp; $F180)</f>
        <v>-7.9228162514264338E+28</v>
      </c>
      <c r="J180" s="8">
        <f xml:space="preserve"> RTD("kgi.tw.der.pricertdserver.2014.1",,$A180 &amp; "_" &amp; $J$4 &amp; ":" &amp; $E180 &amp; "@" &amp; $F180)</f>
        <v>-7.9228162514264338E+28</v>
      </c>
      <c r="K180" s="7" t="str">
        <f>RTD("kgi.tw.der.pricertdserver.2014.1",,A180 &amp; "_Time" &amp; ":" &amp; E180 &amp; "@" &amp; F180)</f>
        <v>20210514_132945000</v>
      </c>
      <c r="L180" s="45">
        <f t="shared" si="4"/>
        <v>36.645499999999998</v>
      </c>
      <c r="M180" s="43">
        <f>VLOOKUP($A180,XQKGIAP!$A:$I,9,FALSE)</f>
        <v>36.64</v>
      </c>
      <c r="N180" s="43">
        <f xml:space="preserve"> [3]!'TSE,00831B,ADJUST_CLS'</f>
        <v>36.700000000000003</v>
      </c>
      <c r="O180" s="2">
        <f xml:space="preserve"> [3]!'TSE,00831B,HST_CLOSE'</f>
        <v>0</v>
      </c>
      <c r="P180" s="2">
        <f xml:space="preserve"> [3]!'TSE,00831B,OPEN_PRC'</f>
        <v>36.700000000000003</v>
      </c>
      <c r="Q180" s="2">
        <f xml:space="preserve"> [3]!'TSE,00831B,HIGH_1'</f>
        <v>36.700000000000003</v>
      </c>
      <c r="R180" s="2">
        <f xml:space="preserve"> [3]!'TSE,00831B,LOW_1'</f>
        <v>36.700000000000003</v>
      </c>
      <c r="S180" s="2">
        <f xml:space="preserve"> [3]!'TSE,00831B,TRDPRC_1'</f>
        <v>36.700000000000003</v>
      </c>
      <c r="T180" s="2">
        <f xml:space="preserve"> [3]!'TSE,00831B,BID'</f>
        <v>36.53</v>
      </c>
      <c r="U180" s="2">
        <f xml:space="preserve"> [3]!'TSE,00831B,ASK'</f>
        <v>36.72</v>
      </c>
      <c r="V180" s="2">
        <f t="shared" si="5"/>
        <v>36.700000000000003</v>
      </c>
    </row>
    <row r="181" spans="1:26">
      <c r="A181" s="3" t="s">
        <v>199</v>
      </c>
      <c r="B181" s="2" t="s">
        <v>1604</v>
      </c>
      <c r="C181" s="2">
        <v>39.840000000000003</v>
      </c>
      <c r="E181" s="7" t="s">
        <v>1115</v>
      </c>
      <c r="F181" s="7" t="s">
        <v>1116</v>
      </c>
      <c r="G181" s="8">
        <f xml:space="preserve"> RTD("kgi.tw.der.pricertdserver.2014.1",,$A181 &amp; "_" &amp; $G$5 &amp; ":" &amp; $E181 &amp; "@" &amp; $F181)</f>
        <v>39.842399999999998</v>
      </c>
      <c r="H181" s="19">
        <f xml:space="preserve"> RTD("kgi.tw.der.pricertdserver.2014.1",,A181 &amp;":"&amp; E181 &amp;"@" &amp; F181)</f>
        <v>39.822899999999997</v>
      </c>
      <c r="I181" s="8">
        <f xml:space="preserve"> RTD("kgi.tw.der.pricertdserver.2014.1",,$A181 &amp; "_" &amp; $I$4 &amp; ":" &amp; $E181 &amp; "@" &amp; $F181)</f>
        <v>-7.9228162514264338E+28</v>
      </c>
      <c r="J181" s="8">
        <f xml:space="preserve"> RTD("kgi.tw.der.pricertdserver.2014.1",,$A181 &amp; "_" &amp; $J$4 &amp; ":" &amp; $E181 &amp; "@" &amp; $F181)</f>
        <v>-7.9228162514264338E+28</v>
      </c>
      <c r="K181" s="7" t="str">
        <f>RTD("kgi.tw.der.pricertdserver.2014.1",,A181 &amp; "_Time" &amp; ":" &amp; E181 &amp; "@" &amp; F181)</f>
        <v>20210514_132945000</v>
      </c>
      <c r="L181" s="45">
        <f t="shared" si="4"/>
        <v>39.822899999999997</v>
      </c>
      <c r="M181" s="43">
        <f>VLOOKUP($A181,XQKGIAP!$A:$I,9,FALSE)</f>
        <v>39.82</v>
      </c>
      <c r="N181" s="43">
        <f xml:space="preserve"> [3]!'TSE,00832B,ADJUST_CLS'</f>
        <v>39.869999999999997</v>
      </c>
      <c r="O181" s="2">
        <f xml:space="preserve"> [3]!'TSE,00832B,HST_CLOSE'</f>
        <v>0</v>
      </c>
      <c r="P181" s="2">
        <f xml:space="preserve"> [3]!'TSE,00832B,OPEN_PRC'</f>
        <v>39.840000000000003</v>
      </c>
      <c r="Q181" s="2">
        <f xml:space="preserve"> [3]!'TSE,00832B,HIGH_1'</f>
        <v>39.840000000000003</v>
      </c>
      <c r="R181" s="2">
        <f xml:space="preserve"> [3]!'TSE,00832B,LOW_1'</f>
        <v>39.840000000000003</v>
      </c>
      <c r="S181" s="2">
        <f xml:space="preserve"> [3]!'TSE,00832B,TRDPRC_1'</f>
        <v>39.840000000000003</v>
      </c>
      <c r="T181" s="2">
        <f xml:space="preserve"> [3]!'TSE,00832B,BID'</f>
        <v>39.79</v>
      </c>
      <c r="U181" s="2">
        <f xml:space="preserve"> [3]!'TSE,00832B,ASK'</f>
        <v>39.840000000000003</v>
      </c>
      <c r="V181" s="2">
        <f t="shared" si="5"/>
        <v>39.840000000000003</v>
      </c>
    </row>
    <row r="182" spans="1:26">
      <c r="A182" s="3" t="s">
        <v>201</v>
      </c>
      <c r="B182" s="2" t="s">
        <v>1455</v>
      </c>
      <c r="C182" s="2">
        <v>40.43</v>
      </c>
      <c r="E182" s="7" t="s">
        <v>1115</v>
      </c>
      <c r="F182" s="7" t="s">
        <v>1116</v>
      </c>
      <c r="G182" s="8">
        <f xml:space="preserve"> RTD("kgi.tw.der.pricertdserver.2014.1",,$A182 &amp; "_" &amp; $G$5 &amp; ":" &amp; $E182 &amp; "@" &amp; $F182)</f>
        <v>40.44</v>
      </c>
      <c r="H182" s="19">
        <f xml:space="preserve"> RTD("kgi.tw.der.pricertdserver.2014.1",,A182 &amp;":"&amp; E182 &amp;"@" &amp; F182)</f>
        <v>40.402500000000003</v>
      </c>
      <c r="I182" s="8">
        <f xml:space="preserve"> RTD("kgi.tw.der.pricertdserver.2014.1",,$A182 &amp; "_" &amp; $I$4 &amp; ":" &amp; $E182 &amp; "@" &amp; $F182)</f>
        <v>-7.9228162514264338E+28</v>
      </c>
      <c r="J182" s="8">
        <f xml:space="preserve"> RTD("kgi.tw.der.pricertdserver.2014.1",,$A182 &amp; "_" &amp; $J$4 &amp; ":" &amp; $E182 &amp; "@" &amp; $F182)</f>
        <v>-7.9228162514264338E+28</v>
      </c>
      <c r="K182" s="7" t="str">
        <f>RTD("kgi.tw.der.pricertdserver.2014.1",,A182 &amp; "_Time" &amp; ":" &amp; E182 &amp; "@" &amp; F182)</f>
        <v>20210514_132953000</v>
      </c>
      <c r="L182" s="45">
        <f t="shared" si="4"/>
        <v>40.402500000000003</v>
      </c>
      <c r="M182" s="43">
        <f>VLOOKUP($A182,XQKGIAP!$A:$I,9,FALSE)</f>
        <v>40.44</v>
      </c>
      <c r="N182" s="43">
        <f xml:space="preserve"> [3]!'TSE,00834B,ADJUST_CLS'</f>
        <v>40.299999999999997</v>
      </c>
      <c r="O182" s="2">
        <f xml:space="preserve"> [3]!'TSE,00834B,HST_CLOSE'</f>
        <v>0</v>
      </c>
      <c r="P182" s="2">
        <f xml:space="preserve"> [3]!'TSE,00834B,OPEN_PRC'</f>
        <v>40.369999999999997</v>
      </c>
      <c r="Q182" s="2">
        <f xml:space="preserve"> [3]!'TSE,00834B,HIGH_1'</f>
        <v>40.43</v>
      </c>
      <c r="R182" s="2">
        <f xml:space="preserve"> [3]!'TSE,00834B,LOW_1'</f>
        <v>40.369999999999997</v>
      </c>
      <c r="S182" s="2">
        <f xml:space="preserve"> [3]!'TSE,00834B,TRDPRC_1'</f>
        <v>40.43</v>
      </c>
      <c r="T182" s="2">
        <f xml:space="preserve"> [3]!'TSE,00834B,BID'</f>
        <v>40.39</v>
      </c>
      <c r="U182" s="2">
        <f xml:space="preserve"> [3]!'TSE,00834B,ASK'</f>
        <v>40.4</v>
      </c>
      <c r="V182" s="2">
        <f t="shared" si="5"/>
        <v>40.43</v>
      </c>
      <c r="Y182" s="43"/>
      <c r="Z182" s="43"/>
    </row>
    <row r="183" spans="1:26">
      <c r="A183" s="3" t="s">
        <v>203</v>
      </c>
      <c r="B183" s="2" t="s">
        <v>1605</v>
      </c>
      <c r="C183" s="2">
        <v>37.909999999999997</v>
      </c>
      <c r="E183" s="7" t="s">
        <v>1115</v>
      </c>
      <c r="F183" s="7" t="s">
        <v>1116</v>
      </c>
      <c r="G183" s="8">
        <f xml:space="preserve"> RTD("kgi.tw.der.pricertdserver.2014.1",,$A183 &amp; "_" &amp; $G$5 &amp; ":" &amp; $E183 &amp; "@" &amp; $F183)</f>
        <v>37.86</v>
      </c>
      <c r="H183" s="19">
        <f xml:space="preserve"> RTD("kgi.tw.der.pricertdserver.2014.1",,A183 &amp;":"&amp; E183 &amp;"@" &amp; F183)</f>
        <v>37.9</v>
      </c>
      <c r="I183" s="8">
        <f xml:space="preserve"> RTD("kgi.tw.der.pricertdserver.2014.1",,$A183 &amp; "_" &amp; $I$4 &amp; ":" &amp; $E183 &amp; "@" &amp; $F183)</f>
        <v>-7.9228162514264338E+28</v>
      </c>
      <c r="J183" s="8">
        <f xml:space="preserve"> RTD("kgi.tw.der.pricertdserver.2014.1",,$A183 &amp; "_" &amp; $J$4 &amp; ":" &amp; $E183 &amp; "@" &amp; $F183)</f>
        <v>-7.9228162514264338E+28</v>
      </c>
      <c r="K183" s="7" t="str">
        <f>RTD("kgi.tw.der.pricertdserver.2014.1",,A183 &amp; "_Time" &amp; ":" &amp; E183 &amp; "@" &amp; F183)</f>
        <v>20210514_132931000</v>
      </c>
      <c r="L183" s="45">
        <f t="shared" si="4"/>
        <v>37.9</v>
      </c>
      <c r="M183" s="43">
        <f>VLOOKUP($A183,XQKGIAP!$A:$I,9,FALSE)</f>
        <v>37.92</v>
      </c>
      <c r="N183" s="43">
        <f xml:space="preserve"> [3]!'TSE,00836B,ADJUST_CLS'</f>
        <v>37.9</v>
      </c>
      <c r="O183" s="2">
        <f xml:space="preserve"> [3]!'TSE,00836B,HST_CLOSE'</f>
        <v>0</v>
      </c>
      <c r="P183" s="2">
        <f xml:space="preserve"> [3]!'TSE,00836B,OPEN_PRC'</f>
        <v>37.909999999999997</v>
      </c>
      <c r="Q183" s="2">
        <f xml:space="preserve"> [3]!'TSE,00836B,HIGH_1'</f>
        <v>37.909999999999997</v>
      </c>
      <c r="R183" s="2">
        <f xml:space="preserve"> [3]!'TSE,00836B,LOW_1'</f>
        <v>37.909999999999997</v>
      </c>
      <c r="S183" s="2">
        <f xml:space="preserve"> [3]!'TSE,00836B,TRDPRC_1'</f>
        <v>37.909999999999997</v>
      </c>
      <c r="T183" s="2">
        <f xml:space="preserve"> [3]!'TSE,00836B,BID'</f>
        <v>37.9</v>
      </c>
      <c r="U183" s="2">
        <f xml:space="preserve"> [3]!'TSE,00836B,ASK'</f>
        <v>37.950000000000003</v>
      </c>
      <c r="V183" s="2">
        <f t="shared" si="5"/>
        <v>37.909999999999997</v>
      </c>
      <c r="Y183" s="43"/>
      <c r="Z183" s="43"/>
    </row>
    <row r="184" spans="1:26">
      <c r="A184" s="3" t="s">
        <v>205</v>
      </c>
      <c r="B184" s="2" t="s">
        <v>1606</v>
      </c>
      <c r="C184" s="2">
        <v>39.04</v>
      </c>
      <c r="E184" s="7" t="s">
        <v>1115</v>
      </c>
      <c r="F184" s="7" t="s">
        <v>1116</v>
      </c>
      <c r="G184" s="8">
        <f xml:space="preserve"> RTD("kgi.tw.der.pricertdserver.2014.1",,$A184 &amp; "_" &amp; $G$5 &amp; ":" &amp; $E184 &amp; "@" &amp; $F184)</f>
        <v>39.01</v>
      </c>
      <c r="H184" s="19">
        <f xml:space="preserve"> RTD("kgi.tw.der.pricertdserver.2014.1",,A184 &amp;":"&amp; E184 &amp;"@" &amp; F184)</f>
        <v>39.090000000000003</v>
      </c>
      <c r="I184" s="8">
        <f xml:space="preserve"> RTD("kgi.tw.der.pricertdserver.2014.1",,$A184 &amp; "_" &amp; $I$4 &amp; ":" &amp; $E184 &amp; "@" &amp; $F184)</f>
        <v>-7.9228162514264338E+28</v>
      </c>
      <c r="J184" s="8">
        <f xml:space="preserve"> RTD("kgi.tw.der.pricertdserver.2014.1",,$A184 &amp; "_" &amp; $J$4 &amp; ":" &amp; $E184 &amp; "@" &amp; $F184)</f>
        <v>-7.9228162514264338E+28</v>
      </c>
      <c r="K184" s="7" t="str">
        <f>RTD("kgi.tw.der.pricertdserver.2014.1",,A184 &amp; "_Time" &amp; ":" &amp; E184 &amp; "@" &amp; F184)</f>
        <v>20210514_132947000</v>
      </c>
      <c r="L184" s="45">
        <f t="shared" si="4"/>
        <v>39.090000000000003</v>
      </c>
      <c r="M184" s="43">
        <f>VLOOKUP($A184,XQKGIAP!$A:$I,9,FALSE)</f>
        <v>39.18</v>
      </c>
      <c r="N184" s="43">
        <f xml:space="preserve"> [3]!'TSE,00838B,ADJUST_CLS'</f>
        <v>39.1</v>
      </c>
      <c r="O184" s="2">
        <f xml:space="preserve"> [3]!'TSE,00838B,HST_CLOSE'</f>
        <v>0</v>
      </c>
      <c r="P184" s="2">
        <f xml:space="preserve"> [3]!'TSE,00838B,OPEN_PRC'</f>
        <v>39.04</v>
      </c>
      <c r="Q184" s="2">
        <f xml:space="preserve"> [3]!'TSE,00838B,HIGH_1'</f>
        <v>39.04</v>
      </c>
      <c r="R184" s="2">
        <f xml:space="preserve"> [3]!'TSE,00838B,LOW_1'</f>
        <v>39.04</v>
      </c>
      <c r="S184" s="2">
        <f xml:space="preserve"> [3]!'TSE,00838B,TRDPRC_1'</f>
        <v>39.04</v>
      </c>
      <c r="T184" s="2">
        <f xml:space="preserve"> [3]!'TSE,00838B,BID'</f>
        <v>39.01</v>
      </c>
      <c r="U184" s="2">
        <f xml:space="preserve"> [3]!'TSE,00838B,ASK'</f>
        <v>39.07</v>
      </c>
      <c r="V184" s="2">
        <f t="shared" si="5"/>
        <v>39.04</v>
      </c>
      <c r="Y184" s="43"/>
      <c r="Z184" s="43"/>
    </row>
    <row r="185" spans="1:26">
      <c r="A185" s="3" t="s">
        <v>206</v>
      </c>
      <c r="B185" s="2" t="s">
        <v>1442</v>
      </c>
      <c r="C185" s="2">
        <v>39.93</v>
      </c>
      <c r="E185" s="7" t="s">
        <v>1115</v>
      </c>
      <c r="F185" s="7" t="s">
        <v>1116</v>
      </c>
      <c r="G185" s="8">
        <f xml:space="preserve"> RTD("kgi.tw.der.pricertdserver.2014.1",,$A185 &amp; "_" &amp; $G$5 &amp; ":" &amp; $E185 &amp; "@" &amp; $F185)</f>
        <v>39.85</v>
      </c>
      <c r="H185" s="19">
        <f xml:space="preserve"> RTD("kgi.tw.der.pricertdserver.2014.1",,A185 &amp;":"&amp; E185 &amp;"@" &amp; F185)</f>
        <v>39.82</v>
      </c>
      <c r="I185" s="8">
        <f xml:space="preserve"> RTD("kgi.tw.der.pricertdserver.2014.1",,$A185 &amp; "_" &amp; $I$4 &amp; ":" &amp; $E185 &amp; "@" &amp; $F185)</f>
        <v>-7.9228162514264338E+28</v>
      </c>
      <c r="J185" s="8">
        <f xml:space="preserve"> RTD("kgi.tw.der.pricertdserver.2014.1",,$A185 &amp; "_" &amp; $J$4 &amp; ":" &amp; $E185 &amp; "@" &amp; $F185)</f>
        <v>-7.9228162514264338E+28</v>
      </c>
      <c r="K185" s="7" t="str">
        <f>RTD("kgi.tw.der.pricertdserver.2014.1",,A185 &amp; "_Time" &amp; ":" &amp; E185 &amp; "@" &amp; F185)</f>
        <v>20210514_132942000</v>
      </c>
      <c r="L185" s="45">
        <f t="shared" si="4"/>
        <v>39.82</v>
      </c>
      <c r="M185" s="43">
        <f>VLOOKUP($A185,XQKGIAP!$A:$I,9,FALSE)</f>
        <v>39.85</v>
      </c>
      <c r="N185" s="43">
        <f xml:space="preserve"> [3]!'TSE,00839B,ADJUST_CLS'</f>
        <v>39.85</v>
      </c>
      <c r="O185" s="2">
        <f xml:space="preserve"> [3]!'TSE,00839B,HST_CLOSE'</f>
        <v>0</v>
      </c>
      <c r="P185" s="2">
        <f xml:space="preserve"> [3]!'TSE,00839B,OPEN_PRC'</f>
        <v>39.93</v>
      </c>
      <c r="Q185" s="2">
        <f xml:space="preserve"> [3]!'TSE,00839B,HIGH_1'</f>
        <v>39.93</v>
      </c>
      <c r="R185" s="2">
        <f xml:space="preserve"> [3]!'TSE,00839B,LOW_1'</f>
        <v>39.93</v>
      </c>
      <c r="S185" s="2">
        <f xml:space="preserve"> [3]!'TSE,00839B,TRDPRC_1'</f>
        <v>39.93</v>
      </c>
      <c r="T185" s="2">
        <f xml:space="preserve"> [3]!'TSE,00839B,BID'</f>
        <v>39.81</v>
      </c>
      <c r="U185" s="2">
        <f xml:space="preserve"> [3]!'TSE,00839B,ASK'</f>
        <v>39.85</v>
      </c>
      <c r="V185" s="2">
        <f t="shared" si="5"/>
        <v>39.93</v>
      </c>
      <c r="Y185" s="43"/>
      <c r="Z185" s="43"/>
    </row>
    <row r="186" spans="1:26">
      <c r="A186" s="3" t="s">
        <v>207</v>
      </c>
      <c r="B186" s="2" t="s">
        <v>1607</v>
      </c>
      <c r="C186" s="2">
        <v>37.99</v>
      </c>
      <c r="E186" s="7" t="s">
        <v>1115</v>
      </c>
      <c r="F186" s="7" t="s">
        <v>1116</v>
      </c>
      <c r="G186" s="8">
        <f xml:space="preserve"> RTD("kgi.tw.der.pricertdserver.2014.1",,$A186 &amp; "_" &amp; $G$5 &amp; ":" &amp; $E186 &amp; "@" &amp; $F186)</f>
        <v>37.950000000000003</v>
      </c>
      <c r="H186" s="19">
        <f xml:space="preserve"> RTD("kgi.tw.der.pricertdserver.2014.1",,A186 &amp;":"&amp; E186 &amp;"@" &amp; F186)</f>
        <v>37.93</v>
      </c>
      <c r="I186" s="8">
        <f xml:space="preserve"> RTD("kgi.tw.der.pricertdserver.2014.1",,$A186 &amp; "_" &amp; $I$4 &amp; ":" &amp; $E186 &amp; "@" &amp; $F186)</f>
        <v>-7.9228162514264338E+28</v>
      </c>
      <c r="J186" s="8">
        <f xml:space="preserve"> RTD("kgi.tw.der.pricertdserver.2014.1",,$A186 &amp; "_" &amp; $J$4 &amp; ":" &amp; $E186 &amp; "@" &amp; $F186)</f>
        <v>-7.9228162514264338E+28</v>
      </c>
      <c r="K186" s="7" t="str">
        <f>RTD("kgi.tw.der.pricertdserver.2014.1",,A186 &amp; "_Time" &amp; ":" &amp; E186 &amp; "@" &amp; F186)</f>
        <v>20210514_132942000</v>
      </c>
      <c r="L186" s="45">
        <f t="shared" si="4"/>
        <v>37.93</v>
      </c>
      <c r="M186" s="43">
        <f>VLOOKUP($A186,XQKGIAP!$A:$I,9,FALSE)</f>
        <v>37.96</v>
      </c>
      <c r="N186" s="43">
        <f xml:space="preserve"> [3]!'TSE,00840B,ADJUST_CLS'</f>
        <v>37.92</v>
      </c>
      <c r="O186" s="2">
        <f xml:space="preserve"> [3]!'TSE,00840B,HST_CLOSE'</f>
        <v>0</v>
      </c>
      <c r="P186" s="2">
        <f xml:space="preserve"> [3]!'TSE,00840B,OPEN_PRC'</f>
        <v>37.99</v>
      </c>
      <c r="Q186" s="2">
        <f xml:space="preserve"> [3]!'TSE,00840B,HIGH_1'</f>
        <v>37.99</v>
      </c>
      <c r="R186" s="2">
        <f xml:space="preserve"> [3]!'TSE,00840B,LOW_1'</f>
        <v>37.99</v>
      </c>
      <c r="S186" s="2">
        <f xml:space="preserve"> [3]!'TSE,00840B,TRDPRC_1'</f>
        <v>37.99</v>
      </c>
      <c r="T186" s="2">
        <f xml:space="preserve"> [3]!'TSE,00840B,BID'</f>
        <v>37.92</v>
      </c>
      <c r="U186" s="2">
        <f xml:space="preserve"> [3]!'TSE,00840B,ASK'</f>
        <v>38.04</v>
      </c>
      <c r="V186" s="2">
        <f t="shared" si="5"/>
        <v>37.99</v>
      </c>
      <c r="Y186" s="43"/>
      <c r="Z186" s="43"/>
    </row>
    <row r="187" spans="1:26">
      <c r="A187" s="3" t="s">
        <v>208</v>
      </c>
      <c r="B187" s="2" t="s">
        <v>1608</v>
      </c>
      <c r="C187" s="2">
        <v>38.1</v>
      </c>
      <c r="E187" s="7" t="s">
        <v>1115</v>
      </c>
      <c r="F187" s="7" t="s">
        <v>1116</v>
      </c>
      <c r="G187" s="8">
        <f xml:space="preserve"> RTD("kgi.tw.der.pricertdserver.2014.1",,$A187 &amp; "_" &amp; $G$5 &amp; ":" &amp; $E187 &amp; "@" &amp; $F187)</f>
        <v>38.090000000000003</v>
      </c>
      <c r="H187" s="19">
        <f xml:space="preserve"> RTD("kgi.tw.der.pricertdserver.2014.1",,A187 &amp;":"&amp; E187 &amp;"@" &amp; F187)</f>
        <v>38.06</v>
      </c>
      <c r="I187" s="8">
        <f xml:space="preserve"> RTD("kgi.tw.der.pricertdserver.2014.1",,$A187 &amp; "_" &amp; $I$4 &amp; ":" &amp; $E187 &amp; "@" &amp; $F187)</f>
        <v>-7.9228162514264338E+28</v>
      </c>
      <c r="J187" s="8">
        <f xml:space="preserve"> RTD("kgi.tw.der.pricertdserver.2014.1",,$A187 &amp; "_" &amp; $J$4 &amp; ":" &amp; $E187 &amp; "@" &amp; $F187)</f>
        <v>-7.9228162514264338E+28</v>
      </c>
      <c r="K187" s="7" t="str">
        <f>RTD("kgi.tw.der.pricertdserver.2014.1",,A187 &amp; "_Time" &amp; ":" &amp; E187 &amp; "@" &amp; F187)</f>
        <v>20210514_132942000</v>
      </c>
      <c r="L187" s="45">
        <f t="shared" si="4"/>
        <v>38.06</v>
      </c>
      <c r="M187" s="43">
        <f>VLOOKUP($A187,XQKGIAP!$A:$I,9,FALSE)</f>
        <v>38.090000000000003</v>
      </c>
      <c r="N187" s="43">
        <f xml:space="preserve"> [3]!'TSE,00841B,ADJUST_CLS'</f>
        <v>37.92</v>
      </c>
      <c r="O187" s="2">
        <f xml:space="preserve"> [3]!'TSE,00841B,HST_CLOSE'</f>
        <v>0</v>
      </c>
      <c r="P187" s="2">
        <f xml:space="preserve"> [3]!'TSE,00841B,OPEN_PRC'</f>
        <v>38.1</v>
      </c>
      <c r="Q187" s="2">
        <f xml:space="preserve"> [3]!'TSE,00841B,HIGH_1'</f>
        <v>38.1</v>
      </c>
      <c r="R187" s="2">
        <f xml:space="preserve"> [3]!'TSE,00841B,LOW_1'</f>
        <v>38.1</v>
      </c>
      <c r="S187" s="2">
        <f xml:space="preserve"> [3]!'TSE,00841B,TRDPRC_1'</f>
        <v>38.1</v>
      </c>
      <c r="T187" s="2">
        <f xml:space="preserve"> [3]!'TSE,00841B,BID'</f>
        <v>38.049999999999997</v>
      </c>
      <c r="U187" s="2">
        <f xml:space="preserve"> [3]!'TSE,00841B,ASK'</f>
        <v>38.159999999999997</v>
      </c>
      <c r="V187" s="2">
        <f t="shared" si="5"/>
        <v>38.1</v>
      </c>
      <c r="Y187" s="43"/>
      <c r="Z187" s="43"/>
    </row>
    <row r="188" spans="1:26">
      <c r="A188" s="3" t="s">
        <v>209</v>
      </c>
      <c r="B188" s="2" t="s">
        <v>1443</v>
      </c>
      <c r="C188" s="2">
        <v>39.1</v>
      </c>
      <c r="E188" s="7" t="s">
        <v>1115</v>
      </c>
      <c r="F188" s="7" t="s">
        <v>1116</v>
      </c>
      <c r="G188" s="8">
        <f xml:space="preserve"> RTD("kgi.tw.der.pricertdserver.2014.1",,$A188 &amp; "_" &amp; $G$5 &amp; ":" &amp; $E188 &amp; "@" &amp; $F188)</f>
        <v>39.119999999999997</v>
      </c>
      <c r="H188" s="19">
        <f xml:space="preserve"> RTD("kgi.tw.der.pricertdserver.2014.1",,A188 &amp;":"&amp; E188 &amp;"@" &amp; F188)</f>
        <v>39.090000000000003</v>
      </c>
      <c r="I188" s="8">
        <f xml:space="preserve"> RTD("kgi.tw.der.pricertdserver.2014.1",,$A188 &amp; "_" &amp; $I$4 &amp; ":" &amp; $E188 &amp; "@" &amp; $F188)</f>
        <v>-7.9228162514264338E+28</v>
      </c>
      <c r="J188" s="8">
        <f xml:space="preserve"> RTD("kgi.tw.der.pricertdserver.2014.1",,$A188 &amp; "_" &amp; $J$4 &amp; ":" &amp; $E188 &amp; "@" &amp; $F188)</f>
        <v>-7.9228162514264338E+28</v>
      </c>
      <c r="K188" s="7" t="str">
        <f>RTD("kgi.tw.der.pricertdserver.2014.1",,A188 &amp; "_Time" &amp; ":" &amp; E188 &amp; "@" &amp; F188)</f>
        <v>20210514_132945000</v>
      </c>
      <c r="L188" s="45">
        <f t="shared" si="4"/>
        <v>39.090000000000003</v>
      </c>
      <c r="M188" s="43">
        <f>VLOOKUP($A188,XQKGIAP!$A:$I,9,FALSE)</f>
        <v>39.130000000000003</v>
      </c>
      <c r="N188" s="43">
        <f xml:space="preserve"> [3]!'TSE,00842B,ADJUST_CLS'</f>
        <v>38.9</v>
      </c>
      <c r="O188" s="2">
        <f xml:space="preserve"> [3]!'TSE,00842B,HST_CLOSE'</f>
        <v>0</v>
      </c>
      <c r="P188" s="2">
        <f xml:space="preserve"> [3]!'TSE,00842B,OPEN_PRC'</f>
        <v>39.1</v>
      </c>
      <c r="Q188" s="2">
        <f xml:space="preserve"> [3]!'TSE,00842B,HIGH_1'</f>
        <v>39.1</v>
      </c>
      <c r="R188" s="2">
        <f xml:space="preserve"> [3]!'TSE,00842B,LOW_1'</f>
        <v>39.1</v>
      </c>
      <c r="S188" s="2">
        <f xml:space="preserve"> [3]!'TSE,00842B,TRDPRC_1'</f>
        <v>39.1</v>
      </c>
      <c r="T188" s="2">
        <f xml:space="preserve"> [3]!'TSE,00842B,BID'</f>
        <v>39.020000000000003</v>
      </c>
      <c r="U188" s="2">
        <f xml:space="preserve"> [3]!'TSE,00842B,ASK'</f>
        <v>39.11</v>
      </c>
      <c r="V188" s="2">
        <f t="shared" si="5"/>
        <v>39.1</v>
      </c>
      <c r="Y188" s="43"/>
      <c r="Z188" s="43"/>
    </row>
    <row r="189" spans="1:26">
      <c r="A189" s="3" t="s">
        <v>425</v>
      </c>
      <c r="B189" s="2" t="s">
        <v>1609</v>
      </c>
      <c r="C189" s="2">
        <v>39.229999999999997</v>
      </c>
      <c r="E189" s="7" t="s">
        <v>1115</v>
      </c>
      <c r="F189" s="7" t="s">
        <v>1116</v>
      </c>
      <c r="G189" s="8">
        <f xml:space="preserve"> RTD("kgi.tw.der.pricertdserver.2014.1",,$A189 &amp; "_" &amp; $G$5 &amp; ":" &amp; $E189 &amp; "@" &amp; $F189)</f>
        <v>39.26</v>
      </c>
      <c r="H189" s="19">
        <f xml:space="preserve"> RTD("kgi.tw.der.pricertdserver.2014.1",,A189 &amp;":"&amp; E189 &amp;"@" &amp; F189)</f>
        <v>39.270000000000003</v>
      </c>
      <c r="I189" s="8">
        <f xml:space="preserve"> RTD("kgi.tw.der.pricertdserver.2014.1",,$A189 &amp; "_" &amp; $I$4 &amp; ":" &amp; $E189 &amp; "@" &amp; $F189)</f>
        <v>-7.9228162514264338E+28</v>
      </c>
      <c r="J189" s="8">
        <f xml:space="preserve"> RTD("kgi.tw.der.pricertdserver.2014.1",,$A189 &amp; "_" &amp; $J$4 &amp; ":" &amp; $E189 &amp; "@" &amp; $F189)</f>
        <v>-7.9228162514264338E+28</v>
      </c>
      <c r="K189" s="7" t="str">
        <f>RTD("kgi.tw.der.pricertdserver.2014.1",,A189 &amp; "_Time" &amp; ":" &amp; E189 &amp; "@" &amp; F189)</f>
        <v>20210514_132945000</v>
      </c>
      <c r="L189" s="45">
        <f t="shared" si="4"/>
        <v>39.270000000000003</v>
      </c>
      <c r="M189" s="43">
        <f>VLOOKUP($A189,XQKGIAP!$A:$I,9,FALSE)</f>
        <v>39.369999999999997</v>
      </c>
      <c r="N189" s="43">
        <f xml:space="preserve"> [3]!'TSE,00843B,ADJUST_CLS'</f>
        <v>39.17</v>
      </c>
      <c r="O189" s="2">
        <f xml:space="preserve"> [3]!'TSE,00843B,HST_CLOSE'</f>
        <v>0</v>
      </c>
      <c r="P189" s="2">
        <f xml:space="preserve"> [3]!'TSE,00843B,OPEN_PRC'</f>
        <v>39.130000000000003</v>
      </c>
      <c r="Q189" s="2">
        <f xml:space="preserve"> [3]!'TSE,00843B,HIGH_1'</f>
        <v>39.229999999999997</v>
      </c>
      <c r="R189" s="2">
        <f xml:space="preserve"> [3]!'TSE,00843B,LOW_1'</f>
        <v>39.130000000000003</v>
      </c>
      <c r="S189" s="2">
        <f xml:space="preserve"> [3]!'TSE,00843B,TRDPRC_1'</f>
        <v>39.229999999999997</v>
      </c>
      <c r="T189" s="2">
        <f xml:space="preserve"> [3]!'TSE,00843B,BID'</f>
        <v>39.18</v>
      </c>
      <c r="U189" s="2">
        <f xml:space="preserve"> [3]!'TSE,00843B,ASK'</f>
        <v>39.26</v>
      </c>
      <c r="V189" s="2">
        <f t="shared" si="5"/>
        <v>39.229999999999997</v>
      </c>
      <c r="Y189" s="43"/>
      <c r="Z189" s="43"/>
    </row>
    <row r="190" spans="1:26">
      <c r="A190" s="3" t="s">
        <v>426</v>
      </c>
      <c r="B190" s="2" t="s">
        <v>1444</v>
      </c>
      <c r="C190" s="2">
        <v>38.380000000000003</v>
      </c>
      <c r="E190" s="7" t="s">
        <v>1115</v>
      </c>
      <c r="F190" s="7" t="s">
        <v>1116</v>
      </c>
      <c r="G190" s="8">
        <f xml:space="preserve"> RTD("kgi.tw.der.pricertdserver.2014.1",,$A190 &amp; "_" &amp; $G$5 &amp; ":" &amp; $E190 &amp; "@" &amp; $F190)</f>
        <v>38.341299999999997</v>
      </c>
      <c r="H190" s="19">
        <f xml:space="preserve"> RTD("kgi.tw.der.pricertdserver.2014.1",,A190 &amp;":"&amp; E190 &amp;"@" &amp; F190)</f>
        <v>38.322600000000001</v>
      </c>
      <c r="I190" s="8">
        <f xml:space="preserve"> RTD("kgi.tw.der.pricertdserver.2014.1",,$A190 &amp; "_" &amp; $I$4 &amp; ":" &amp; $E190 &amp; "@" &amp; $F190)</f>
        <v>-7.9228162514264338E+28</v>
      </c>
      <c r="J190" s="8">
        <f xml:space="preserve"> RTD("kgi.tw.der.pricertdserver.2014.1",,$A190 &amp; "_" &amp; $J$4 &amp; ":" &amp; $E190 &amp; "@" &amp; $F190)</f>
        <v>-7.9228162514264338E+28</v>
      </c>
      <c r="K190" s="7" t="str">
        <f>RTD("kgi.tw.der.pricertdserver.2014.1",,A190 &amp; "_Time" &amp; ":" &amp; E190 &amp; "@" &amp; F190)</f>
        <v>20210514_132945000</v>
      </c>
      <c r="L190" s="45">
        <f t="shared" si="4"/>
        <v>38.322600000000001</v>
      </c>
      <c r="M190" s="43">
        <f>VLOOKUP($A190,XQKGIAP!$A:$I,9,FALSE)</f>
        <v>38.32</v>
      </c>
      <c r="N190" s="43">
        <f xml:space="preserve"> [3]!'TSE,00844B,ADJUST_CLS'</f>
        <v>38.26</v>
      </c>
      <c r="O190" s="2">
        <f xml:space="preserve"> [3]!'TSE,00844B,HST_CLOSE'</f>
        <v>0</v>
      </c>
      <c r="P190" s="2">
        <f xml:space="preserve"> [3]!'TSE,00844B,OPEN_PRC'</f>
        <v>38.380000000000003</v>
      </c>
      <c r="Q190" s="2">
        <f xml:space="preserve"> [3]!'TSE,00844B,HIGH_1'</f>
        <v>38.380000000000003</v>
      </c>
      <c r="R190" s="2">
        <f xml:space="preserve"> [3]!'TSE,00844B,LOW_1'</f>
        <v>38.380000000000003</v>
      </c>
      <c r="S190" s="2">
        <f xml:space="preserve"> [3]!'TSE,00844B,TRDPRC_1'</f>
        <v>38.380000000000003</v>
      </c>
      <c r="T190" s="2">
        <f xml:space="preserve"> [3]!'TSE,00844B,BID'</f>
        <v>38.32</v>
      </c>
      <c r="U190" s="2">
        <f xml:space="preserve"> [3]!'TSE,00844B,ASK'</f>
        <v>38.409999999999997</v>
      </c>
      <c r="V190" s="2">
        <f t="shared" si="5"/>
        <v>38.380000000000003</v>
      </c>
      <c r="Y190" s="43"/>
      <c r="Z190" s="43"/>
    </row>
    <row r="191" spans="1:26">
      <c r="A191" s="3" t="s">
        <v>427</v>
      </c>
      <c r="B191" s="2" t="s">
        <v>1445</v>
      </c>
      <c r="C191" s="2">
        <v>36.78</v>
      </c>
      <c r="E191" s="7" t="s">
        <v>1115</v>
      </c>
      <c r="F191" s="7" t="s">
        <v>1116</v>
      </c>
      <c r="G191" s="8">
        <f xml:space="preserve"> RTD("kgi.tw.der.pricertdserver.2014.1",,$A191 &amp; "_" &amp; $G$5 &amp; ":" &amp; $E191 &amp; "@" &amp; $F191)</f>
        <v>36.711199999999998</v>
      </c>
      <c r="H191" s="19">
        <f xml:space="preserve"> RTD("kgi.tw.der.pricertdserver.2014.1",,A191 &amp;":"&amp; E191 &amp;"@" &amp; F191)</f>
        <v>36.730400000000003</v>
      </c>
      <c r="I191" s="8">
        <f xml:space="preserve"> RTD("kgi.tw.der.pricertdserver.2014.1",,$A191 &amp; "_" &amp; $I$4 &amp; ":" &amp; $E191 &amp; "@" &amp; $F191)</f>
        <v>-7.9228162514264338E+28</v>
      </c>
      <c r="J191" s="8">
        <f xml:space="preserve"> RTD("kgi.tw.der.pricertdserver.2014.1",,$A191 &amp; "_" &amp; $J$4 &amp; ":" &amp; $E191 &amp; "@" &amp; $F191)</f>
        <v>-7.9228162514264338E+28</v>
      </c>
      <c r="K191" s="7" t="str">
        <f>RTD("kgi.tw.der.pricertdserver.2014.1",,A191 &amp; "_Time" &amp; ":" &amp; E191 &amp; "@" &amp; F191)</f>
        <v>20210514_132930000</v>
      </c>
      <c r="L191" s="45">
        <f t="shared" si="4"/>
        <v>36.730400000000003</v>
      </c>
      <c r="M191" s="43">
        <f>VLOOKUP($A191,XQKGIAP!$A:$I,9,FALSE)</f>
        <v>36.729999999999997</v>
      </c>
      <c r="N191" s="43">
        <f xml:space="preserve"> [3]!'TSE,00845B,ADJUST_CLS'</f>
        <v>36.85</v>
      </c>
      <c r="O191" s="2">
        <f xml:space="preserve"> [3]!'TSE,00845B,HST_CLOSE'</f>
        <v>0</v>
      </c>
      <c r="P191" s="2">
        <f xml:space="preserve"> [3]!'TSE,00845B,OPEN_PRC'</f>
        <v>36.78</v>
      </c>
      <c r="Q191" s="2">
        <f xml:space="preserve"> [3]!'TSE,00845B,HIGH_1'</f>
        <v>36.78</v>
      </c>
      <c r="R191" s="2">
        <f xml:space="preserve"> [3]!'TSE,00845B,LOW_1'</f>
        <v>36.78</v>
      </c>
      <c r="S191" s="2">
        <f xml:space="preserve"> [3]!'TSE,00845B,TRDPRC_1'</f>
        <v>36.78</v>
      </c>
      <c r="T191" s="2">
        <f xml:space="preserve"> [3]!'TSE,00845B,BID'</f>
        <v>36.71</v>
      </c>
      <c r="U191" s="2">
        <f xml:space="preserve"> [3]!'TSE,00845B,ASK'</f>
        <v>36.81</v>
      </c>
      <c r="V191" s="2">
        <f t="shared" si="5"/>
        <v>36.78</v>
      </c>
      <c r="Y191" s="43"/>
      <c r="Z191" s="43"/>
    </row>
    <row r="192" spans="1:26">
      <c r="A192" s="3" t="s">
        <v>428</v>
      </c>
      <c r="B192" s="2" t="s">
        <v>1610</v>
      </c>
      <c r="C192" s="2">
        <v>37.229999999999997</v>
      </c>
      <c r="E192" s="7" t="s">
        <v>1115</v>
      </c>
      <c r="F192" s="7" t="s">
        <v>1116</v>
      </c>
      <c r="G192" s="8">
        <f xml:space="preserve"> RTD("kgi.tw.der.pricertdserver.2014.1",,$A192 &amp; "_" &amp; $G$5 &amp; ":" &amp; $E192 &amp; "@" &amp; $F192)</f>
        <v>37.357799999999997</v>
      </c>
      <c r="H192" s="19">
        <f xml:space="preserve"> RTD("kgi.tw.der.pricertdserver.2014.1",,A192 &amp;":"&amp; E192 &amp;"@" &amp; F192)</f>
        <v>37.377699999999997</v>
      </c>
      <c r="I192" s="8">
        <f xml:space="preserve"> RTD("kgi.tw.der.pricertdserver.2014.1",,$A192 &amp; "_" &amp; $I$4 &amp; ":" &amp; $E192 &amp; "@" &amp; $F192)</f>
        <v>-7.9228162514264338E+28</v>
      </c>
      <c r="J192" s="8">
        <f xml:space="preserve"> RTD("kgi.tw.der.pricertdserver.2014.1",,$A192 &amp; "_" &amp; $J$4 &amp; ":" &amp; $E192 &amp; "@" &amp; $F192)</f>
        <v>-7.9228162514264338E+28</v>
      </c>
      <c r="K192" s="7" t="str">
        <f>RTD("kgi.tw.der.pricertdserver.2014.1",,A192 &amp; "_Time" &amp; ":" &amp; E192 &amp; "@" &amp; F192)</f>
        <v>20210514_132930000</v>
      </c>
      <c r="L192" s="45">
        <f t="shared" si="4"/>
        <v>37.377699999999997</v>
      </c>
      <c r="M192" s="43">
        <f>VLOOKUP($A192,XQKGIAP!$A:$I,9,FALSE)</f>
        <v>37.380000000000003</v>
      </c>
      <c r="N192" s="43">
        <f xml:space="preserve"> [3]!'TSE,00846B,ADJUST_CLS'</f>
        <v>37.049999999999997</v>
      </c>
      <c r="O192" s="2">
        <f xml:space="preserve"> [3]!'TSE,00846B,HST_CLOSE'</f>
        <v>0</v>
      </c>
      <c r="P192" s="2">
        <f xml:space="preserve"> [3]!'TSE,00846B,OPEN_PRC'</f>
        <v>37.229999999999997</v>
      </c>
      <c r="Q192" s="2">
        <f xml:space="preserve"> [3]!'TSE,00846B,HIGH_1'</f>
        <v>37.229999999999997</v>
      </c>
      <c r="R192" s="2">
        <f xml:space="preserve"> [3]!'TSE,00846B,LOW_1'</f>
        <v>37.229999999999997</v>
      </c>
      <c r="S192" s="2">
        <f xml:space="preserve"> [3]!'TSE,00846B,TRDPRC_1'</f>
        <v>37.229999999999997</v>
      </c>
      <c r="T192" s="2">
        <f xml:space="preserve"> [3]!'TSE,00846B,BID'</f>
        <v>37.18</v>
      </c>
      <c r="U192" s="2">
        <f xml:space="preserve"> [3]!'TSE,00846B,ASK'</f>
        <v>37.200000000000003</v>
      </c>
      <c r="V192" s="2">
        <f t="shared" si="5"/>
        <v>37.229999999999997</v>
      </c>
      <c r="Y192" s="43"/>
      <c r="Z192" s="43"/>
    </row>
    <row r="193" spans="1:26">
      <c r="A193" s="3" t="s">
        <v>435</v>
      </c>
      <c r="B193" s="2" t="s">
        <v>1611</v>
      </c>
      <c r="C193" s="2">
        <v>33.92</v>
      </c>
      <c r="E193" s="7" t="s">
        <v>1115</v>
      </c>
      <c r="F193" s="7" t="s">
        <v>1116</v>
      </c>
      <c r="G193" s="8">
        <f xml:space="preserve"> RTD("kgi.tw.der.pricertdserver.2014.1",,$A193 &amp; "_" &amp; $G$5 &amp; ":" &amp; $E193 &amp; "@" &amp; $F193)</f>
        <v>33.945399999999999</v>
      </c>
      <c r="H193" s="19">
        <f xml:space="preserve"> RTD("kgi.tw.der.pricertdserver.2014.1",,A193 &amp;":"&amp; E193 &amp;"@" &amp; F193)</f>
        <v>33.926499999999997</v>
      </c>
      <c r="I193" s="8">
        <f xml:space="preserve"> RTD("kgi.tw.der.pricertdserver.2014.1",,$A193 &amp; "_" &amp; $I$4 &amp; ":" &amp; $E193 &amp; "@" &amp; $F193)</f>
        <v>-7.9228162514264338E+28</v>
      </c>
      <c r="J193" s="8">
        <f xml:space="preserve"> RTD("kgi.tw.der.pricertdserver.2014.1",,$A193 &amp; "_" &amp; $J$4 &amp; ":" &amp; $E193 &amp; "@" &amp; $F193)</f>
        <v>-7.9228162514264338E+28</v>
      </c>
      <c r="K193" s="7" t="str">
        <f>RTD("kgi.tw.der.pricertdserver.2014.1",,A193 &amp; "_Time" &amp; ":" &amp; E193 &amp; "@" &amp; F193)</f>
        <v>20210514_132949000</v>
      </c>
      <c r="L193" s="45">
        <f t="shared" si="4"/>
        <v>33.926499999999997</v>
      </c>
      <c r="M193" s="43">
        <f>VLOOKUP($A193,XQKGIAP!$A:$I,9,FALSE)</f>
        <v>33.950000000000003</v>
      </c>
      <c r="N193" s="43">
        <f xml:space="preserve"> [3]!'TSE,00847B,ADJUST_CLS'</f>
        <v>33.86</v>
      </c>
      <c r="O193" s="2">
        <f xml:space="preserve"> [3]!'TSE,00847B,HST_CLOSE'</f>
        <v>0</v>
      </c>
      <c r="P193" s="2">
        <f xml:space="preserve"> [3]!'TSE,00847B,OPEN_PRC'</f>
        <v>33.9</v>
      </c>
      <c r="Q193" s="2">
        <f xml:space="preserve"> [3]!'TSE,00847B,HIGH_1'</f>
        <v>33.92</v>
      </c>
      <c r="R193" s="2">
        <f xml:space="preserve"> [3]!'TSE,00847B,LOW_1'</f>
        <v>33.9</v>
      </c>
      <c r="S193" s="2">
        <f xml:space="preserve"> [3]!'TSE,00847B,TRDPRC_1'</f>
        <v>33.92</v>
      </c>
      <c r="T193" s="2">
        <f xml:space="preserve"> [3]!'TSE,00847B,BID'</f>
        <v>33.92</v>
      </c>
      <c r="U193" s="2">
        <f xml:space="preserve"> [3]!'TSE,00847B,ASK'</f>
        <v>33.93</v>
      </c>
      <c r="V193" s="2">
        <f t="shared" si="5"/>
        <v>33.92</v>
      </c>
      <c r="Y193" s="43"/>
      <c r="Z193" s="43"/>
    </row>
    <row r="194" spans="1:26">
      <c r="A194" s="3" t="s">
        <v>436</v>
      </c>
      <c r="B194" s="2" t="s">
        <v>1612</v>
      </c>
      <c r="C194" s="2">
        <v>36.799999999999997</v>
      </c>
      <c r="E194" s="7" t="s">
        <v>1115</v>
      </c>
      <c r="F194" s="7" t="s">
        <v>1116</v>
      </c>
      <c r="G194" s="8">
        <f xml:space="preserve"> RTD("kgi.tw.der.pricertdserver.2014.1",,$A194 &amp; "_" &amp; $G$5 &amp; ":" &amp; $E194 &amp; "@" &amp; $F194)</f>
        <v>36.8825</v>
      </c>
      <c r="H194" s="19">
        <f xml:space="preserve"> RTD("kgi.tw.der.pricertdserver.2014.1",,A194 &amp;":"&amp; E194 &amp;"@" &amp; F194)</f>
        <v>36.886800000000001</v>
      </c>
      <c r="I194" s="8">
        <f xml:space="preserve"> RTD("kgi.tw.der.pricertdserver.2014.1",,$A194 &amp; "_" &amp; $I$4 &amp; ":" &amp; $E194 &amp; "@" &amp; $F194)</f>
        <v>-7.9228162514264338E+28</v>
      </c>
      <c r="J194" s="8">
        <f xml:space="preserve"> RTD("kgi.tw.der.pricertdserver.2014.1",,$A194 &amp; "_" &amp; $J$4 &amp; ":" &amp; $E194 &amp; "@" &amp; $F194)</f>
        <v>-7.9228162514264338E+28</v>
      </c>
      <c r="K194" s="7" t="str">
        <f>RTD("kgi.tw.der.pricertdserver.2014.1",,A194 &amp; "_Time" &amp; ":" &amp; E194 &amp; "@" &amp; F194)</f>
        <v>20210514_132949000</v>
      </c>
      <c r="L194" s="45">
        <f t="shared" si="4"/>
        <v>36.886800000000001</v>
      </c>
      <c r="M194" s="43">
        <f>VLOOKUP($A194,XQKGIAP!$A:$I,9,FALSE)</f>
        <v>36.92</v>
      </c>
      <c r="N194" s="43">
        <f xml:space="preserve"> [3]!'TSE,00848B,ADJUST_CLS'</f>
        <v>36.880000000000003</v>
      </c>
      <c r="O194" s="2">
        <f xml:space="preserve"> [3]!'TSE,00848B,HST_CLOSE'</f>
        <v>0</v>
      </c>
      <c r="P194" s="2">
        <f xml:space="preserve"> [3]!'TSE,00848B,OPEN_PRC'</f>
        <v>36.799999999999997</v>
      </c>
      <c r="Q194" s="2">
        <f xml:space="preserve"> [3]!'TSE,00848B,HIGH_1'</f>
        <v>36.840000000000003</v>
      </c>
      <c r="R194" s="2">
        <f xml:space="preserve"> [3]!'TSE,00848B,LOW_1'</f>
        <v>36.799999999999997</v>
      </c>
      <c r="S194" s="2">
        <f xml:space="preserve"> [3]!'TSE,00848B,TRDPRC_1'</f>
        <v>36.799999999999997</v>
      </c>
      <c r="T194" s="2">
        <f xml:space="preserve"> [3]!'TSE,00848B,BID'</f>
        <v>36.79</v>
      </c>
      <c r="U194" s="2">
        <f xml:space="preserve"> [3]!'TSE,00848B,ASK'</f>
        <v>36.85</v>
      </c>
      <c r="V194" s="2">
        <f>IF($V$1=0,IF(S194&lt;&gt;0,S194,N194),C194)</f>
        <v>36.799999999999997</v>
      </c>
      <c r="Y194" s="43"/>
      <c r="Z194" s="43"/>
    </row>
    <row r="195" spans="1:26">
      <c r="A195" s="3" t="s">
        <v>437</v>
      </c>
      <c r="B195" s="2" t="s">
        <v>1613</v>
      </c>
      <c r="C195" s="2">
        <v>36.71</v>
      </c>
      <c r="E195" s="7" t="s">
        <v>1115</v>
      </c>
      <c r="F195" s="7" t="s">
        <v>1116</v>
      </c>
      <c r="G195" s="8">
        <f xml:space="preserve"> RTD("kgi.tw.der.pricertdserver.2014.1",,$A195 &amp; "_" &amp; $G$5 &amp; ":" &amp; $E195 &amp; "@" &amp; $F195)</f>
        <v>36.767899999999997</v>
      </c>
      <c r="H195" s="19">
        <f xml:space="preserve"> RTD("kgi.tw.der.pricertdserver.2014.1",,A195 &amp;":"&amp; E195 &amp;"@" &amp; F195)</f>
        <v>36.7468</v>
      </c>
      <c r="I195" s="8">
        <f xml:space="preserve"> RTD("kgi.tw.der.pricertdserver.2014.1",,$A195 &amp; "_" &amp; $I$4 &amp; ":" &amp; $E195 &amp; "@" &amp; $F195)</f>
        <v>-7.9228162514264338E+28</v>
      </c>
      <c r="J195" s="8">
        <f xml:space="preserve"> RTD("kgi.tw.der.pricertdserver.2014.1",,$A195 &amp; "_" &amp; $J$4 &amp; ":" &amp; $E195 &amp; "@" &amp; $F195)</f>
        <v>-7.9228162514264338E+28</v>
      </c>
      <c r="K195" s="7" t="str">
        <f>RTD("kgi.tw.der.pricertdserver.2014.1",,A195 &amp; "_Time" &amp; ":" &amp; E195 &amp; "@" &amp; F195)</f>
        <v>20210514_132949000</v>
      </c>
      <c r="L195" s="45">
        <f t="shared" si="4"/>
        <v>36.7468</v>
      </c>
      <c r="M195" s="43">
        <f>VLOOKUP($A195,XQKGIAP!$A:$I,9,FALSE)</f>
        <v>36.770000000000003</v>
      </c>
      <c r="N195" s="43">
        <f xml:space="preserve"> [3]!'TSE,00849B,ADJUST_CLS'</f>
        <v>36.659999999999997</v>
      </c>
      <c r="O195" s="2">
        <f xml:space="preserve"> [3]!'TSE,00849B,HST_CLOSE'</f>
        <v>0</v>
      </c>
      <c r="P195" s="2">
        <f xml:space="preserve"> [3]!'TSE,00849B,OPEN_PRC'</f>
        <v>36.729999999999997</v>
      </c>
      <c r="Q195" s="2">
        <f xml:space="preserve"> [3]!'TSE,00849B,HIGH_1'</f>
        <v>36.729999999999997</v>
      </c>
      <c r="R195" s="2">
        <f xml:space="preserve"> [3]!'TSE,00849B,LOW_1'</f>
        <v>36.71</v>
      </c>
      <c r="S195" s="2">
        <f xml:space="preserve"> [3]!'TSE,00849B,TRDPRC_1'</f>
        <v>36.71</v>
      </c>
      <c r="T195" s="2">
        <f xml:space="preserve"> [3]!'TSE,00849B,BID'</f>
        <v>36.71</v>
      </c>
      <c r="U195" s="2">
        <f xml:space="preserve"> [3]!'TSE,00849B,ASK'</f>
        <v>36.770000000000003</v>
      </c>
      <c r="V195" s="2">
        <f t="shared" si="5"/>
        <v>36.71</v>
      </c>
      <c r="Y195" s="43"/>
      <c r="Z195" s="43"/>
    </row>
    <row r="196" spans="1:26">
      <c r="A196" s="3" t="s">
        <v>438</v>
      </c>
      <c r="B196" s="2" t="s">
        <v>1446</v>
      </c>
      <c r="C196" s="2">
        <v>32</v>
      </c>
      <c r="E196" s="7" t="s">
        <v>1115</v>
      </c>
      <c r="F196" s="7" t="s">
        <v>1116</v>
      </c>
      <c r="G196" s="8">
        <f xml:space="preserve"> RTD("kgi.tw.der.pricertdserver.2014.1",,$A196 &amp; "_" &amp; $G$5 &amp; ":" &amp; $E196 &amp; "@" &amp; $F196)</f>
        <v>31.596821339364809</v>
      </c>
      <c r="H196" s="19">
        <f xml:space="preserve"> RTD("kgi.tw.der.pricertdserver.2014.1",,A196 &amp;":"&amp; E196 &amp;"@" &amp; F196)</f>
        <v>32.032158391832823</v>
      </c>
      <c r="I196" s="8">
        <f xml:space="preserve"> RTD("kgi.tw.der.pricertdserver.2014.1",,$A196 &amp; "_" &amp; $I$4 &amp; ":" &amp; $E196 &amp; "@" &amp; $F196)</f>
        <v>31.9796427827435</v>
      </c>
      <c r="J196" s="8">
        <f xml:space="preserve"> RTD("kgi.tw.der.pricertdserver.2014.1",,$A196 &amp; "_" &amp; $J$4 &amp; ":" &amp; $E196 &amp; "@" &amp; $F196)</f>
        <v>32.04615957592106</v>
      </c>
      <c r="K196" s="7" t="str">
        <f>RTD("kgi.tw.der.pricertdserver.2014.1",,A196 &amp; "_Time" &amp; ":" &amp; E196 &amp; "@" &amp; F196)</f>
        <v>20210514_151459304</v>
      </c>
      <c r="L196" s="45">
        <f t="shared" si="4"/>
        <v>32.032158391832823</v>
      </c>
      <c r="M196" s="43">
        <f>VLOOKUP($A196,XQKGIAP!$A:$I,9,FALSE)</f>
        <v>32.03</v>
      </c>
      <c r="N196" s="43">
        <f xml:space="preserve"> [3]!'TSE,00850,ADJUST_CLS'</f>
        <v>31.55</v>
      </c>
      <c r="O196" s="2">
        <f xml:space="preserve"> [3]!'TSE,00850,HST_CLOSE'</f>
        <v>0</v>
      </c>
      <c r="P196" s="2">
        <f xml:space="preserve"> [3]!'TSE,00850,OPEN_PRC'</f>
        <v>31.95</v>
      </c>
      <c r="Q196" s="2">
        <f xml:space="preserve"> [3]!'TSE,00850,HIGH_1'</f>
        <v>32.299999999999997</v>
      </c>
      <c r="R196" s="2">
        <f xml:space="preserve"> [3]!'TSE,00850,LOW_1'</f>
        <v>31.75</v>
      </c>
      <c r="S196" s="2">
        <f xml:space="preserve"> [3]!'TSE,00850,TRDPRC_1'</f>
        <v>32</v>
      </c>
      <c r="T196" s="2">
        <f xml:space="preserve"> [3]!'TSE,00850,BID'</f>
        <v>31.99</v>
      </c>
      <c r="U196" s="2">
        <f xml:space="preserve"> [3]!'TSE,00850,ASK'</f>
        <v>32</v>
      </c>
      <c r="V196" s="2">
        <f t="shared" si="5"/>
        <v>32</v>
      </c>
      <c r="Y196" s="43"/>
      <c r="Z196" s="43"/>
    </row>
    <row r="197" spans="1:26">
      <c r="A197" s="3" t="s">
        <v>439</v>
      </c>
      <c r="B197" s="2" t="s">
        <v>1614</v>
      </c>
      <c r="C197" s="2">
        <v>28.38</v>
      </c>
      <c r="E197" s="7" t="s">
        <v>1115</v>
      </c>
      <c r="F197" s="7" t="s">
        <v>1116</v>
      </c>
      <c r="G197" s="8">
        <f xml:space="preserve"> RTD("kgi.tw.der.pricertdserver.2014.1",,$A197 &amp; "_" &amp; $G$5 &amp; ":" &amp; $E197 &amp; "@" &amp; $F197)</f>
        <v>28.35</v>
      </c>
      <c r="H197" s="19">
        <f xml:space="preserve"> RTD("kgi.tw.der.pricertdserver.2014.1",,A197 &amp;":"&amp; E197 &amp;"@" &amp; F197)</f>
        <v>28.33</v>
      </c>
      <c r="I197" s="8">
        <f xml:space="preserve"> RTD("kgi.tw.der.pricertdserver.2014.1",,$A197 &amp; "_" &amp; $I$4 &amp; ":" &amp; $E197 &amp; "@" &amp; $F197)</f>
        <v>-7.9228162514264338E+28</v>
      </c>
      <c r="J197" s="8">
        <f xml:space="preserve"> RTD("kgi.tw.der.pricertdserver.2014.1",,$A197 &amp; "_" &amp; $J$4 &amp; ":" &amp; $E197 &amp; "@" &amp; $F197)</f>
        <v>-7.9228162514264338E+28</v>
      </c>
      <c r="K197" s="7" t="str">
        <f>RTD("kgi.tw.der.pricertdserver.2014.1",,A197 &amp; "_Time" &amp; ":" &amp; E197 &amp; "@" &amp; F197)</f>
        <v>20210514_132945000</v>
      </c>
      <c r="L197" s="45">
        <f t="shared" si="4"/>
        <v>28.33</v>
      </c>
      <c r="M197" s="43">
        <f>VLOOKUP($A197,XQKGIAP!$A:$I,9,FALSE)</f>
        <v>28.36</v>
      </c>
      <c r="N197" s="43">
        <f xml:space="preserve"> [3]!'TSE,00851,ADJUST_CLS'</f>
        <v>28.25</v>
      </c>
      <c r="O197" s="2">
        <f xml:space="preserve"> [3]!'TSE,00851,HST_CLOSE'</f>
        <v>0</v>
      </c>
      <c r="P197" s="2">
        <f xml:space="preserve"> [3]!'TSE,00851,OPEN_PRC'</f>
        <v>28.35</v>
      </c>
      <c r="Q197" s="2">
        <f xml:space="preserve"> [3]!'TSE,00851,HIGH_1'</f>
        <v>28.38</v>
      </c>
      <c r="R197" s="2">
        <f xml:space="preserve"> [3]!'TSE,00851,LOW_1'</f>
        <v>28.33</v>
      </c>
      <c r="S197" s="2">
        <f xml:space="preserve"> [3]!'TSE,00851,TRDPRC_1'</f>
        <v>28.38</v>
      </c>
      <c r="T197" s="2">
        <f xml:space="preserve"> [3]!'TSE,00851,BID'</f>
        <v>28.39</v>
      </c>
      <c r="U197" s="2">
        <f xml:space="preserve"> [3]!'TSE,00851,ASK'</f>
        <v>28.42</v>
      </c>
      <c r="V197" s="2">
        <f t="shared" si="5"/>
        <v>28.38</v>
      </c>
      <c r="Y197" s="43"/>
      <c r="Z197" s="43"/>
    </row>
    <row r="198" spans="1:26">
      <c r="A198" s="3" t="s">
        <v>440</v>
      </c>
      <c r="B198" s="2" t="s">
        <v>1615</v>
      </c>
      <c r="C198" s="2">
        <v>20.36</v>
      </c>
      <c r="E198" s="7" t="s">
        <v>1115</v>
      </c>
      <c r="F198" s="7" t="s">
        <v>1116</v>
      </c>
      <c r="G198" s="8">
        <f xml:space="preserve"> RTD("kgi.tw.der.pricertdserver.2014.1",,$A198 &amp; "_" &amp; $G$5 &amp; ":" &amp; $E198 &amp; "@" &amp; $F198)</f>
        <v>20.224740086896865</v>
      </c>
      <c r="H198" s="19">
        <f xml:space="preserve"> RTD("kgi.tw.der.pricertdserver.2014.1",,A198 &amp;":"&amp; E198 &amp;"@" &amp; F198)</f>
        <v>20.424777460553393</v>
      </c>
      <c r="I198" s="8">
        <f xml:space="preserve"> RTD("kgi.tw.der.pricertdserver.2014.1",,$A198 &amp; "_" &amp; $I$4 &amp; ":" &amp; $E198 &amp; "@" &amp; $F198)</f>
        <v>20.423593807454836</v>
      </c>
      <c r="J198" s="8">
        <f xml:space="preserve"> RTD("kgi.tw.der.pricertdserver.2014.1",,$A198 &amp; "_" &amp; $J$4 &amp; ":" &amp; $E198 &amp; "@" &amp; $F198)</f>
        <v>20.425961113651958</v>
      </c>
      <c r="K198" s="7" t="str">
        <f>RTD("kgi.tw.der.pricertdserver.2014.1",,A198 &amp; "_Time" &amp; ":" &amp; E198 &amp; "@" &amp; F198)</f>
        <v>20210514_151459664</v>
      </c>
      <c r="L198" s="45">
        <f t="shared" si="4"/>
        <v>20.424777460553393</v>
      </c>
      <c r="M198" s="43">
        <f>VLOOKUP($A198,XQKGIAP!$A:$I,9,FALSE)</f>
        <v>20.420000000000002</v>
      </c>
      <c r="N198" s="43">
        <f xml:space="preserve"> [3]!'TSE,00852L,ADJUST_CLS'</f>
        <v>19.7</v>
      </c>
      <c r="O198" s="2">
        <f xml:space="preserve"> [3]!'TSE,00852L,HST_CLOSE'</f>
        <v>0</v>
      </c>
      <c r="P198" s="2">
        <f xml:space="preserve"> [3]!'TSE,00852L,OPEN_PRC'</f>
        <v>20.28</v>
      </c>
      <c r="Q198" s="2">
        <f xml:space="preserve"> [3]!'TSE,00852L,HIGH_1'</f>
        <v>20.399999999999999</v>
      </c>
      <c r="R198" s="2">
        <f xml:space="preserve"> [3]!'TSE,00852L,LOW_1'</f>
        <v>20.25</v>
      </c>
      <c r="S198" s="2">
        <f xml:space="preserve"> [3]!'TSE,00852L,TRDPRC_1'</f>
        <v>20.36</v>
      </c>
      <c r="T198" s="2">
        <f xml:space="preserve"> [3]!'TSE,00852L,BID'</f>
        <v>20.36</v>
      </c>
      <c r="U198" s="2">
        <f xml:space="preserve"> [3]!'TSE,00852L,ASK'</f>
        <v>20.399999999999999</v>
      </c>
      <c r="V198" s="2">
        <f t="shared" si="5"/>
        <v>20.36</v>
      </c>
      <c r="Y198" s="43"/>
      <c r="Z198" s="43"/>
    </row>
    <row r="199" spans="1:26">
      <c r="A199" s="3" t="s">
        <v>441</v>
      </c>
      <c r="B199" s="2" t="s">
        <v>1616</v>
      </c>
      <c r="C199" s="2">
        <v>34.14</v>
      </c>
      <c r="E199" s="7" t="s">
        <v>1115</v>
      </c>
      <c r="F199" s="7" t="s">
        <v>1116</v>
      </c>
      <c r="G199" s="8">
        <f xml:space="preserve"> RTD("kgi.tw.der.pricertdserver.2014.1",,$A199 &amp; "_" &amp; $G$5 &amp; ":" &amp; $E199 &amp; "@" &amp; $F199)</f>
        <v>34.35</v>
      </c>
      <c r="H199" s="19">
        <f xml:space="preserve"> RTD("kgi.tw.der.pricertdserver.2014.1",,A199 &amp;":"&amp; E199 &amp;"@" &amp; F199)</f>
        <v>34.39</v>
      </c>
      <c r="I199" s="8">
        <f xml:space="preserve"> RTD("kgi.tw.der.pricertdserver.2014.1",,$A199 &amp; "_" &amp; $I$4 &amp; ":" &amp; $E199 &amp; "@" &amp; $F199)</f>
        <v>-7.9228162514264338E+28</v>
      </c>
      <c r="J199" s="8">
        <f xml:space="preserve"> RTD("kgi.tw.der.pricertdserver.2014.1",,$A199 &amp; "_" &amp; $J$4 &amp; ":" &amp; $E199 &amp; "@" &amp; $F199)</f>
        <v>-7.9228162514264338E+28</v>
      </c>
      <c r="K199" s="7" t="str">
        <f>RTD("kgi.tw.der.pricertdserver.2014.1",,A199 &amp; "_Time" &amp; ":" &amp; E199 &amp; "@" &amp; F199)</f>
        <v>20210514_132947000</v>
      </c>
      <c r="L199" s="45">
        <f t="shared" ref="L199:L227" si="6">IF(ISERROR($H199),$M199,$H199)</f>
        <v>34.39</v>
      </c>
      <c r="M199" s="43">
        <f>VLOOKUP($A199,XQKGIAP!$A:$I,9,FALSE)</f>
        <v>34.39</v>
      </c>
      <c r="N199" s="43">
        <f xml:space="preserve"> [3]!'TSE,00853B,ADJUST_CLS'</f>
        <v>34.14</v>
      </c>
      <c r="O199" s="2">
        <f xml:space="preserve"> [3]!'TSE,00853B,HST_CLOSE'</f>
        <v>0</v>
      </c>
      <c r="P199" s="2">
        <f xml:space="preserve"> [3]!'TSE,00853B,OPEN_PRC'</f>
        <v>0</v>
      </c>
      <c r="Q199" s="2">
        <f xml:space="preserve"> [3]!'TSE,00853B,HIGH_1'</f>
        <v>0</v>
      </c>
      <c r="R199" s="2">
        <f xml:space="preserve"> [3]!'TSE,00853B,LOW_1'</f>
        <v>0</v>
      </c>
      <c r="S199" s="2">
        <f xml:space="preserve"> [3]!'TSE,00853B,TRDPRC_1'</f>
        <v>0</v>
      </c>
      <c r="T199" s="2">
        <f xml:space="preserve"> [3]!'TSE,00853B,BID'</f>
        <v>33.840000000000003</v>
      </c>
      <c r="U199" s="2">
        <f xml:space="preserve"> [3]!'TSE,00853B,ASK'</f>
        <v>34.200000000000003</v>
      </c>
      <c r="V199" s="2">
        <f t="shared" ref="V199:V226" si="7">IF($V$1=0,IF(S199&lt;&gt;0,S199,N199),C199)</f>
        <v>34.14</v>
      </c>
      <c r="Y199" s="43"/>
      <c r="Z199" s="43"/>
    </row>
    <row r="200" spans="1:26">
      <c r="A200" s="3" t="s">
        <v>1108</v>
      </c>
      <c r="B200" s="2" t="s">
        <v>1617</v>
      </c>
      <c r="C200" s="2">
        <v>36.49</v>
      </c>
      <c r="E200" s="7" t="s">
        <v>1115</v>
      </c>
      <c r="F200" s="7" t="s">
        <v>1116</v>
      </c>
      <c r="G200" s="8">
        <f xml:space="preserve"> RTD("kgi.tw.der.pricertdserver.2014.1",,$A200 &amp; "_" &amp; $G$5 &amp; ":" &amp; $E200 &amp; "@" &amp; $F200)</f>
        <v>36.51</v>
      </c>
      <c r="H200" s="19">
        <f xml:space="preserve"> RTD("kgi.tw.der.pricertdserver.2014.1",,A200 &amp;":"&amp; E200 &amp;"@" &amp; F200)</f>
        <v>36.54</v>
      </c>
      <c r="I200" s="8">
        <f xml:space="preserve"> RTD("kgi.tw.der.pricertdserver.2014.1",,$A200 &amp; "_" &amp; $I$4 &amp; ":" &amp; $E200 &amp; "@" &amp; $F200)</f>
        <v>-7.9228162514264338E+28</v>
      </c>
      <c r="J200" s="8">
        <f xml:space="preserve"> RTD("kgi.tw.der.pricertdserver.2014.1",,$A200 &amp; "_" &amp; $J$4 &amp; ":" &amp; $E200 &amp; "@" &amp; $F200)</f>
        <v>-7.9228162514264338E+28</v>
      </c>
      <c r="K200" s="7" t="str">
        <f>RTD("kgi.tw.der.pricertdserver.2014.1",,A200 &amp; "_Time" &amp; ":" &amp; E200 &amp; "@" &amp; F200)</f>
        <v>20210514_132948000</v>
      </c>
      <c r="L200" s="45">
        <f t="shared" si="6"/>
        <v>36.54</v>
      </c>
      <c r="M200" s="43">
        <f>VLOOKUP($A200,XQKGIAP!$A:$I,9,FALSE)</f>
        <v>36.57</v>
      </c>
      <c r="N200" s="43">
        <f xml:space="preserve"> [3]!'TSE,00856B,ADJUST_CLS'</f>
        <v>36.549999999999997</v>
      </c>
      <c r="O200" s="2">
        <f xml:space="preserve"> [3]!'TSE,00856B,HST_CLOSE'</f>
        <v>0</v>
      </c>
      <c r="P200" s="2">
        <f xml:space="preserve"> [3]!'TSE,00856B,OPEN_PRC'</f>
        <v>36.49</v>
      </c>
      <c r="Q200" s="2">
        <f xml:space="preserve"> [3]!'TSE,00856B,HIGH_1'</f>
        <v>36.49</v>
      </c>
      <c r="R200" s="2">
        <f xml:space="preserve"> [3]!'TSE,00856B,LOW_1'</f>
        <v>36.49</v>
      </c>
      <c r="S200" s="2">
        <f xml:space="preserve"> [3]!'TSE,00856B,TRDPRC_1'</f>
        <v>36.49</v>
      </c>
      <c r="T200" s="2">
        <f xml:space="preserve"> [3]!'TSE,00856B,BID'</f>
        <v>36.46</v>
      </c>
      <c r="U200" s="2">
        <f xml:space="preserve"> [3]!'TSE,00856B,ASK'</f>
        <v>36.520000000000003</v>
      </c>
      <c r="V200" s="2">
        <f t="shared" si="7"/>
        <v>36.49</v>
      </c>
      <c r="Y200" s="43"/>
      <c r="Z200" s="43"/>
    </row>
    <row r="201" spans="1:26">
      <c r="A201" s="3" t="s">
        <v>1109</v>
      </c>
      <c r="B201" s="2" t="s">
        <v>1447</v>
      </c>
      <c r="C201" s="2">
        <v>34.729999999999997</v>
      </c>
      <c r="E201" s="7" t="s">
        <v>1115</v>
      </c>
      <c r="F201" s="7" t="s">
        <v>1116</v>
      </c>
      <c r="G201" s="8">
        <f xml:space="preserve"> RTD("kgi.tw.der.pricertdserver.2014.1",,$A201 &amp; "_" &amp; $G$5 &amp; ":" &amp; $E201 &amp; "@" &amp; $F201)</f>
        <v>34.6</v>
      </c>
      <c r="H201" s="19">
        <f xml:space="preserve"> RTD("kgi.tw.der.pricertdserver.2014.1",,A201 &amp;":"&amp; E201 &amp;"@" &amp; F201)</f>
        <v>34.630000000000003</v>
      </c>
      <c r="I201" s="8">
        <f xml:space="preserve"> RTD("kgi.tw.der.pricertdserver.2014.1",,$A201 &amp; "_" &amp; $I$4 &amp; ":" &amp; $E201 &amp; "@" &amp; $F201)</f>
        <v>-7.9228162514264338E+28</v>
      </c>
      <c r="J201" s="8">
        <f xml:space="preserve"> RTD("kgi.tw.der.pricertdserver.2014.1",,$A201 &amp; "_" &amp; $J$4 &amp; ":" &amp; $E201 &amp; "@" &amp; $F201)</f>
        <v>-7.9228162514264338E+28</v>
      </c>
      <c r="K201" s="7" t="str">
        <f>RTD("kgi.tw.der.pricertdserver.2014.1",,A201 &amp; "_Time" &amp; ":" &amp; E201 &amp; "@" &amp; F201)</f>
        <v>20210514_132932000</v>
      </c>
      <c r="L201" s="45">
        <f t="shared" si="6"/>
        <v>34.630000000000003</v>
      </c>
      <c r="M201" s="43">
        <f>VLOOKUP($A201,XQKGIAP!$A:$I,9,FALSE)</f>
        <v>34.659999999999997</v>
      </c>
      <c r="N201" s="43">
        <f xml:space="preserve"> [3]!'TSE,00857B,ADJUST_CLS'</f>
        <v>34.67</v>
      </c>
      <c r="O201" s="2">
        <f xml:space="preserve"> [3]!'TSE,00857B,HST_CLOSE'</f>
        <v>0</v>
      </c>
      <c r="P201" s="2">
        <f xml:space="preserve"> [3]!'TSE,00857B,OPEN_PRC'</f>
        <v>34.72</v>
      </c>
      <c r="Q201" s="2">
        <f xml:space="preserve"> [3]!'TSE,00857B,HIGH_1'</f>
        <v>34.729999999999997</v>
      </c>
      <c r="R201" s="2">
        <f xml:space="preserve"> [3]!'TSE,00857B,LOW_1'</f>
        <v>34.72</v>
      </c>
      <c r="S201" s="2">
        <f xml:space="preserve"> [3]!'TSE,00857B,TRDPRC_1'</f>
        <v>34.729999999999997</v>
      </c>
      <c r="T201" s="2">
        <f xml:space="preserve"> [3]!'TSE,00857B,BID'</f>
        <v>34.72</v>
      </c>
      <c r="U201" s="2">
        <f xml:space="preserve"> [3]!'TSE,00857B,ASK'</f>
        <v>34.78</v>
      </c>
      <c r="V201" s="2">
        <f t="shared" si="7"/>
        <v>34.729999999999997</v>
      </c>
      <c r="Y201" s="43"/>
      <c r="Z201" s="43"/>
    </row>
    <row r="202" spans="1:26">
      <c r="A202" s="3" t="s">
        <v>1110</v>
      </c>
      <c r="B202" s="2" t="s">
        <v>1618</v>
      </c>
      <c r="C202" s="2">
        <v>26.44</v>
      </c>
      <c r="E202" s="7" t="s">
        <v>1115</v>
      </c>
      <c r="F202" s="7" t="s">
        <v>1116</v>
      </c>
      <c r="G202" s="8">
        <f xml:space="preserve"> RTD("kgi.tw.der.pricertdserver.2014.1",,$A202 &amp; "_" &amp; $G$5 &amp; ":" &amp; $E202 &amp; "@" &amp; $F202)</f>
        <v>26.3</v>
      </c>
      <c r="H202" s="19">
        <f xml:space="preserve"> RTD("kgi.tw.der.pricertdserver.2014.1",,A202 &amp;":"&amp; E202 &amp;"@" &amp; F202)</f>
        <v>26.33</v>
      </c>
      <c r="I202" s="8">
        <f xml:space="preserve"> RTD("kgi.tw.der.pricertdserver.2014.1",,$A202 &amp; "_" &amp; $I$4 &amp; ":" &amp; $E202 &amp; "@" &amp; $F202)</f>
        <v>-7.9228162514264338E+28</v>
      </c>
      <c r="J202" s="8">
        <f xml:space="preserve"> RTD("kgi.tw.der.pricertdserver.2014.1",,$A202 &amp; "_" &amp; $J$4 &amp; ":" &amp; $E202 &amp; "@" &amp; $F202)</f>
        <v>-7.9228162514264338E+28</v>
      </c>
      <c r="K202" s="7" t="str">
        <f>RTD("kgi.tw.der.pricertdserver.2014.1",,A202 &amp; "_Time" &amp; ":" &amp; E202 &amp; "@" &amp; F202)</f>
        <v>20210514_132932000</v>
      </c>
      <c r="L202" s="45">
        <f t="shared" si="6"/>
        <v>26.33</v>
      </c>
      <c r="M202" s="43">
        <f>VLOOKUP($A202,XQKGIAP!$A:$I,9,FALSE)</f>
        <v>26.35</v>
      </c>
      <c r="N202" s="43">
        <f xml:space="preserve"> [3]!'TSE,00858,ADJUST_CLS'</f>
        <v>26.15</v>
      </c>
      <c r="O202" s="2">
        <f xml:space="preserve"> [3]!'TSE,00858,HST_CLOSE'</f>
        <v>0</v>
      </c>
      <c r="P202" s="2">
        <f xml:space="preserve"> [3]!'TSE,00858,OPEN_PRC'</f>
        <v>26.22</v>
      </c>
      <c r="Q202" s="2">
        <f xml:space="preserve"> [3]!'TSE,00858,HIGH_1'</f>
        <v>26.46</v>
      </c>
      <c r="R202" s="2">
        <f xml:space="preserve"> [3]!'TSE,00858,LOW_1'</f>
        <v>26.22</v>
      </c>
      <c r="S202" s="2">
        <f xml:space="preserve"> [3]!'TSE,00858,TRDPRC_1'</f>
        <v>26.44</v>
      </c>
      <c r="T202" s="2">
        <f xml:space="preserve"> [3]!'TSE,00858,BID'</f>
        <v>26.46</v>
      </c>
      <c r="U202" s="2">
        <f xml:space="preserve"> [3]!'TSE,00858,ASK'</f>
        <v>26.49</v>
      </c>
      <c r="V202" s="2">
        <f t="shared" si="7"/>
        <v>26.44</v>
      </c>
    </row>
    <row r="203" spans="1:26">
      <c r="A203" s="3" t="s">
        <v>1279</v>
      </c>
      <c r="B203" s="2" t="s">
        <v>1448</v>
      </c>
      <c r="C203" s="2">
        <v>36.18</v>
      </c>
      <c r="E203" s="7" t="s">
        <v>1115</v>
      </c>
      <c r="F203" s="7" t="s">
        <v>1116</v>
      </c>
      <c r="G203" s="8">
        <f xml:space="preserve"> RTD("kgi.tw.der.pricertdserver.2014.1",,$A203 &amp; "_" &amp; $G$5 &amp; ":" &amp; $E203 &amp; "@" &amp; $F203)</f>
        <v>36.259599999999999</v>
      </c>
      <c r="H203" s="19">
        <f xml:space="preserve"> RTD("kgi.tw.der.pricertdserver.2014.1",,A203 &amp;":"&amp; E203 &amp;"@" &amp; F203)</f>
        <v>36.227800000000002</v>
      </c>
      <c r="I203" s="8">
        <f xml:space="preserve"> RTD("kgi.tw.der.pricertdserver.2014.1",,$A203 &amp; "_" &amp; $I$4 &amp; ":" &amp; $E203 &amp; "@" &amp; $F203)</f>
        <v>-7.9228162514264338E+28</v>
      </c>
      <c r="J203" s="8">
        <f xml:space="preserve"> RTD("kgi.tw.der.pricertdserver.2014.1",,$A203 &amp; "_" &amp; $J$4 &amp; ":" &amp; $E203 &amp; "@" &amp; $F203)</f>
        <v>-7.9228162514264338E+28</v>
      </c>
      <c r="K203" s="7" t="str">
        <f>RTD("kgi.tw.der.pricertdserver.2014.1",,A203 &amp; "_Time" &amp; ":" &amp; E203 &amp; "@" &amp; F203)</f>
        <v>20210514_132945000</v>
      </c>
      <c r="L203" s="45">
        <f t="shared" si="6"/>
        <v>36.227800000000002</v>
      </c>
      <c r="M203" s="43">
        <f>VLOOKUP($A203,XQKGIAP!$A:$I,9,FALSE)</f>
        <v>36.26</v>
      </c>
      <c r="N203" s="43">
        <f xml:space="preserve"> [3]!'TSE,00859B,ADJUST_CLS'</f>
        <v>36.200000000000003</v>
      </c>
      <c r="O203" s="2">
        <f xml:space="preserve"> [3]!'TSE,00859B,HST_CLOSE'</f>
        <v>0</v>
      </c>
      <c r="P203" s="2">
        <f xml:space="preserve"> [3]!'TSE,00859B,OPEN_PRC'</f>
        <v>36.229999999999997</v>
      </c>
      <c r="Q203" s="2">
        <f xml:space="preserve"> [3]!'TSE,00859B,HIGH_1'</f>
        <v>36.229999999999997</v>
      </c>
      <c r="R203" s="2">
        <f xml:space="preserve"> [3]!'TSE,00859B,LOW_1'</f>
        <v>36.18</v>
      </c>
      <c r="S203" s="2">
        <f xml:space="preserve"> [3]!'TSE,00859B,TRDPRC_1'</f>
        <v>36.18</v>
      </c>
      <c r="T203" s="2">
        <f xml:space="preserve"> [3]!'TSE,00859B,BID'</f>
        <v>36.18</v>
      </c>
      <c r="U203" s="2">
        <f xml:space="preserve"> [3]!'TSE,00859B,ASK'</f>
        <v>36.28</v>
      </c>
      <c r="V203" s="2">
        <f t="shared" si="7"/>
        <v>36.18</v>
      </c>
    </row>
    <row r="204" spans="1:26">
      <c r="A204" s="3" t="s">
        <v>1280</v>
      </c>
      <c r="B204" s="2" t="s">
        <v>1619</v>
      </c>
      <c r="C204" s="2">
        <v>37.49</v>
      </c>
      <c r="E204" s="7" t="s">
        <v>1115</v>
      </c>
      <c r="F204" s="7" t="s">
        <v>1116</v>
      </c>
      <c r="G204" s="8">
        <f xml:space="preserve"> RTD("kgi.tw.der.pricertdserver.2014.1",,$A204 &amp; "_" &amp; $G$5 &amp; ":" &amp; $E204 &amp; "@" &amp; $F204)</f>
        <v>37.555700000000002</v>
      </c>
      <c r="H204" s="19">
        <f xml:space="preserve"> RTD("kgi.tw.der.pricertdserver.2014.1",,A204 &amp;":"&amp; E204 &amp;"@" &amp; F204)</f>
        <v>37.523299999999999</v>
      </c>
      <c r="I204" s="8">
        <f xml:space="preserve"> RTD("kgi.tw.der.pricertdserver.2014.1",,$A204 &amp; "_" &amp; $I$4 &amp; ":" &amp; $E204 &amp; "@" &amp; $F204)</f>
        <v>-7.9228162514264338E+28</v>
      </c>
      <c r="J204" s="8">
        <f xml:space="preserve"> RTD("kgi.tw.der.pricertdserver.2014.1",,$A204 &amp; "_" &amp; $J$4 &amp; ":" &amp; $E204 &amp; "@" &amp; $F204)</f>
        <v>-7.9228162514264338E+28</v>
      </c>
      <c r="K204" s="7" t="str">
        <f>RTD("kgi.tw.der.pricertdserver.2014.1",,A204 &amp; "_Time" &amp; ":" &amp; E204 &amp; "@" &amp; F204)</f>
        <v>20210514_132945000</v>
      </c>
      <c r="L204" s="45">
        <f t="shared" si="6"/>
        <v>37.523299999999999</v>
      </c>
      <c r="M204" s="43">
        <f>VLOOKUP($A204,XQKGIAP!$A:$I,9,FALSE)</f>
        <v>37.549999999999997</v>
      </c>
      <c r="N204" s="43">
        <f xml:space="preserve"> [3]!'TSE,00860B,ADJUST_CLS'</f>
        <v>37.42</v>
      </c>
      <c r="O204" s="2">
        <f xml:space="preserve"> [3]!'TSE,00860B,HST_CLOSE'</f>
        <v>0</v>
      </c>
      <c r="P204" s="2">
        <f xml:space="preserve"> [3]!'TSE,00860B,OPEN_PRC'</f>
        <v>37.49</v>
      </c>
      <c r="Q204" s="2">
        <f xml:space="preserve"> [3]!'TSE,00860B,HIGH_1'</f>
        <v>37.49</v>
      </c>
      <c r="R204" s="2">
        <f xml:space="preserve"> [3]!'TSE,00860B,LOW_1'</f>
        <v>37.49</v>
      </c>
      <c r="S204" s="2">
        <f xml:space="preserve"> [3]!'TSE,00860B,TRDPRC_1'</f>
        <v>37.49</v>
      </c>
      <c r="T204" s="2">
        <f xml:space="preserve"> [3]!'TSE,00860B,BID'</f>
        <v>37.450000000000003</v>
      </c>
      <c r="U204" s="2">
        <f xml:space="preserve"> [3]!'TSE,00860B,ASK'</f>
        <v>37.53</v>
      </c>
      <c r="V204" s="2">
        <f t="shared" si="7"/>
        <v>37.49</v>
      </c>
    </row>
    <row r="205" spans="1:26">
      <c r="A205" s="3" t="s">
        <v>1281</v>
      </c>
      <c r="B205" s="2" t="s">
        <v>1620</v>
      </c>
      <c r="C205" s="2">
        <v>27.61</v>
      </c>
      <c r="E205" s="7" t="s">
        <v>1115</v>
      </c>
      <c r="F205" s="7" t="s">
        <v>1116</v>
      </c>
      <c r="G205" s="8">
        <f xml:space="preserve"> RTD("kgi.tw.der.pricertdserver.2014.1",,$A205 &amp; "_" &amp; $G$5 &amp; ":" &amp; $E205 &amp; "@" &amp; $F205)</f>
        <v>27.41</v>
      </c>
      <c r="H205" s="19">
        <f xml:space="preserve"> RTD("kgi.tw.der.pricertdserver.2014.1",,A205 &amp;":"&amp; E205 &amp;"@" &amp; F205)</f>
        <v>27.59</v>
      </c>
      <c r="I205" s="8">
        <f xml:space="preserve"> RTD("kgi.tw.der.pricertdserver.2014.1",,$A205 &amp; "_" &amp; $I$4 &amp; ":" &amp; $E205 &amp; "@" &amp; $F205)</f>
        <v>-7.9228162514264338E+28</v>
      </c>
      <c r="J205" s="8">
        <f xml:space="preserve"> RTD("kgi.tw.der.pricertdserver.2014.1",,$A205 &amp; "_" &amp; $J$4 &amp; ":" &amp; $E205 &amp; "@" &amp; $F205)</f>
        <v>-7.9228162514264338E+28</v>
      </c>
      <c r="K205" s="7" t="str">
        <f>RTD("kgi.tw.der.pricertdserver.2014.1",,A205 &amp; "_Time" &amp; ":" &amp; E205 &amp; "@" &amp; F205)</f>
        <v>20210514_132945000</v>
      </c>
      <c r="L205" s="45">
        <f t="shared" si="6"/>
        <v>27.59</v>
      </c>
      <c r="M205" s="43">
        <f>VLOOKUP($A205,XQKGIAP!$A:$I,9,FALSE)</f>
        <v>27.59</v>
      </c>
      <c r="N205" s="43">
        <f xml:space="preserve"> [3]!'TSE,00861,ADJUST_CLS'</f>
        <v>27.12</v>
      </c>
      <c r="O205" s="2">
        <f xml:space="preserve"> [3]!'TSE,00861,HST_CLOSE'</f>
        <v>0</v>
      </c>
      <c r="P205" s="2">
        <f xml:space="preserve"> [3]!'TSE,00861,OPEN_PRC'</f>
        <v>27.12</v>
      </c>
      <c r="Q205" s="2">
        <f xml:space="preserve"> [3]!'TSE,00861,HIGH_1'</f>
        <v>27.65</v>
      </c>
      <c r="R205" s="2">
        <f xml:space="preserve"> [3]!'TSE,00861,LOW_1'</f>
        <v>27.12</v>
      </c>
      <c r="S205" s="2">
        <f xml:space="preserve"> [3]!'TSE,00861,TRDPRC_1'</f>
        <v>27.61</v>
      </c>
      <c r="T205" s="2">
        <f xml:space="preserve"> [3]!'TSE,00861,BID'</f>
        <v>27.61</v>
      </c>
      <c r="U205" s="2">
        <f xml:space="preserve"> [3]!'TSE,00861,ASK'</f>
        <v>27.62</v>
      </c>
      <c r="V205" s="2">
        <f t="shared" si="7"/>
        <v>27.61</v>
      </c>
    </row>
    <row r="206" spans="1:26">
      <c r="A206" s="3" t="s">
        <v>1282</v>
      </c>
      <c r="B206" s="2" t="s">
        <v>1621</v>
      </c>
      <c r="C206" s="2">
        <v>37.65</v>
      </c>
      <c r="E206" s="7" t="s">
        <v>1115</v>
      </c>
      <c r="F206" s="7" t="s">
        <v>1116</v>
      </c>
      <c r="G206" s="8">
        <f xml:space="preserve"> RTD("kgi.tw.der.pricertdserver.2014.1",,$A206 &amp; "_" &amp; $G$5 &amp; ":" &amp; $E206 &amp; "@" &amp; $F206)</f>
        <v>37.774900000000002</v>
      </c>
      <c r="H206" s="19">
        <f xml:space="preserve"> RTD("kgi.tw.der.pricertdserver.2014.1",,A206 &amp;":"&amp; E206 &amp;"@" &amp; F206)</f>
        <v>37.734699999999997</v>
      </c>
      <c r="I206" s="8">
        <f xml:space="preserve"> RTD("kgi.tw.der.pricertdserver.2014.1",,$A206 &amp; "_" &amp; $I$4 &amp; ":" &amp; $E206 &amp; "@" &amp; $F206)</f>
        <v>-7.9228162514264338E+28</v>
      </c>
      <c r="J206" s="8">
        <f xml:space="preserve"> RTD("kgi.tw.der.pricertdserver.2014.1",,$A206 &amp; "_" &amp; $J$4 &amp; ":" &amp; $E206 &amp; "@" &amp; $F206)</f>
        <v>-7.9228162514264338E+28</v>
      </c>
      <c r="K206" s="7" t="str">
        <f>RTD("kgi.tw.der.pricertdserver.2014.1",,A206 &amp; "_Time" &amp; ":" &amp; E206 &amp; "@" &amp; F206)</f>
        <v>20210514_132949000</v>
      </c>
      <c r="L206" s="45">
        <f t="shared" si="6"/>
        <v>37.734699999999997</v>
      </c>
      <c r="M206" s="43">
        <f>VLOOKUP($A206,XQKGIAP!$A:$I,9,FALSE)</f>
        <v>37.799999999999997</v>
      </c>
      <c r="N206" s="43">
        <f xml:space="preserve"> [3]!'TSE,00862B,ADJUST_CLS'</f>
        <v>37.51</v>
      </c>
      <c r="O206" s="2">
        <f xml:space="preserve"> [3]!'TSE,00862B,HST_CLOSE'</f>
        <v>0</v>
      </c>
      <c r="P206" s="2">
        <f xml:space="preserve"> [3]!'TSE,00862B,OPEN_PRC'</f>
        <v>37.619999999999997</v>
      </c>
      <c r="Q206" s="2">
        <f xml:space="preserve"> [3]!'TSE,00862B,HIGH_1'</f>
        <v>37.67</v>
      </c>
      <c r="R206" s="2">
        <f xml:space="preserve"> [3]!'TSE,00862B,LOW_1'</f>
        <v>37.6</v>
      </c>
      <c r="S206" s="2">
        <f xml:space="preserve"> [3]!'TSE,00862B,TRDPRC_1'</f>
        <v>37.65</v>
      </c>
      <c r="T206" s="2">
        <f xml:space="preserve"> [3]!'TSE,00862B,BID'</f>
        <v>37.630000000000003</v>
      </c>
      <c r="U206" s="2">
        <f xml:space="preserve"> [3]!'TSE,00862B,ASK'</f>
        <v>37.65</v>
      </c>
      <c r="V206" s="2">
        <f t="shared" si="7"/>
        <v>37.65</v>
      </c>
    </row>
    <row r="207" spans="1:26">
      <c r="A207" s="3" t="s">
        <v>1283</v>
      </c>
      <c r="B207" s="2" t="s">
        <v>1449</v>
      </c>
      <c r="C207" s="2">
        <v>37.82</v>
      </c>
      <c r="E207" s="7" t="s">
        <v>1115</v>
      </c>
      <c r="F207" s="7" t="s">
        <v>1116</v>
      </c>
      <c r="G207" s="8">
        <f xml:space="preserve"> RTD("kgi.tw.der.pricertdserver.2014.1",,$A207 &amp; "_" &amp; $G$5 &amp; ":" &amp; $E207 &amp; "@" &amp; $F207)</f>
        <v>37.795099999999998</v>
      </c>
      <c r="H207" s="19">
        <f xml:space="preserve"> RTD("kgi.tw.der.pricertdserver.2014.1",,A207 &amp;":"&amp; E207 &amp;"@" &amp; F207)</f>
        <v>37.7545</v>
      </c>
      <c r="I207" s="8">
        <f xml:space="preserve"> RTD("kgi.tw.der.pricertdserver.2014.1",,$A207 &amp; "_" &amp; $I$4 &amp; ":" &amp; $E207 &amp; "@" &amp; $F207)</f>
        <v>-7.9228162514264338E+28</v>
      </c>
      <c r="J207" s="8">
        <f xml:space="preserve"> RTD("kgi.tw.der.pricertdserver.2014.1",,$A207 &amp; "_" &amp; $J$4 &amp; ":" &amp; $E207 &amp; "@" &amp; $F207)</f>
        <v>-7.9228162514264338E+28</v>
      </c>
      <c r="K207" s="7" t="str">
        <f>RTD("kgi.tw.der.pricertdserver.2014.1",,A207 &amp; "_Time" &amp; ":" &amp; E207 &amp; "@" &amp; F207)</f>
        <v>20210514_132949000</v>
      </c>
      <c r="L207" s="45">
        <f t="shared" si="6"/>
        <v>37.7545</v>
      </c>
      <c r="M207" s="43">
        <f>VLOOKUP($A207,XQKGIAP!$A:$I,9,FALSE)</f>
        <v>37.799999999999997</v>
      </c>
      <c r="N207" s="43">
        <f xml:space="preserve"> [3]!'TSE,00863B,ADJUST_CLS'</f>
        <v>37.659999999999997</v>
      </c>
      <c r="O207" s="2">
        <f xml:space="preserve"> [3]!'TSE,00863B,HST_CLOSE'</f>
        <v>0</v>
      </c>
      <c r="P207" s="2">
        <f xml:space="preserve"> [3]!'TSE,00863B,OPEN_PRC'</f>
        <v>37.799999999999997</v>
      </c>
      <c r="Q207" s="2">
        <f xml:space="preserve"> [3]!'TSE,00863B,HIGH_1'</f>
        <v>37.82</v>
      </c>
      <c r="R207" s="2">
        <f xml:space="preserve"> [3]!'TSE,00863B,LOW_1'</f>
        <v>37.79</v>
      </c>
      <c r="S207" s="2">
        <f xml:space="preserve"> [3]!'TSE,00863B,TRDPRC_1'</f>
        <v>37.82</v>
      </c>
      <c r="T207" s="2">
        <f xml:space="preserve"> [3]!'TSE,00863B,BID'</f>
        <v>37.81</v>
      </c>
      <c r="U207" s="2">
        <f xml:space="preserve"> [3]!'TSE,00863B,ASK'</f>
        <v>37.86</v>
      </c>
      <c r="V207" s="2">
        <f t="shared" si="7"/>
        <v>37.82</v>
      </c>
    </row>
    <row r="208" spans="1:26">
      <c r="A208" s="3" t="s">
        <v>1284</v>
      </c>
      <c r="B208" s="2" t="s">
        <v>1622</v>
      </c>
      <c r="C208" s="2">
        <v>36.79</v>
      </c>
      <c r="E208" s="7" t="s">
        <v>1115</v>
      </c>
      <c r="F208" s="7" t="s">
        <v>1116</v>
      </c>
      <c r="G208" s="8">
        <f xml:space="preserve"> RTD("kgi.tw.der.pricertdserver.2014.1",,$A208 &amp; "_" &amp; $G$5 &amp; ":" &amp; $E208 &amp; "@" &amp; $F208)</f>
        <v>36.8598</v>
      </c>
      <c r="H208" s="19">
        <f xml:space="preserve"> RTD("kgi.tw.der.pricertdserver.2014.1",,A208 &amp;":"&amp; E208 &amp;"@" &amp; F208)</f>
        <v>36.840600000000002</v>
      </c>
      <c r="I208" s="8">
        <f xml:space="preserve"> RTD("kgi.tw.der.pricertdserver.2014.1",,$A208 &amp; "_" &amp; $I$4 &amp; ":" &amp; $E208 &amp; "@" &amp; $F208)</f>
        <v>-7.9228162514264338E+28</v>
      </c>
      <c r="J208" s="8">
        <f xml:space="preserve"> RTD("kgi.tw.der.pricertdserver.2014.1",,$A208 &amp; "_" &amp; $J$4 &amp; ":" &amp; $E208 &amp; "@" &amp; $F208)</f>
        <v>-7.9228162514264338E+28</v>
      </c>
      <c r="K208" s="7" t="str">
        <f>RTD("kgi.tw.der.pricertdserver.2014.1",,A208 &amp; "_Time" &amp; ":" &amp; E208 &amp; "@" &amp; F208)</f>
        <v>20210514_132949000</v>
      </c>
      <c r="L208" s="45">
        <f t="shared" si="6"/>
        <v>36.840600000000002</v>
      </c>
      <c r="M208" s="43">
        <f>VLOOKUP($A208,XQKGIAP!$A:$I,9,FALSE)</f>
        <v>36.86</v>
      </c>
      <c r="N208" s="43">
        <f xml:space="preserve"> [3]!'TSE,00864B,ADJUST_CLS'</f>
        <v>36.770000000000003</v>
      </c>
      <c r="O208" s="2">
        <f xml:space="preserve"> [3]!'TSE,00864B,HST_CLOSE'</f>
        <v>0</v>
      </c>
      <c r="P208" s="2">
        <f xml:space="preserve"> [3]!'TSE,00864B,OPEN_PRC'</f>
        <v>36.799999999999997</v>
      </c>
      <c r="Q208" s="2">
        <f xml:space="preserve"> [3]!'TSE,00864B,HIGH_1'</f>
        <v>36.799999999999997</v>
      </c>
      <c r="R208" s="2">
        <f xml:space="preserve"> [3]!'TSE,00864B,LOW_1'</f>
        <v>36.79</v>
      </c>
      <c r="S208" s="2">
        <f xml:space="preserve"> [3]!'TSE,00864B,TRDPRC_1'</f>
        <v>36.79</v>
      </c>
      <c r="T208" s="2">
        <f xml:space="preserve"> [3]!'TSE,00864B,BID'</f>
        <v>36.75</v>
      </c>
      <c r="U208" s="2">
        <f xml:space="preserve"> [3]!'TSE,00864B,ASK'</f>
        <v>36.79</v>
      </c>
      <c r="V208" s="2">
        <f t="shared" si="7"/>
        <v>36.79</v>
      </c>
    </row>
    <row r="209" spans="1:24">
      <c r="A209" s="3" t="s">
        <v>1285</v>
      </c>
      <c r="B209" s="2" t="s">
        <v>1623</v>
      </c>
      <c r="C209" s="2">
        <v>36.54</v>
      </c>
      <c r="E209" s="7" t="s">
        <v>1115</v>
      </c>
      <c r="F209" s="7" t="s">
        <v>1116</v>
      </c>
      <c r="G209" s="8">
        <f xml:space="preserve"> RTD("kgi.tw.der.pricertdserver.2014.1",,$A209 &amp; "_" &amp; $G$5 &amp; ":" &amp; $E209 &amp; "@" &amp; $F209)</f>
        <v>36.936999999999998</v>
      </c>
      <c r="H209" s="19">
        <f xml:space="preserve"> RTD("kgi.tw.der.pricertdserver.2014.1",,A209 &amp;":"&amp; E209 &amp;"@" &amp; F209)</f>
        <v>36.902000000000001</v>
      </c>
      <c r="I209" s="8">
        <f xml:space="preserve"> RTD("kgi.tw.der.pricertdserver.2014.1",,$A209 &amp; "_" &amp; $I$4 &amp; ":" &amp; $E209 &amp; "@" &amp; $F209)</f>
        <v>-7.9228162514264338E+28</v>
      </c>
      <c r="J209" s="8">
        <f xml:space="preserve"> RTD("kgi.tw.der.pricertdserver.2014.1",,$A209 &amp; "_" &amp; $J$4 &amp; ":" &amp; $E209 &amp; "@" &amp; $F209)</f>
        <v>-7.9228162514264338E+28</v>
      </c>
      <c r="K209" s="7" t="str">
        <f>RTD("kgi.tw.der.pricertdserver.2014.1",,A209 &amp; "_Time" &amp; ":" &amp; E209 &amp; "@" &amp; F209)</f>
        <v>20210514_132929000</v>
      </c>
      <c r="L209" s="45">
        <f t="shared" si="6"/>
        <v>36.902000000000001</v>
      </c>
      <c r="M209" s="43">
        <f>VLOOKUP($A209,XQKGIAP!$A:$I,9,FALSE)</f>
        <v>36.93</v>
      </c>
      <c r="N209" s="43">
        <f xml:space="preserve"> [3]!'TSE,00865B,ADJUST_CLS'</f>
        <v>36.6</v>
      </c>
      <c r="O209" s="2">
        <f xml:space="preserve"> [3]!'TSE,00865B,HST_CLOSE'</f>
        <v>0</v>
      </c>
      <c r="P209" s="2">
        <f xml:space="preserve"> [3]!'TSE,00865B,OPEN_PRC'</f>
        <v>36.5</v>
      </c>
      <c r="Q209" s="2">
        <f xml:space="preserve"> [3]!'TSE,00865B,HIGH_1'</f>
        <v>36.54</v>
      </c>
      <c r="R209" s="2">
        <f xml:space="preserve"> [3]!'TSE,00865B,LOW_1'</f>
        <v>36.5</v>
      </c>
      <c r="S209" s="2">
        <f xml:space="preserve"> [3]!'TSE,00865B,TRDPRC_1'</f>
        <v>36.54</v>
      </c>
      <c r="T209" s="2">
        <f xml:space="preserve"> [3]!'TSE,00865B,BID'</f>
        <v>36.409999999999997</v>
      </c>
      <c r="U209" s="2">
        <f xml:space="preserve"> [3]!'TSE,00865B,ASK'</f>
        <v>36.54</v>
      </c>
      <c r="V209" s="2">
        <f t="shared" si="7"/>
        <v>36.54</v>
      </c>
    </row>
    <row r="210" spans="1:24">
      <c r="A210" s="3" t="s">
        <v>1286</v>
      </c>
      <c r="B210" s="2" t="s">
        <v>1450</v>
      </c>
      <c r="C210" s="2">
        <v>37.93</v>
      </c>
      <c r="E210" s="7" t="s">
        <v>1115</v>
      </c>
      <c r="F210" s="7" t="s">
        <v>1116</v>
      </c>
      <c r="G210" s="8">
        <f xml:space="preserve"> RTD("kgi.tw.der.pricertdserver.2014.1",,$A210 &amp; "_" &amp; $G$5 &amp; ":" &amp; $E210 &amp; "@" &amp; $F210)</f>
        <v>37.850999999999999</v>
      </c>
      <c r="H210" s="19">
        <f xml:space="preserve"> RTD("kgi.tw.der.pricertdserver.2014.1",,A210 &amp;":"&amp; E210 &amp;"@" &amp; F210)</f>
        <v>37.832500000000003</v>
      </c>
      <c r="I210" s="8">
        <f xml:space="preserve"> RTD("kgi.tw.der.pricertdserver.2014.1",,$A210 &amp; "_" &amp; $I$4 &amp; ":" &amp; $E210 &amp; "@" &amp; $F210)</f>
        <v>-7.9228162514264338E+28</v>
      </c>
      <c r="J210" s="8">
        <f xml:space="preserve"> RTD("kgi.tw.der.pricertdserver.2014.1",,$A210 &amp; "_" &amp; $J$4 &amp; ":" &amp; $E210 &amp; "@" &amp; $F210)</f>
        <v>-7.9228162514264338E+28</v>
      </c>
      <c r="K210" s="7" t="str">
        <f>RTD("kgi.tw.der.pricertdserver.2014.1",,A210 &amp; "_Time" &amp; ":" &amp; E210 &amp; "@" &amp; F210)</f>
        <v>20210514_132945000</v>
      </c>
      <c r="L210" s="45">
        <f t="shared" si="6"/>
        <v>37.832500000000003</v>
      </c>
      <c r="M210" s="43">
        <f>VLOOKUP($A210,XQKGIAP!$A:$I,9,FALSE)</f>
        <v>37.83</v>
      </c>
      <c r="N210" s="43">
        <f xml:space="preserve"> [3]!'TSE,00867B,ADJUST_CLS'</f>
        <v>37.85</v>
      </c>
      <c r="O210" s="2">
        <f xml:space="preserve"> [3]!'TSE,00867B,HST_CLOSE'</f>
        <v>0</v>
      </c>
      <c r="P210" s="2">
        <f xml:space="preserve"> [3]!'TSE,00867B,OPEN_PRC'</f>
        <v>37.93</v>
      </c>
      <c r="Q210" s="2">
        <f xml:space="preserve"> [3]!'TSE,00867B,HIGH_1'</f>
        <v>37.93</v>
      </c>
      <c r="R210" s="2">
        <f xml:space="preserve"> [3]!'TSE,00867B,LOW_1'</f>
        <v>37.93</v>
      </c>
      <c r="S210" s="2">
        <f xml:space="preserve"> [3]!'TSE,00867B,TRDPRC_1'</f>
        <v>37.93</v>
      </c>
      <c r="T210" s="2">
        <f xml:space="preserve"> [3]!'TSE,00867B,BID'</f>
        <v>37.770000000000003</v>
      </c>
      <c r="U210" s="2">
        <f xml:space="preserve"> [3]!'TSE,00867B,ASK'</f>
        <v>37.97</v>
      </c>
      <c r="V210" s="2">
        <f t="shared" si="7"/>
        <v>37.93</v>
      </c>
    </row>
    <row r="211" spans="1:24">
      <c r="A211" s="3" t="s">
        <v>1313</v>
      </c>
      <c r="E211" s="7" t="s">
        <v>1115</v>
      </c>
      <c r="F211" s="7" t="s">
        <v>1116</v>
      </c>
      <c r="G211" s="8" t="e">
        <f xml:space="preserve"> RTD("kgi.tw.der.pricertdserver.2014.1",,$A211 &amp; "_" &amp; $G$5 &amp; ":" &amp; $E211 &amp; "@" &amp; $F211)</f>
        <v>#N/A</v>
      </c>
      <c r="H211" s="19" t="e">
        <f xml:space="preserve"> RTD("kgi.tw.der.pricertdserver.2014.1",,A211 &amp;":"&amp; E211 &amp;"@" &amp; F211)</f>
        <v>#N/A</v>
      </c>
      <c r="I211" s="8" t="e">
        <f xml:space="preserve"> RTD("kgi.tw.der.pricertdserver.2014.1",,$A211 &amp; "_" &amp; $I$4 &amp; ":" &amp; $E211 &amp; "@" &amp; $F211)</f>
        <v>#N/A</v>
      </c>
      <c r="J211" s="8" t="e">
        <f xml:space="preserve"> RTD("kgi.tw.der.pricertdserver.2014.1",,$A211 &amp; "_" &amp; $J$4 &amp; ":" &amp; $E211 &amp; "@" &amp; $F211)</f>
        <v>#N/A</v>
      </c>
      <c r="K211" s="7" t="e">
        <f>RTD("kgi.tw.der.pricertdserver.2014.1",,A211 &amp; "_Time" &amp; ":" &amp; E211 &amp; "@" &amp; F211)</f>
        <v>#N/A</v>
      </c>
      <c r="L211" s="45" t="e">
        <f t="shared" si="6"/>
        <v>#N/A</v>
      </c>
      <c r="M211" s="43" t="e">
        <f>VLOOKUP($A211,XQKGIAP!$A:$I,9,FALSE)</f>
        <v>#N/A</v>
      </c>
      <c r="N211" s="43">
        <f xml:space="preserve"> [3]!'TSE,00868B,ADJUST_CLS'</f>
        <v>0</v>
      </c>
      <c r="O211" s="2">
        <f xml:space="preserve"> [3]!'TSE,00868B,HST_CLOSE'</f>
        <v>0</v>
      </c>
      <c r="P211" s="2">
        <f xml:space="preserve"> [3]!'TSE,00868B,OPEN_PRC'</f>
        <v>0</v>
      </c>
      <c r="Q211" s="2">
        <f xml:space="preserve"> [3]!'TSE,00868B,HIGH_1'</f>
        <v>0</v>
      </c>
      <c r="R211" s="2">
        <f xml:space="preserve"> [3]!'TSE,00868B,LOW_1'</f>
        <v>0</v>
      </c>
      <c r="S211" s="2">
        <f xml:space="preserve"> [3]!'TSE,00868B,TRDPRC_1'</f>
        <v>0</v>
      </c>
      <c r="T211" s="2">
        <f xml:space="preserve"> [3]!'TSE,00868B,BID'</f>
        <v>0</v>
      </c>
      <c r="U211" s="2">
        <f xml:space="preserve"> [3]!'TSE,00868B,ASK'</f>
        <v>0</v>
      </c>
      <c r="V211" s="2">
        <f t="shared" si="7"/>
        <v>0</v>
      </c>
    </row>
    <row r="212" spans="1:24">
      <c r="A212" s="3" t="s">
        <v>1314</v>
      </c>
      <c r="B212" s="2" t="s">
        <v>1624</v>
      </c>
      <c r="C212" s="2">
        <v>36.44</v>
      </c>
      <c r="E212" s="7" t="s">
        <v>1115</v>
      </c>
      <c r="F212" s="7" t="s">
        <v>1116</v>
      </c>
      <c r="G212" s="8">
        <f xml:space="preserve"> RTD("kgi.tw.der.pricertdserver.2014.1",,$A212 &amp; "_" &amp; $G$5 &amp; ":" &amp; $E212 &amp; "@" &amp; $F212)</f>
        <v>36.44</v>
      </c>
      <c r="H212" s="19">
        <f>M212</f>
        <v>36.450000000000003</v>
      </c>
      <c r="I212" s="8">
        <f xml:space="preserve"> RTD("kgi.tw.der.pricertdserver.2014.1",,$A212 &amp; "_" &amp; $I$4 &amp; ":" &amp; $E212 &amp; "@" &amp; $F212)</f>
        <v>-7.9228162514264338E+28</v>
      </c>
      <c r="J212" s="8">
        <f xml:space="preserve"> RTD("kgi.tw.der.pricertdserver.2014.1",,$A212 &amp; "_" &amp; $J$4 &amp; ":" &amp; $E212 &amp; "@" &amp; $F212)</f>
        <v>-7.9228162514264338E+28</v>
      </c>
      <c r="K212" s="7" t="str">
        <f>RTD("kgi.tw.der.pricertdserver.2014.1",,A212 &amp; "_Time" &amp; ":" &amp; E212 &amp; "@" &amp; F212)</f>
        <v>20210514_132946000</v>
      </c>
      <c r="L212" s="45">
        <f t="shared" si="6"/>
        <v>36.450000000000003</v>
      </c>
      <c r="M212" s="43">
        <f>VLOOKUP($A212,XQKGIAP!$A:$I,9,FALSE)</f>
        <v>36.450000000000003</v>
      </c>
      <c r="N212" s="43">
        <f xml:space="preserve"> [3]!'TSE,00869B,ADJUST_CLS'</f>
        <v>36.44</v>
      </c>
      <c r="O212" s="2">
        <f xml:space="preserve"> [3]!'TSE,00869B,HST_CLOSE'</f>
        <v>0</v>
      </c>
      <c r="P212" s="2">
        <f xml:space="preserve"> [3]!'TSE,00869B,OPEN_PRC'</f>
        <v>36.42</v>
      </c>
      <c r="Q212" s="2">
        <f xml:space="preserve"> [3]!'TSE,00869B,HIGH_1'</f>
        <v>36.44</v>
      </c>
      <c r="R212" s="2">
        <f xml:space="preserve"> [3]!'TSE,00869B,LOW_1'</f>
        <v>36.42</v>
      </c>
      <c r="S212" s="2">
        <f xml:space="preserve"> [3]!'TSE,00869B,TRDPRC_1'</f>
        <v>36.44</v>
      </c>
      <c r="T212" s="2">
        <f xml:space="preserve"> [3]!'TSE,00869B,BID'</f>
        <v>36.380000000000003</v>
      </c>
      <c r="U212" s="2">
        <f xml:space="preserve"> [3]!'TSE,00869B,ASK'</f>
        <v>36.49</v>
      </c>
      <c r="V212" s="2">
        <f t="shared" si="7"/>
        <v>36.44</v>
      </c>
    </row>
    <row r="213" spans="1:24" ht="15.75" customHeight="1">
      <c r="A213" s="3" t="s">
        <v>1317</v>
      </c>
      <c r="B213" s="2" t="s">
        <v>1451</v>
      </c>
      <c r="C213" s="2">
        <v>36.97</v>
      </c>
      <c r="E213" s="7" t="s">
        <v>1115</v>
      </c>
      <c r="F213" s="7" t="s">
        <v>1116</v>
      </c>
      <c r="G213" s="8">
        <f xml:space="preserve"> RTD("kgi.tw.der.pricertdserver.2014.1",,$A213 &amp; "_" &amp; $G$5 &amp; ":" &amp; $E213 &amp; "@" &amp; $F213)</f>
        <v>36.991500000000002</v>
      </c>
      <c r="H213" s="19">
        <f>M213</f>
        <v>37.03</v>
      </c>
      <c r="I213" s="8">
        <f xml:space="preserve"> RTD("kgi.tw.der.pricertdserver.2014.1",,$A213 &amp; "_" &amp; $I$4 &amp; ":" &amp; $E213 &amp; "@" &amp; $F213)</f>
        <v>-7.9228162514264338E+28</v>
      </c>
      <c r="J213" s="8">
        <f xml:space="preserve"> RTD("kgi.tw.der.pricertdserver.2014.1",,$A213 &amp; "_" &amp; $J$4 &amp; ":" &amp; $E213 &amp; "@" &amp; $F213)</f>
        <v>-7.9228162514264338E+28</v>
      </c>
      <c r="K213" s="7" t="str">
        <f>RTD("kgi.tw.der.pricertdserver.2014.1",,A213 &amp; "_Time" &amp; ":" &amp; E213 &amp; "@" &amp; F213)</f>
        <v>20210514_132945000</v>
      </c>
      <c r="L213" s="45">
        <f t="shared" si="6"/>
        <v>37.03</v>
      </c>
      <c r="M213" s="43">
        <f>VLOOKUP($A213,XQKGIAP!$A:$I,9,FALSE)</f>
        <v>37.03</v>
      </c>
      <c r="N213" s="43">
        <f xml:space="preserve"> [3]!'TSE,00870B,ADJUST_CLS'</f>
        <v>37.090000000000003</v>
      </c>
      <c r="O213" s="43">
        <f xml:space="preserve"> [3]!'TSE,00870B,HST_CLOSE'</f>
        <v>0</v>
      </c>
      <c r="P213" s="43">
        <f xml:space="preserve"> [3]!'TSE,00870B,OPEN_PRC'</f>
        <v>37</v>
      </c>
      <c r="Q213" s="43">
        <f xml:space="preserve"> [3]!'TSE,00870B,HIGH_1'</f>
        <v>37</v>
      </c>
      <c r="R213" s="43">
        <f xml:space="preserve"> [3]!'TSE,00870B,LOW_1'</f>
        <v>36.85</v>
      </c>
      <c r="S213" s="43">
        <f xml:space="preserve"> [3]!'TSE,00870B,TRDPRC_1'</f>
        <v>36.97</v>
      </c>
      <c r="T213" s="43">
        <f xml:space="preserve"> [3]!'TSE,00870B,BID'</f>
        <v>36.880000000000003</v>
      </c>
      <c r="U213" s="43">
        <f xml:space="preserve"> [3]!'TSE,00870B,ASK'</f>
        <v>36.97</v>
      </c>
      <c r="V213" s="2">
        <f t="shared" si="7"/>
        <v>36.97</v>
      </c>
    </row>
    <row r="214" spans="1:24">
      <c r="A214" s="3" t="s">
        <v>1318</v>
      </c>
      <c r="B214" s="2" t="s">
        <v>1625</v>
      </c>
      <c r="C214" s="2">
        <v>37.6</v>
      </c>
      <c r="E214" s="7" t="s">
        <v>1115</v>
      </c>
      <c r="F214" s="7" t="s">
        <v>1116</v>
      </c>
      <c r="G214" s="8">
        <f xml:space="preserve"> RTD("kgi.tw.der.pricertdserver.2014.1",,$A214 &amp; "_" &amp; $G$5 &amp; ":" &amp; $E214 &amp; "@" &amp; $F214)</f>
        <v>37.57</v>
      </c>
      <c r="H214" s="19">
        <f xml:space="preserve"> RTD("kgi.tw.der.pricertdserver.2014.1",,A214 &amp;":"&amp; E214 &amp;"@" &amp; F214)</f>
        <v>37.54</v>
      </c>
      <c r="I214" s="8">
        <f xml:space="preserve"> RTD("kgi.tw.der.pricertdserver.2014.1",,$A214 &amp; "_" &amp; $I$4 &amp; ":" &amp; $E214 &amp; "@" &amp; $F214)</f>
        <v>-7.9228162514264338E+28</v>
      </c>
      <c r="J214" s="8">
        <f xml:space="preserve"> RTD("kgi.tw.der.pricertdserver.2014.1",,$A214 &amp; "_" &amp; $J$4 &amp; ":" &amp; $E214 &amp; "@" &amp; $F214)</f>
        <v>-7.9228162514264338E+28</v>
      </c>
      <c r="K214" s="7" t="str">
        <f>RTD("kgi.tw.der.pricertdserver.2014.1",,A214 &amp; "_Time" &amp; ":" &amp; E214 &amp; "@" &amp; F214)</f>
        <v>20210514_132942000</v>
      </c>
      <c r="L214" s="45">
        <f t="shared" si="6"/>
        <v>37.54</v>
      </c>
      <c r="M214" s="43">
        <f>VLOOKUP($A214,XQKGIAP!$A:$I,9,FALSE)</f>
        <v>37.56</v>
      </c>
      <c r="N214" s="45">
        <f xml:space="preserve"> [3]!'TSE,00872B,ADJUST_CLS'</f>
        <v>37.53</v>
      </c>
      <c r="O214" s="45">
        <f xml:space="preserve"> [3]!'TSE,00872B,HST_CLOSE'</f>
        <v>0</v>
      </c>
      <c r="P214" s="45">
        <f xml:space="preserve"> [3]!'TSE,00872B,OPEN_PRC'</f>
        <v>37.6</v>
      </c>
      <c r="Q214" s="45">
        <f xml:space="preserve"> [3]!'TSE,00872B,HIGH_1'</f>
        <v>37.6</v>
      </c>
      <c r="R214" s="45">
        <f xml:space="preserve"> [3]!'TSE,00872B,LOW_1'</f>
        <v>37.6</v>
      </c>
      <c r="S214" s="45">
        <f xml:space="preserve"> [3]!'TSE,00872B,TRDPRC_1'</f>
        <v>37.6</v>
      </c>
      <c r="T214" s="45">
        <f xml:space="preserve"> [3]!'TSE,00872B,BID'</f>
        <v>37.49</v>
      </c>
      <c r="U214" s="45">
        <f xml:space="preserve"> [3]!'TSE,00872B,ASK'</f>
        <v>37.6</v>
      </c>
      <c r="V214" s="2">
        <f t="shared" si="7"/>
        <v>37.6</v>
      </c>
      <c r="X214" s="3"/>
    </row>
    <row r="215" spans="1:24">
      <c r="A215" s="3" t="s">
        <v>1358</v>
      </c>
      <c r="B215" s="2" t="s">
        <v>1456</v>
      </c>
      <c r="C215" s="2">
        <v>29.48</v>
      </c>
      <c r="E215" s="7" t="s">
        <v>1115</v>
      </c>
      <c r="F215" s="7" t="s">
        <v>1116</v>
      </c>
      <c r="G215" s="8">
        <f xml:space="preserve"> RTD("kgi.tw.der.pricertdserver.2014.1",,$A215 &amp; "_" &amp; $G$5 &amp; ":" &amp; $E215 &amp; "@" &amp; $F215)</f>
        <v>29.33</v>
      </c>
      <c r="H215" s="19">
        <f xml:space="preserve"> RTD("kgi.tw.der.pricertdserver.2014.1",,A215 &amp;":"&amp; E215 &amp;"@" &amp; F215)</f>
        <v>29.37</v>
      </c>
      <c r="I215" s="8">
        <f xml:space="preserve"> RTD("kgi.tw.der.pricertdserver.2014.1",,$A215 &amp; "_" &amp; $I$4 &amp; ":" &amp; $E215 &amp; "@" &amp; $F215)</f>
        <v>-7.9228162514264338E+28</v>
      </c>
      <c r="J215" s="8">
        <f xml:space="preserve"> RTD("kgi.tw.der.pricertdserver.2014.1",,$A215 &amp; "_" &amp; $J$4 &amp; ":" &amp; $E215 &amp; "@" &amp; $F215)</f>
        <v>-7.9228162514264338E+28</v>
      </c>
      <c r="K215" s="7" t="str">
        <f>RTD("kgi.tw.der.pricertdserver.2014.1",,A215 &amp; "_Time" &amp; ":" &amp; E215 &amp; "@" &amp; F215)</f>
        <v>20210514_132944000</v>
      </c>
      <c r="L215" s="45">
        <f t="shared" si="6"/>
        <v>29.37</v>
      </c>
      <c r="M215" s="43">
        <f>VLOOKUP($A215,XQKGIAP!$A:$I,9,FALSE)</f>
        <v>29.4</v>
      </c>
      <c r="N215" s="43">
        <f xml:space="preserve"> [3]!'TSE,00875,ADJUST_CLS'</f>
        <v>29.29</v>
      </c>
      <c r="O215" s="43">
        <f xml:space="preserve"> [3]!'TSE,00875,HST_CLOSE'</f>
        <v>0</v>
      </c>
      <c r="P215" s="43">
        <f xml:space="preserve"> [3]!'TSE,00875,OPEN_PRC'</f>
        <v>29.3</v>
      </c>
      <c r="Q215" s="43">
        <f xml:space="preserve"> [3]!'TSE,00875,HIGH_1'</f>
        <v>29.5</v>
      </c>
      <c r="R215" s="43">
        <f xml:space="preserve"> [3]!'TSE,00875,LOW_1'</f>
        <v>29.3</v>
      </c>
      <c r="S215" s="43">
        <f xml:space="preserve"> [3]!'TSE,00875,TRDPRC_1'</f>
        <v>29.48</v>
      </c>
      <c r="T215" s="43">
        <f xml:space="preserve"> [3]!'TSE,00875,BID'</f>
        <v>29.45</v>
      </c>
      <c r="U215" s="43">
        <f xml:space="preserve"> [3]!'TSE,00875,ASK'</f>
        <v>29.48</v>
      </c>
      <c r="V215" s="2">
        <f t="shared" si="7"/>
        <v>29.48</v>
      </c>
      <c r="X215" s="3"/>
    </row>
    <row r="216" spans="1:24">
      <c r="A216" s="3" t="s">
        <v>1427</v>
      </c>
      <c r="B216" s="2" t="s">
        <v>1452</v>
      </c>
      <c r="C216" s="2">
        <v>26.96</v>
      </c>
      <c r="E216" s="7" t="s">
        <v>1115</v>
      </c>
      <c r="F216" s="7" t="s">
        <v>1116</v>
      </c>
      <c r="G216" s="8">
        <f xml:space="preserve"> RTD("kgi.tw.der.pricertdserver.2014.1",,$A216 &amp; "_" &amp; $G$5 &amp; ":" &amp; $E216 &amp; "@" &amp; $F216)</f>
        <v>26.6</v>
      </c>
      <c r="H216" s="19">
        <f xml:space="preserve"> RTD("kgi.tw.der.pricertdserver.2014.1",,A216 &amp;":"&amp; E216 &amp;"@" &amp; F216)</f>
        <v>26.92</v>
      </c>
      <c r="I216" s="8">
        <f xml:space="preserve"> RTD("kgi.tw.der.pricertdserver.2014.1",,$A216 &amp; "_" &amp; $I$4 &amp; ":" &amp; $E216 &amp; "@" &amp; $F216)</f>
        <v>-7.9228162514264338E+28</v>
      </c>
      <c r="J216" s="8">
        <f xml:space="preserve"> RTD("kgi.tw.der.pricertdserver.2014.1",,$A216 &amp; "_" &amp; $J$4 &amp; ":" &amp; $E216 &amp; "@" &amp; $F216)</f>
        <v>-7.9228162514264338E+28</v>
      </c>
      <c r="K216" s="7" t="str">
        <f>RTD("kgi.tw.der.pricertdserver.2014.1",,A216 &amp; "_Time" &amp; ":" &amp; E216 &amp; "@" &amp; F216)</f>
        <v>20210514_132945000</v>
      </c>
      <c r="L216" s="45">
        <f t="shared" si="6"/>
        <v>26.92</v>
      </c>
      <c r="M216" s="43">
        <f>VLOOKUP($A216,XQKGIAP!$A:$I,9,FALSE)</f>
        <v>26.94</v>
      </c>
      <c r="N216" s="43">
        <f xml:space="preserve"> [3]!'TSE,00876,ADJUST_CLS'</f>
        <v>26.55</v>
      </c>
      <c r="O216" s="43">
        <f xml:space="preserve"> [3]!'TSE,00876,HST_CLOSE'</f>
        <v>0</v>
      </c>
      <c r="P216" s="43">
        <f xml:space="preserve"> [3]!'TSE,00876,OPEN_PRC'</f>
        <v>26.73</v>
      </c>
      <c r="Q216" s="43">
        <f xml:space="preserve"> [3]!'TSE,00876,HIGH_1'</f>
        <v>27.1</v>
      </c>
      <c r="R216" s="43">
        <f xml:space="preserve"> [3]!'TSE,00876,LOW_1'</f>
        <v>26.73</v>
      </c>
      <c r="S216" s="43">
        <f xml:space="preserve"> [3]!'TSE,00876,TRDPRC_1'</f>
        <v>26.96</v>
      </c>
      <c r="T216" s="43">
        <f xml:space="preserve"> [3]!'TSE,00876,BID'</f>
        <v>26.95</v>
      </c>
      <c r="U216" s="43">
        <f xml:space="preserve"> [3]!'TSE,00876,ASK'</f>
        <v>26.96</v>
      </c>
      <c r="V216" s="2">
        <f t="shared" si="7"/>
        <v>26.96</v>
      </c>
      <c r="X216" s="3"/>
    </row>
    <row r="217" spans="1:24">
      <c r="A217" s="3" t="s">
        <v>1429</v>
      </c>
      <c r="B217" s="2" t="s">
        <v>1626</v>
      </c>
      <c r="C217" s="2">
        <v>18.05</v>
      </c>
      <c r="E217" s="7" t="s">
        <v>1115</v>
      </c>
      <c r="F217" s="7" t="s">
        <v>1116</v>
      </c>
      <c r="G217" s="8">
        <f xml:space="preserve"> RTD("kgi.tw.der.pricertdserver.2014.1",,$A217 &amp; "_" &amp; $G$5 &amp; ":" &amp; $E217 &amp; "@" &amp; $F217)</f>
        <v>17.767545244456191</v>
      </c>
      <c r="H217" s="19">
        <f xml:space="preserve"> RTD("kgi.tw.der.pricertdserver.2014.1",,A217 &amp;":"&amp; E217 &amp;"@" &amp; F217)</f>
        <v>17.935389439624654</v>
      </c>
      <c r="I217" s="8">
        <f xml:space="preserve"> RTD("kgi.tw.der.pricertdserver.2014.1",,$A217 &amp; "_" &amp; $I$4 &amp; ":" &amp; $E217 &amp; "@" &amp; $F217)</f>
        <v>17.914769028311415</v>
      </c>
      <c r="J217" s="8">
        <f xml:space="preserve"> RTD("kgi.tw.der.pricertdserver.2014.1",,$A217 &amp; "_" &amp; $J$4 &amp; ":" &amp; $E217 &amp; "@" &amp; $F217)</f>
        <v>17.950923712581069</v>
      </c>
      <c r="K217" s="7" t="str">
        <f>RTD("kgi.tw.der.pricertdserver.2014.1",,A217 &amp; "_Time" &amp; ":" &amp; E217 &amp; "@" &amp; F217)</f>
        <v>20210514_151459304</v>
      </c>
      <c r="L217" s="45">
        <f t="shared" si="6"/>
        <v>17.935389439624654</v>
      </c>
      <c r="M217" s="43">
        <f>VLOOKUP($A217,XQKGIAP!$A:$I,9,FALSE)</f>
        <v>17.940000000000001</v>
      </c>
      <c r="N217" s="45">
        <f xml:space="preserve"> [3]!'TSE,00878,ADJUST_CLS'</f>
        <v>17.829999999999998</v>
      </c>
      <c r="O217" s="45">
        <f xml:space="preserve"> [3]!'TSE,00878,HST_CLOSE'</f>
        <v>0</v>
      </c>
      <c r="P217" s="45">
        <f xml:space="preserve"> [3]!'TSE,00878,OPEN_PRC'</f>
        <v>18</v>
      </c>
      <c r="Q217" s="45">
        <f xml:space="preserve"> [3]!'TSE,00878,HIGH_1'</f>
        <v>18.239999999999998</v>
      </c>
      <c r="R217" s="45">
        <f xml:space="preserve"> [3]!'TSE,00878,LOW_1'</f>
        <v>17.96</v>
      </c>
      <c r="S217" s="45">
        <f xml:space="preserve"> [3]!'TSE,00878,TRDPRC_1'</f>
        <v>18.05</v>
      </c>
      <c r="T217" s="45">
        <f xml:space="preserve"> [3]!'TSE,00878,BID'</f>
        <v>18.04</v>
      </c>
      <c r="U217" s="45">
        <f xml:space="preserve"> [3]!'TSE,00878,ASK'</f>
        <v>18.05</v>
      </c>
      <c r="V217" s="2">
        <f t="shared" si="7"/>
        <v>18.05</v>
      </c>
      <c r="X217" s="3"/>
    </row>
    <row r="218" spans="1:24">
      <c r="A218" s="3" t="s">
        <v>1797</v>
      </c>
      <c r="B218" s="2" t="s">
        <v>2614</v>
      </c>
      <c r="C218" s="2">
        <v>36.799999999999997</v>
      </c>
      <c r="E218" s="7" t="s">
        <v>1115</v>
      </c>
      <c r="F218" s="7" t="s">
        <v>1116</v>
      </c>
      <c r="G218" s="8">
        <f xml:space="preserve"> RTD("kgi.tw.der.pricertdserver.2014.1",,$A218 &amp; "_" &amp; $G$5 &amp; ":" &amp; $E218 &amp; "@" &amp; $F218)</f>
        <v>37.229999999999997</v>
      </c>
      <c r="H218" s="19">
        <f xml:space="preserve"> RTD("kgi.tw.der.pricertdserver.2014.1",,A218 &amp;":"&amp; E218 &amp;"@" &amp; F218)</f>
        <v>37.196399999999997</v>
      </c>
      <c r="I218" s="8">
        <f xml:space="preserve"> RTD("kgi.tw.der.pricertdserver.2014.1",,$A218 &amp; "_" &amp; $I$4 &amp; ":" &amp; $E218 &amp; "@" &amp; $F218)</f>
        <v>-7.9228162514264338E+28</v>
      </c>
      <c r="J218" s="8">
        <f xml:space="preserve"> RTD("kgi.tw.der.pricertdserver.2014.1",,$A218 &amp; "_" &amp; $J$4 &amp; ":" &amp; $E218 &amp; "@" &amp; $F218)</f>
        <v>-7.9228162514264338E+28</v>
      </c>
      <c r="K218" s="7" t="str">
        <f>RTD("kgi.tw.der.pricertdserver.2014.1",,A218 &amp; "_Time" &amp; ":" &amp; E218 &amp; "@" &amp; F218)</f>
        <v>20210514_132953000</v>
      </c>
      <c r="L218" s="45">
        <f t="shared" si="6"/>
        <v>37.196399999999997</v>
      </c>
      <c r="M218" s="43">
        <f>VLOOKUP($A218,XQKGIAP!$A:$I,9,FALSE)</f>
        <v>37.229999999999997</v>
      </c>
      <c r="N218" s="43">
        <f xml:space="preserve"> [3]!'TSE,00879B,ADJUST_CLS'</f>
        <v>36.799999999999997</v>
      </c>
      <c r="O218" s="2">
        <f xml:space="preserve"> [3]!'TSE,00879B,HST_CLOSE'</f>
        <v>0</v>
      </c>
      <c r="P218" s="2">
        <f xml:space="preserve"> [3]!'TSE,00879B,OPEN_PRC'</f>
        <v>36.799999999999997</v>
      </c>
      <c r="Q218" s="2">
        <f xml:space="preserve"> [3]!'TSE,00879B,HIGH_1'</f>
        <v>36.799999999999997</v>
      </c>
      <c r="R218" s="2">
        <f xml:space="preserve"> [3]!'TSE,00879B,LOW_1'</f>
        <v>36.799999999999997</v>
      </c>
      <c r="S218" s="2">
        <f xml:space="preserve"> [3]!'TSE,00879B,TRDPRC_1'</f>
        <v>36.799999999999997</v>
      </c>
      <c r="T218" s="2">
        <f xml:space="preserve"> [3]!'TSE,00879B,BID'</f>
        <v>36.630000000000003</v>
      </c>
      <c r="U218" s="2">
        <f xml:space="preserve"> [3]!'TSE,00879B,ASK'</f>
        <v>36.9</v>
      </c>
      <c r="V218" s="2">
        <f t="shared" si="7"/>
        <v>36.799999999999997</v>
      </c>
    </row>
    <row r="219" spans="1:24">
      <c r="A219" s="3" t="s">
        <v>1798</v>
      </c>
      <c r="B219" s="2" t="s">
        <v>2615</v>
      </c>
      <c r="C219" s="2">
        <v>34</v>
      </c>
      <c r="E219" s="7" t="s">
        <v>1115</v>
      </c>
      <c r="F219" s="7" t="s">
        <v>1116</v>
      </c>
      <c r="G219" s="8">
        <f xml:space="preserve"> RTD("kgi.tw.der.pricertdserver.2014.1",,$A219 &amp; "_" &amp; $G$5 &amp; ":" &amp; $E219 &amp; "@" &amp; $F219)</f>
        <v>34.43</v>
      </c>
      <c r="H219" s="19">
        <f xml:space="preserve"> RTD("kgi.tw.der.pricertdserver.2014.1",,A219 &amp;":"&amp; E219 &amp;"@" &amp; F219)</f>
        <v>34.303899999999999</v>
      </c>
      <c r="I219" s="8">
        <f xml:space="preserve"> RTD("kgi.tw.der.pricertdserver.2014.1",,$A219 &amp; "_" &amp; $I$4 &amp; ":" &amp; $E219 &amp; "@" &amp; $F219)</f>
        <v>-7.9228162514264338E+28</v>
      </c>
      <c r="J219" s="8">
        <f xml:space="preserve"> RTD("kgi.tw.der.pricertdserver.2014.1",,$A219 &amp; "_" &amp; $J$4 &amp; ":" &amp; $E219 &amp; "@" &amp; $F219)</f>
        <v>-7.9228162514264338E+28</v>
      </c>
      <c r="K219" s="7" t="str">
        <f>RTD("kgi.tw.der.pricertdserver.2014.1",,A219 &amp; "_Time" &amp; ":" &amp; E219 &amp; "@" &amp; F219)</f>
        <v>20210514_132953000</v>
      </c>
      <c r="L219" s="45">
        <f t="shared" si="6"/>
        <v>34.303899999999999</v>
      </c>
      <c r="M219" s="43">
        <f>VLOOKUP($A219,XQKGIAP!$A:$I,9,FALSE)</f>
        <v>34.42</v>
      </c>
      <c r="N219" s="43">
        <f xml:space="preserve"> [3]!'TSE,00880B,ADJUST_CLS'</f>
        <v>34.200000000000003</v>
      </c>
      <c r="O219" s="2">
        <f xml:space="preserve"> [3]!'TSE,00880B,HST_CLOSE'</f>
        <v>0</v>
      </c>
      <c r="P219" s="2">
        <f xml:space="preserve"> [3]!'TSE,00880B,OPEN_PRC'</f>
        <v>34.200000000000003</v>
      </c>
      <c r="Q219" s="2">
        <f xml:space="preserve"> [3]!'TSE,00880B,HIGH_1'</f>
        <v>34.200000000000003</v>
      </c>
      <c r="R219" s="2">
        <f xml:space="preserve"> [3]!'TSE,00880B,LOW_1'</f>
        <v>34</v>
      </c>
      <c r="S219" s="2">
        <f xml:space="preserve"> [3]!'TSE,00880B,TRDPRC_1'</f>
        <v>34</v>
      </c>
      <c r="T219" s="2">
        <f xml:space="preserve"> [3]!'TSE,00880B,BID'</f>
        <v>33.9</v>
      </c>
      <c r="U219" s="2">
        <f xml:space="preserve"> [3]!'TSE,00880B,ASK'</f>
        <v>34.409999999999997</v>
      </c>
      <c r="V219" s="2">
        <f t="shared" si="7"/>
        <v>34</v>
      </c>
    </row>
    <row r="220" spans="1:24">
      <c r="A220" s="3" t="s">
        <v>2354</v>
      </c>
      <c r="B220" s="2" t="s">
        <v>2356</v>
      </c>
      <c r="C220" s="2">
        <v>16.38</v>
      </c>
      <c r="E220" s="7" t="s">
        <v>1115</v>
      </c>
      <c r="F220" s="7" t="s">
        <v>1116</v>
      </c>
      <c r="G220" s="8">
        <f xml:space="preserve"> RTD("kgi.tw.der.pricertdserver.2014.1",,$A220 &amp; "_" &amp; $G$5 &amp; ":" &amp; $E220 &amp; "@" &amp; $F220)</f>
        <v>16.14</v>
      </c>
      <c r="H220" s="19">
        <f xml:space="preserve"> RTD("kgi.tw.der.pricertdserver.2014.1",,A220 &amp;":"&amp; E220 &amp;"@" &amp; F220)</f>
        <v>16.329999999999998</v>
      </c>
      <c r="I220" s="8">
        <f xml:space="preserve"> RTD("kgi.tw.der.pricertdserver.2014.1",,$A220 &amp; "_" &amp; $I$4 &amp; ":" &amp; $E220 &amp; "@" &amp; $F220)</f>
        <v>-7.9228162514264338E+28</v>
      </c>
      <c r="J220" s="8">
        <f xml:space="preserve"> RTD("kgi.tw.der.pricertdserver.2014.1",,$A220 &amp; "_" &amp; $J$4 &amp; ":" &amp; $E220 &amp; "@" &amp; $F220)</f>
        <v>-7.9228162514264338E+28</v>
      </c>
      <c r="K220" s="7" t="str">
        <f>RTD("kgi.tw.der.pricertdserver.2014.1",,A220 &amp; "_Time" &amp; ":" &amp; E220 &amp; "@" &amp; F220)</f>
        <v>20210514_132944000</v>
      </c>
      <c r="L220" s="45">
        <f t="shared" si="6"/>
        <v>16.329999999999998</v>
      </c>
      <c r="M220" s="43">
        <f>VLOOKUP($A220,XQKGIAP!$A:$I,9,FALSE)</f>
        <v>16.329999999999998</v>
      </c>
      <c r="N220" s="43">
        <f xml:space="preserve"> [3]!'TSE,00881,ADJUST_CLS'</f>
        <v>16.22</v>
      </c>
      <c r="O220" s="2">
        <f xml:space="preserve"> [3]!'TSE,00881,HST_CLOSE'</f>
        <v>0</v>
      </c>
      <c r="P220" s="2">
        <f xml:space="preserve"> [3]!'TSE,00881,OPEN_PRC'</f>
        <v>16.440000000000001</v>
      </c>
      <c r="Q220" s="2">
        <f xml:space="preserve"> [3]!'TSE,00881,HIGH_1'</f>
        <v>16.64</v>
      </c>
      <c r="R220" s="2">
        <f xml:space="preserve"> [3]!'TSE,00881,LOW_1'</f>
        <v>16.3</v>
      </c>
      <c r="S220" s="2">
        <f xml:space="preserve"> [3]!'TSE,00881,TRDPRC_1'</f>
        <v>16.38</v>
      </c>
      <c r="T220" s="2">
        <f xml:space="preserve"> [3]!'TSE,00881,BID'</f>
        <v>16.38</v>
      </c>
      <c r="U220" s="2">
        <f xml:space="preserve"> [3]!'TSE,00881,ASK'</f>
        <v>16.39</v>
      </c>
      <c r="V220" s="2">
        <f t="shared" si="7"/>
        <v>16.38</v>
      </c>
    </row>
    <row r="221" spans="1:24">
      <c r="A221" s="3" t="s">
        <v>2477</v>
      </c>
      <c r="B221" s="2" t="s">
        <v>2616</v>
      </c>
      <c r="C221" s="2">
        <v>15.9</v>
      </c>
      <c r="E221" s="7" t="s">
        <v>1115</v>
      </c>
      <c r="F221" s="7" t="s">
        <v>1116</v>
      </c>
      <c r="G221" s="8">
        <f xml:space="preserve"> RTD("kgi.tw.der.pricertdserver.2014.1",,$A221 &amp; "_" &amp; $G$5 &amp; ":" &amp; $E221 &amp; "@" &amp; $F221)</f>
        <v>15.84</v>
      </c>
      <c r="H221" s="19">
        <f xml:space="preserve"> RTD("kgi.tw.der.pricertdserver.2014.1",,A221 &amp;":"&amp; E221 &amp;"@" &amp; F221)</f>
        <v>15.87</v>
      </c>
      <c r="I221" s="8">
        <f xml:space="preserve"> RTD("kgi.tw.der.pricertdserver.2014.1",,$A221 &amp; "_" &amp; $I$4 &amp; ":" &amp; $E221 &amp; "@" &amp; $F221)</f>
        <v>-7.9228162514264338E+28</v>
      </c>
      <c r="J221" s="8">
        <f xml:space="preserve"> RTD("kgi.tw.der.pricertdserver.2014.1",,$A221 &amp; "_" &amp; $J$4 &amp; ":" &amp; $E221 &amp; "@" &amp; $F221)</f>
        <v>-7.9228162514264338E+28</v>
      </c>
      <c r="K221" s="7" t="str">
        <f>RTD("kgi.tw.der.pricertdserver.2014.1",,A221 &amp; "_Time" &amp; ":" &amp; E221 &amp; "@" &amp; F221)</f>
        <v>20210514_132949000</v>
      </c>
      <c r="L221" s="45">
        <f t="shared" si="6"/>
        <v>15.87</v>
      </c>
      <c r="M221" s="43">
        <f>VLOOKUP($A221,XQKGIAP!$A:$I,9,FALSE)</f>
        <v>15.91</v>
      </c>
      <c r="N221" s="43">
        <f xml:space="preserve"> [3]!'TSE,00882,ADJUST_CLS'</f>
        <v>15.92</v>
      </c>
      <c r="O221" s="2">
        <f xml:space="preserve"> [3]!'TSE,00882,HST_CLOSE'</f>
        <v>0</v>
      </c>
      <c r="P221" s="2">
        <f xml:space="preserve"> [3]!'TSE,00882,OPEN_PRC'</f>
        <v>15.98</v>
      </c>
      <c r="Q221" s="2">
        <f xml:space="preserve"> [3]!'TSE,00882,HIGH_1'</f>
        <v>15.98</v>
      </c>
      <c r="R221" s="2">
        <f xml:space="preserve"> [3]!'TSE,00882,LOW_1'</f>
        <v>15.88</v>
      </c>
      <c r="S221" s="2">
        <f xml:space="preserve"> [3]!'TSE,00882,TRDPRC_1'</f>
        <v>15.9</v>
      </c>
      <c r="T221" s="2">
        <f xml:space="preserve"> [3]!'TSE,00882,BID'</f>
        <v>15.9</v>
      </c>
      <c r="U221" s="2">
        <f xml:space="preserve"> [3]!'TSE,00882,ASK'</f>
        <v>15.91</v>
      </c>
      <c r="V221" s="2">
        <f t="shared" si="7"/>
        <v>15.9</v>
      </c>
    </row>
    <row r="222" spans="1:24">
      <c r="A222" s="3" t="s">
        <v>2479</v>
      </c>
      <c r="B222" s="2" t="s">
        <v>2617</v>
      </c>
      <c r="C222" s="2">
        <v>37.42</v>
      </c>
      <c r="E222" s="7" t="s">
        <v>1115</v>
      </c>
      <c r="F222" s="7" t="s">
        <v>1116</v>
      </c>
      <c r="G222" s="8">
        <f xml:space="preserve"> RTD("kgi.tw.der.pricertdserver.2014.1",,$A222 &amp; "_" &amp; $G$5 &amp; ":" &amp; $E222 &amp; "@" &amp; $F222)</f>
        <v>37.4861</v>
      </c>
      <c r="H222" s="19">
        <f xml:space="preserve"> RTD("kgi.tw.der.pricertdserver.2014.1",,A222 &amp;":"&amp; E222 &amp;"@" &amp; F222)</f>
        <v>37.437199999999997</v>
      </c>
      <c r="I222" s="8">
        <f xml:space="preserve"> RTD("kgi.tw.der.pricertdserver.2014.1",,$A222 &amp; "_" &amp; $I$4 &amp; ":" &amp; $E222 &amp; "@" &amp; $F222)</f>
        <v>-7.9228162514264338E+28</v>
      </c>
      <c r="J222" s="8">
        <f xml:space="preserve"> RTD("kgi.tw.der.pricertdserver.2014.1",,$A222 &amp; "_" &amp; $J$4 &amp; ":" &amp; $E222 &amp; "@" &amp; $F222)</f>
        <v>-7.9228162514264338E+28</v>
      </c>
      <c r="K222" s="7" t="str">
        <f>RTD("kgi.tw.der.pricertdserver.2014.1",,A222 &amp; "_Time" &amp; ":" &amp; E222 &amp; "@" &amp; F222)</f>
        <v>20210514_132949000</v>
      </c>
      <c r="L222" s="45">
        <f t="shared" si="6"/>
        <v>37.437199999999997</v>
      </c>
      <c r="M222" s="43">
        <f>VLOOKUP($A222,XQKGIAP!$A:$I,9,FALSE)</f>
        <v>37.49</v>
      </c>
      <c r="N222" s="43">
        <f xml:space="preserve"> [3]!'TSE,00883B,ADJUST_CLS'</f>
        <v>37.21</v>
      </c>
      <c r="O222" s="2">
        <f xml:space="preserve"> [3]!'TSE,00883B,HST_CLOSE'</f>
        <v>0</v>
      </c>
      <c r="P222" s="2">
        <f xml:space="preserve"> [3]!'TSE,00883B,OPEN_PRC'</f>
        <v>37.409999999999997</v>
      </c>
      <c r="Q222" s="2">
        <f xml:space="preserve"> [3]!'TSE,00883B,HIGH_1'</f>
        <v>37.43</v>
      </c>
      <c r="R222" s="2">
        <f xml:space="preserve"> [3]!'TSE,00883B,LOW_1'</f>
        <v>37.409999999999997</v>
      </c>
      <c r="S222" s="2">
        <f xml:space="preserve"> [3]!'TSE,00883B,TRDPRC_1'</f>
        <v>37.42</v>
      </c>
      <c r="T222" s="2">
        <f xml:space="preserve"> [3]!'TSE,00883B,BID'</f>
        <v>37.42</v>
      </c>
      <c r="U222" s="2">
        <f xml:space="preserve"> [3]!'TSE,00883B,ASK'</f>
        <v>37.450000000000003</v>
      </c>
      <c r="V222" s="2">
        <f t="shared" si="7"/>
        <v>37.42</v>
      </c>
    </row>
    <row r="223" spans="1:24">
      <c r="A223" s="3" t="s">
        <v>2480</v>
      </c>
      <c r="B223" s="2" t="s">
        <v>2618</v>
      </c>
      <c r="C223" s="2">
        <v>37.49</v>
      </c>
      <c r="E223" s="7" t="s">
        <v>1115</v>
      </c>
      <c r="F223" s="7" t="s">
        <v>1116</v>
      </c>
      <c r="G223" s="8">
        <f xml:space="preserve"> RTD("kgi.tw.der.pricertdserver.2014.1",,$A223 &amp; "_" &amp; $G$5 &amp; ":" &amp; $E223 &amp; "@" &amp; $F223)</f>
        <v>37.534399999999998</v>
      </c>
      <c r="H223" s="19">
        <f xml:space="preserve"> RTD("kgi.tw.der.pricertdserver.2014.1",,A223 &amp;":"&amp; E223 &amp;"@" &amp; F223)</f>
        <v>37.515799999999999</v>
      </c>
      <c r="I223" s="8">
        <f xml:space="preserve"> RTD("kgi.tw.der.pricertdserver.2014.1",,$A223 &amp; "_" &amp; $I$4 &amp; ":" &amp; $E223 &amp; "@" &amp; $F223)</f>
        <v>-7.9228162514264338E+28</v>
      </c>
      <c r="J223" s="8">
        <f xml:space="preserve"> RTD("kgi.tw.der.pricertdserver.2014.1",,$A223 &amp; "_" &amp; $J$4 &amp; ":" &amp; $E223 &amp; "@" &amp; $F223)</f>
        <v>-7.9228162514264338E+28</v>
      </c>
      <c r="K223" s="7" t="str">
        <f>RTD("kgi.tw.der.pricertdserver.2014.1",,A223 &amp; "_Time" &amp; ":" &amp; E223 &amp; "@" &amp; F223)</f>
        <v>20210514_132949000</v>
      </c>
      <c r="L223" s="45">
        <f t="shared" si="6"/>
        <v>37.515799999999999</v>
      </c>
      <c r="M223" s="43">
        <f>VLOOKUP($A223,XQKGIAP!$A:$I,9,FALSE)</f>
        <v>37.57</v>
      </c>
      <c r="N223" s="43">
        <f xml:space="preserve"> [3]!'TSE,00884B,ADJUST_CLS'</f>
        <v>37.4</v>
      </c>
      <c r="O223" s="2">
        <f xml:space="preserve"> [3]!'TSE,00884B,HST_CLOSE'</f>
        <v>0</v>
      </c>
      <c r="P223" s="2">
        <f xml:space="preserve"> [3]!'TSE,00884B,OPEN_PRC'</f>
        <v>37.51</v>
      </c>
      <c r="Q223" s="2">
        <f xml:space="preserve"> [3]!'TSE,00884B,HIGH_1'</f>
        <v>37.57</v>
      </c>
      <c r="R223" s="2">
        <f xml:space="preserve"> [3]!'TSE,00884B,LOW_1'</f>
        <v>37.49</v>
      </c>
      <c r="S223" s="2">
        <f xml:space="preserve"> [3]!'TSE,00884B,TRDPRC_1'</f>
        <v>37.49</v>
      </c>
      <c r="T223" s="2">
        <f xml:space="preserve"> [3]!'TSE,00884B,BID'</f>
        <v>37.49</v>
      </c>
      <c r="U223" s="2">
        <f xml:space="preserve"> [3]!'TSE,00884B,ASK'</f>
        <v>37.5</v>
      </c>
      <c r="V223" s="2">
        <f t="shared" si="7"/>
        <v>37.49</v>
      </c>
    </row>
    <row r="224" spans="1:24">
      <c r="A224" s="3" t="s">
        <v>2608</v>
      </c>
      <c r="B224" s="2" t="s">
        <v>2619</v>
      </c>
      <c r="C224" s="2">
        <v>19.73</v>
      </c>
      <c r="E224" s="7" t="s">
        <v>1115</v>
      </c>
      <c r="F224" s="7" t="s">
        <v>1116</v>
      </c>
      <c r="G224" s="8">
        <f xml:space="preserve"> RTD("kgi.tw.der.pricertdserver.2014.1",,$A224 &amp; "_" &amp; $G$5 &amp; ":" &amp; $E224 &amp; "@" &amp; $F224)</f>
        <v>19.59</v>
      </c>
      <c r="H224" s="19">
        <f xml:space="preserve"> RTD("kgi.tw.der.pricertdserver.2014.1",,A224 &amp;":"&amp; E224 &amp;"@" &amp; F224)</f>
        <v>19.61</v>
      </c>
      <c r="I224" s="8">
        <f xml:space="preserve"> RTD("kgi.tw.der.pricertdserver.2014.1",,$A224 &amp; "_" &amp; $I$4 &amp; ":" &amp; $E224 &amp; "@" &amp; $F224)</f>
        <v>-7.9228162514264338E+28</v>
      </c>
      <c r="J224" s="8">
        <f xml:space="preserve"> RTD("kgi.tw.der.pricertdserver.2014.1",,$A224 &amp; "_" &amp; $J$4 &amp; ":" &amp; $E224 &amp; "@" &amp; $F224)</f>
        <v>-7.9228162514264338E+28</v>
      </c>
      <c r="K224" s="7" t="str">
        <f>RTD("kgi.tw.der.pricertdserver.2014.1",,A224 &amp; "_Time" &amp; ":" &amp; E224 &amp; "@" &amp; F224)</f>
        <v>20210514_132932000</v>
      </c>
      <c r="L224" s="45">
        <f t="shared" si="6"/>
        <v>19.61</v>
      </c>
      <c r="M224" s="43">
        <f>VLOOKUP($A224,XQKGIAP!$A:$I,9,FALSE)</f>
        <v>19.62</v>
      </c>
      <c r="N224" s="43">
        <f xml:space="preserve"> [3]!'TSE,00886,ADJUST_CLS'</f>
        <v>19.53</v>
      </c>
      <c r="O224" s="2">
        <f xml:space="preserve"> [3]!'TSE,00886,HST_CLOSE'</f>
        <v>0</v>
      </c>
      <c r="P224" s="2">
        <f xml:space="preserve"> [3]!'TSE,00886,OPEN_PRC'</f>
        <v>19.670000000000002</v>
      </c>
      <c r="Q224" s="2">
        <f xml:space="preserve"> [3]!'TSE,00886,HIGH_1'</f>
        <v>19.739999999999998</v>
      </c>
      <c r="R224" s="2">
        <f xml:space="preserve"> [3]!'TSE,00886,LOW_1'</f>
        <v>19.670000000000002</v>
      </c>
      <c r="S224" s="2">
        <f xml:space="preserve"> [3]!'TSE,00886,TRDPRC_1'</f>
        <v>19.73</v>
      </c>
      <c r="T224" s="2">
        <f xml:space="preserve"> [3]!'TSE,00886,BID'</f>
        <v>19.72</v>
      </c>
      <c r="U224" s="2">
        <f xml:space="preserve"> [3]!'TSE,00886,ASK'</f>
        <v>19.73</v>
      </c>
      <c r="V224" s="2">
        <f t="shared" si="7"/>
        <v>19.73</v>
      </c>
    </row>
    <row r="225" spans="1:22">
      <c r="A225" s="3" t="s">
        <v>2609</v>
      </c>
      <c r="B225" s="2" t="s">
        <v>2620</v>
      </c>
      <c r="C225" s="2">
        <v>20.81</v>
      </c>
      <c r="E225" s="7" t="s">
        <v>1115</v>
      </c>
      <c r="F225" s="7" t="s">
        <v>1116</v>
      </c>
      <c r="G225" s="8">
        <f xml:space="preserve"> RTD("kgi.tw.der.pricertdserver.2014.1",,$A225 &amp; "_" &amp; $G$5 &amp; ":" &amp; $E225 &amp; "@" &amp; $F225)</f>
        <v>20.56</v>
      </c>
      <c r="H225" s="19">
        <f xml:space="preserve"> RTD("kgi.tw.der.pricertdserver.2014.1",,A225 &amp;":"&amp; E225 &amp;"@" &amp; F225)</f>
        <v>21.03</v>
      </c>
      <c r="I225" s="8">
        <f xml:space="preserve"> RTD("kgi.tw.der.pricertdserver.2014.1",,$A225 &amp; "_" &amp; $I$4 &amp; ":" &amp; $E225 &amp; "@" &amp; $F225)</f>
        <v>-7.9228162514264338E+28</v>
      </c>
      <c r="J225" s="8">
        <f xml:space="preserve"> RTD("kgi.tw.der.pricertdserver.2014.1",,$A225 &amp; "_" &amp; $J$4 &amp; ":" &amp; $E225 &amp; "@" &amp; $F225)</f>
        <v>-7.9228162514264338E+28</v>
      </c>
      <c r="K225" s="7" t="str">
        <f>RTD("kgi.tw.der.pricertdserver.2014.1",,A225 &amp; "_Time" &amp; ":" &amp; E225 &amp; "@" &amp; F225)</f>
        <v>20210514_132932000</v>
      </c>
      <c r="L225" s="45">
        <f t="shared" si="6"/>
        <v>21.03</v>
      </c>
      <c r="M225" s="43">
        <f>VLOOKUP($A225,XQKGIAP!$A:$I,9,FALSE)</f>
        <v>21.12</v>
      </c>
      <c r="N225" s="43">
        <f xml:space="preserve"> [3]!'TSE,00887,ADJUST_CLS'</f>
        <v>20.45</v>
      </c>
      <c r="O225" s="2">
        <f xml:space="preserve"> [3]!'TSE,00887,HST_CLOSE'</f>
        <v>0</v>
      </c>
      <c r="P225" s="2">
        <f xml:space="preserve"> [3]!'TSE,00887,OPEN_PRC'</f>
        <v>20.7</v>
      </c>
      <c r="Q225" s="2">
        <f xml:space="preserve"> [3]!'TSE,00887,HIGH_1'</f>
        <v>20.87</v>
      </c>
      <c r="R225" s="2">
        <f xml:space="preserve"> [3]!'TSE,00887,LOW_1'</f>
        <v>20.48</v>
      </c>
      <c r="S225" s="2">
        <f xml:space="preserve"> [3]!'TSE,00887,TRDPRC_1'</f>
        <v>20.81</v>
      </c>
      <c r="T225" s="2">
        <f xml:space="preserve"> [3]!'TSE,00887,BID'</f>
        <v>20.81</v>
      </c>
      <c r="U225" s="2">
        <f xml:space="preserve"> [3]!'TSE,00887,ASK'</f>
        <v>20.82</v>
      </c>
      <c r="V225" s="2">
        <f t="shared" si="7"/>
        <v>20.81</v>
      </c>
    </row>
    <row r="226" spans="1:22">
      <c r="A226" s="3" t="s">
        <v>2610</v>
      </c>
      <c r="B226" s="2" t="s">
        <v>2621</v>
      </c>
      <c r="C226" s="2">
        <v>14.27</v>
      </c>
      <c r="E226" s="7" t="s">
        <v>1115</v>
      </c>
      <c r="F226" s="7" t="s">
        <v>1116</v>
      </c>
      <c r="G226" s="8">
        <f xml:space="preserve"> RTD("kgi.tw.der.pricertdserver.2014.1",,$A226 &amp; "_" &amp; $G$5 &amp; ":" &amp; $E226 &amp; "@" &amp; $F226)</f>
        <v>14.11</v>
      </c>
      <c r="H226" s="19">
        <f xml:space="preserve"> RTD("kgi.tw.der.pricertdserver.2014.1",,A226 &amp;":"&amp; E226 &amp;"@" &amp; F226)</f>
        <v>14.23</v>
      </c>
      <c r="I226" s="8">
        <f xml:space="preserve"> RTD("kgi.tw.der.pricertdserver.2014.1",,$A226 &amp; "_" &amp; $I$4 &amp; ":" &amp; $E226 &amp; "@" &amp; $F226)</f>
        <v>-7.9228162514264338E+28</v>
      </c>
      <c r="J226" s="8">
        <f xml:space="preserve"> RTD("kgi.tw.der.pricertdserver.2014.1",,$A226 &amp; "_" &amp; $J$4 &amp; ":" &amp; $E226 &amp; "@" &amp; $F226)</f>
        <v>-7.9228162514264338E+28</v>
      </c>
      <c r="K226" s="7" t="str">
        <f>RTD("kgi.tw.der.pricertdserver.2014.1",,A226 &amp; "_Time" &amp; ":" &amp; E226 &amp; "@" &amp; F226)</f>
        <v>20210514_132930000</v>
      </c>
      <c r="L226" s="45">
        <f t="shared" si="6"/>
        <v>14.23</v>
      </c>
      <c r="M226" s="43">
        <f>VLOOKUP($A226,XQKGIAP!$A:$I,9,FALSE)</f>
        <v>14.23</v>
      </c>
      <c r="N226" s="43">
        <f xml:space="preserve"> [3]!'TSE,00888,ADJUST_CLS'</f>
        <v>14.16</v>
      </c>
      <c r="O226" s="2">
        <f xml:space="preserve"> [3]!'TSE,00888,HST_CLOSE'</f>
        <v>0</v>
      </c>
      <c r="P226" s="2">
        <f xml:space="preserve"> [3]!'TSE,00888,OPEN_PRC'</f>
        <v>14.5</v>
      </c>
      <c r="Q226" s="2">
        <f xml:space="preserve"> [3]!'TSE,00888,HIGH_1'</f>
        <v>14.61</v>
      </c>
      <c r="R226" s="2">
        <f xml:space="preserve"> [3]!'TSE,00888,LOW_1'</f>
        <v>14.16</v>
      </c>
      <c r="S226" s="2">
        <f xml:space="preserve"> [3]!'TSE,00888,TRDPRC_1'</f>
        <v>14.27</v>
      </c>
      <c r="T226" s="2">
        <f xml:space="preserve"> [3]!'TSE,00888,BID'</f>
        <v>14.27</v>
      </c>
      <c r="U226" s="2">
        <f xml:space="preserve"> [3]!'TSE,00888,ASK'</f>
        <v>14.28</v>
      </c>
      <c r="V226" s="2">
        <f t="shared" si="7"/>
        <v>14.27</v>
      </c>
    </row>
    <row r="227" spans="1:22">
      <c r="A227" s="111" t="s">
        <v>2632</v>
      </c>
      <c r="B227" s="2" t="s">
        <v>2634</v>
      </c>
      <c r="C227" s="2">
        <v>15.24</v>
      </c>
      <c r="E227" s="7" t="s">
        <v>1115</v>
      </c>
      <c r="F227" s="7" t="s">
        <v>1116</v>
      </c>
      <c r="G227" s="8">
        <f xml:space="preserve"> RTD("kgi.tw.der.pricertdserver.2014.1",,$A227 &amp; "_" &amp; $G$5 &amp; ":" &amp; $E227 &amp; "@" &amp; $F227)</f>
        <v>15.05</v>
      </c>
      <c r="H227" s="19">
        <f xml:space="preserve"> RTD("kgi.tw.der.pricertdserver.2014.1",,A227 &amp;":"&amp; E227 &amp;"@" &amp; F227)</f>
        <v>15.14</v>
      </c>
      <c r="I227" s="8">
        <f xml:space="preserve"> RTD("kgi.tw.der.pricertdserver.2014.1",,$A227 &amp; "_" &amp; $I$4 &amp; ":" &amp; $E227 &amp; "@" &amp; $F227)</f>
        <v>-7.9228162514264338E+28</v>
      </c>
      <c r="J227" s="8">
        <f xml:space="preserve"> RTD("kgi.tw.der.pricertdserver.2014.1",,$A227 &amp; "_" &amp; $J$4 &amp; ":" &amp; $E227 &amp; "@" &amp; $F227)</f>
        <v>-7.9228162514264338E+28</v>
      </c>
      <c r="K227" s="7" t="str">
        <f>RTD("kgi.tw.der.pricertdserver.2014.1",,A227 &amp; "_Time" &amp; ":" &amp; E227 &amp; "@" &amp; F227)</f>
        <v>20210514_132930000</v>
      </c>
      <c r="L227" s="45">
        <f t="shared" si="6"/>
        <v>15.14</v>
      </c>
      <c r="M227" s="43">
        <f>VLOOKUP($A227,XQKGIAP!$A:$I,9,FALSE)</f>
        <v>15.14</v>
      </c>
      <c r="N227" s="43">
        <f xml:space="preserve"> [3]!'TSE,00885,ADJUST_CLS'</f>
        <v>15.26</v>
      </c>
      <c r="O227" s="2">
        <f xml:space="preserve"> [3]!'TSE,00885,HST_CLOSE'</f>
        <v>0</v>
      </c>
      <c r="P227" s="2">
        <f xml:space="preserve"> [3]!'TSE,00885,OPEN_PRC'</f>
        <v>15.28</v>
      </c>
      <c r="Q227" s="2">
        <f xml:space="preserve"> [3]!'TSE,00885,HIGH_1'</f>
        <v>15.28</v>
      </c>
      <c r="R227" s="2">
        <f xml:space="preserve"> [3]!'TSE,00885,LOW_1'</f>
        <v>15.22</v>
      </c>
      <c r="S227" s="2">
        <f xml:space="preserve"> [3]!'TSE,00885,TRDPRC_1'</f>
        <v>15.24</v>
      </c>
      <c r="T227" s="2">
        <f xml:space="preserve"> [3]!'TSE,00885,BID'</f>
        <v>15.23</v>
      </c>
      <c r="U227" s="2">
        <f xml:space="preserve"> [3]!'TSE,00885,ASK'</f>
        <v>15.24</v>
      </c>
      <c r="V227" s="2">
        <f t="shared" ref="V227" si="8">IF($V$1=0,IF(S227&lt;&gt;0,S227,N227),C227)</f>
        <v>15.24</v>
      </c>
    </row>
    <row r="228" spans="1:22">
      <c r="A228" s="3"/>
      <c r="E228" s="7"/>
      <c r="F228" s="7"/>
      <c r="G228" s="8"/>
      <c r="I228" s="8"/>
      <c r="J228" s="8"/>
      <c r="K228" s="7"/>
      <c r="L228" s="45"/>
    </row>
    <row r="229" spans="1:22">
      <c r="A229" s="3"/>
      <c r="E229" s="7"/>
      <c r="F229" s="7"/>
      <c r="G229" s="8"/>
      <c r="I229" s="8"/>
      <c r="J229" s="8"/>
      <c r="K229" s="7"/>
      <c r="L229" s="45"/>
    </row>
    <row r="230" spans="1:22">
      <c r="A230" s="3"/>
      <c r="E230" s="7"/>
      <c r="F230" s="7"/>
      <c r="G230" s="8"/>
      <c r="I230" s="8"/>
      <c r="J230" s="8"/>
      <c r="K230" s="7"/>
      <c r="L230" s="45"/>
    </row>
    <row r="231" spans="1:22">
      <c r="A231" s="3"/>
      <c r="E231" s="7"/>
      <c r="F231" s="7"/>
      <c r="G231" s="8"/>
      <c r="I231" s="8"/>
      <c r="J231" s="8"/>
      <c r="K231" s="7"/>
      <c r="L231" s="45"/>
    </row>
    <row r="232" spans="1:22">
      <c r="A232" s="3"/>
      <c r="E232" s="7"/>
      <c r="F232" s="7"/>
      <c r="G232" s="8"/>
      <c r="I232" s="8"/>
      <c r="J232" s="8"/>
      <c r="K232" s="7"/>
      <c r="L232" s="45"/>
    </row>
  </sheetData>
  <phoneticPr fontId="6" type="noConversion"/>
  <conditionalFormatting sqref="K6:K224 K228:K231">
    <cfRule type="expression" dxfId="113" priority="38">
      <formula>#REF! &lt; 0</formula>
    </cfRule>
  </conditionalFormatting>
  <conditionalFormatting sqref="L228:L231">
    <cfRule type="expression" dxfId="112" priority="21">
      <formula>ABS($L228-$M228)/$L228&gt;0.01</formula>
    </cfRule>
  </conditionalFormatting>
  <conditionalFormatting sqref="K232">
    <cfRule type="expression" dxfId="111" priority="20">
      <formula>#REF! &lt; 0</formula>
    </cfRule>
  </conditionalFormatting>
  <conditionalFormatting sqref="L232">
    <cfRule type="expression" dxfId="110" priority="19">
      <formula>ABS($L232-$M232)/$L232&gt;0.01</formula>
    </cfRule>
  </conditionalFormatting>
  <conditionalFormatting sqref="N152">
    <cfRule type="expression" dxfId="109" priority="18">
      <formula>ABS($L152-$M152)/$L152&gt;0.01</formula>
    </cfRule>
  </conditionalFormatting>
  <conditionalFormatting sqref="Z152">
    <cfRule type="expression" dxfId="108" priority="15">
      <formula>ABS($L152-$M152)/$L152&gt;0.01</formula>
    </cfRule>
  </conditionalFormatting>
  <conditionalFormatting sqref="L3">
    <cfRule type="expression" dxfId="107" priority="12">
      <formula>ABS($L3-$M3)/$L3&gt;0.01</formula>
    </cfRule>
  </conditionalFormatting>
  <conditionalFormatting sqref="L6:L227">
    <cfRule type="expression" dxfId="106" priority="11">
      <formula>ABS($L6-$M6)/$L6&gt;0.01</formula>
    </cfRule>
  </conditionalFormatting>
  <conditionalFormatting sqref="K225">
    <cfRule type="expression" dxfId="105" priority="9">
      <formula>#REF! &lt; 0</formula>
    </cfRule>
  </conditionalFormatting>
  <conditionalFormatting sqref="K226">
    <cfRule type="expression" dxfId="104" priority="8">
      <formula>#REF! &lt; 0</formula>
    </cfRule>
  </conditionalFormatting>
  <conditionalFormatting sqref="O217">
    <cfRule type="expression" dxfId="103" priority="5">
      <formula>ABS($L217-$M217)/$L217&gt;0.01</formula>
    </cfRule>
  </conditionalFormatting>
  <conditionalFormatting sqref="N217">
    <cfRule type="expression" dxfId="102" priority="4">
      <formula>ABS($L217-$M217)/$L217&gt;0.01</formula>
    </cfRule>
  </conditionalFormatting>
  <conditionalFormatting sqref="P217:U217">
    <cfRule type="expression" dxfId="101" priority="3">
      <formula>ABS($L217-$M217)/$L217&gt;0.01</formula>
    </cfRule>
  </conditionalFormatting>
  <conditionalFormatting sqref="N214:U214">
    <cfRule type="expression" dxfId="100" priority="2">
      <formula>ABS($L214-$M214)/$L214&gt;0.01</formula>
    </cfRule>
  </conditionalFormatting>
  <conditionalFormatting sqref="K227">
    <cfRule type="expression" dxfId="99" priority="1">
      <formula>#REF!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getDFSDDE">
                <anchor moveWithCells="1" sizeWithCells="1">
                  <from>
                    <xdr:col>11</xdr:col>
                    <xdr:colOff>657225</xdr:colOff>
                    <xdr:row>0</xdr:row>
                    <xdr:rowOff>9525</xdr:rowOff>
                  </from>
                  <to>
                    <xdr:col>12</xdr:col>
                    <xdr:colOff>847725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V490"/>
  <sheetViews>
    <sheetView workbookViewId="0">
      <pane xSplit="8" ySplit="5" topLeftCell="I481" activePane="bottomRight" state="frozen"/>
      <selection pane="topRight" activeCell="I1" sqref="I1"/>
      <selection pane="bottomLeft" activeCell="A6" sqref="A6"/>
      <selection pane="bottomRight" activeCell="K5" sqref="K5:K491"/>
    </sheetView>
  </sheetViews>
  <sheetFormatPr defaultRowHeight="16.5"/>
  <cols>
    <col min="1" max="1" width="9.5" bestFit="1" customWidth="1"/>
    <col min="4" max="4" width="11.25" customWidth="1"/>
    <col min="5" max="5" width="12.625" customWidth="1"/>
    <col min="6" max="6" width="9" style="2"/>
    <col min="7" max="7" width="13.875" style="2" customWidth="1"/>
    <col min="8" max="8" width="13.125" style="2" customWidth="1"/>
    <col min="9" max="9" width="11.25" style="2" customWidth="1"/>
    <col min="10" max="10" width="9" style="2"/>
    <col min="11" max="11" width="9" style="35"/>
    <col min="17" max="17" width="13.125" customWidth="1"/>
  </cols>
  <sheetData>
    <row r="1" spans="1:22">
      <c r="F1" s="1" t="s">
        <v>1338</v>
      </c>
      <c r="G1" s="1" t="s">
        <v>1311</v>
      </c>
      <c r="H1" s="1" t="s">
        <v>1312</v>
      </c>
      <c r="P1" t="s">
        <v>708</v>
      </c>
      <c r="Q1" s="21">
        <f ca="1">TODAY()</f>
        <v>44330</v>
      </c>
      <c r="V1" s="21"/>
    </row>
    <row r="2" spans="1:22">
      <c r="F2" s="1" t="s">
        <v>1305</v>
      </c>
      <c r="G2" s="1" t="s">
        <v>1307</v>
      </c>
      <c r="H2" s="1"/>
      <c r="P2" t="s">
        <v>709</v>
      </c>
      <c r="Q2" s="25" t="str">
        <f ca="1">TEXT(NOW(),"hh:mm:ss")</f>
        <v>15:15:01</v>
      </c>
      <c r="V2" s="25"/>
    </row>
    <row r="3" spans="1:22">
      <c r="F3" s="1" t="s">
        <v>1306</v>
      </c>
      <c r="G3" s="1" t="s">
        <v>1308</v>
      </c>
      <c r="H3" s="1" t="s">
        <v>2733</v>
      </c>
    </row>
    <row r="4" spans="1:22">
      <c r="A4" t="s">
        <v>689</v>
      </c>
      <c r="B4" t="s">
        <v>698</v>
      </c>
      <c r="C4" t="s">
        <v>703</v>
      </c>
      <c r="D4" t="s">
        <v>690</v>
      </c>
      <c r="E4" t="s">
        <v>718</v>
      </c>
    </row>
    <row r="5" spans="1:22">
      <c r="A5" s="15" t="s">
        <v>691</v>
      </c>
      <c r="B5" s="15" t="s">
        <v>697</v>
      </c>
      <c r="C5" s="15" t="s">
        <v>702</v>
      </c>
      <c r="D5" t="s">
        <v>704</v>
      </c>
      <c r="E5" t="s">
        <v>711</v>
      </c>
      <c r="F5" s="2" t="s">
        <v>1309</v>
      </c>
      <c r="G5" s="2" t="s">
        <v>1310</v>
      </c>
      <c r="H5" s="2" t="s">
        <v>2733</v>
      </c>
      <c r="J5" s="2" t="s">
        <v>1114</v>
      </c>
    </row>
    <row r="6" spans="1:22">
      <c r="A6" s="21" t="str">
        <f ca="1">TEXT($Q$1,"yyyy/m/dd")</f>
        <v>2021/5/14</v>
      </c>
      <c r="B6" s="22" t="str">
        <f ca="1">$Q$2</f>
        <v>15:15:01</v>
      </c>
      <c r="C6" s="23">
        <v>1</v>
      </c>
      <c r="D6" t="str">
        <f>IF(LEFT(G6,2)="00","ETF","Stock")</f>
        <v>Stock</v>
      </c>
      <c r="E6" s="26" t="str">
        <f>F6</f>
        <v>1101</v>
      </c>
      <c r="F6" s="3" t="s">
        <v>210</v>
      </c>
      <c r="G6" s="2" t="s">
        <v>1870</v>
      </c>
      <c r="H6" s="2">
        <v>49.6</v>
      </c>
      <c r="J6" s="2">
        <f>IF($H6&lt;&gt;"",$H6,$I6)</f>
        <v>49.6</v>
      </c>
      <c r="K6" s="35" t="str">
        <f ca="1">"INSERT INTO ETFValue (DataDate, TimeCategory, ProductType, ProductLink, ProductCode, ProductName, NAV, Price, RecTime) VALUES ("&amp;"'"&amp;TEXT(A6,"yyyy/m/dd")&amp;"','"&amp; C6&amp;"', '"&amp;D6&amp;"', '"&amp;E6&amp;"','"&amp;F6&amp;"','"&amp;G6&amp;"','"&amp;ROUND(J6,4)&amp;"','"&amp;J6&amp;"','"&amp;TEXT($Q$2,"hh:mm:ss")&amp;"');"</f>
        <v>INSERT INTO ETFValue (DataDate, TimeCategory, ProductType, ProductLink, ProductCode, ProductName, NAV, Price, RecTime) VALUES ('2021/5/14','1', 'Stock', '1101','1101','台泥','49.6','49.6','15:15:01');</v>
      </c>
    </row>
    <row r="7" spans="1:22">
      <c r="A7" s="21" t="str">
        <f t="shared" ref="A7:A70" ca="1" si="0">TEXT($Q$1,"yyyy/m/dd")</f>
        <v>2021/5/14</v>
      </c>
      <c r="B7" s="22" t="str">
        <f t="shared" ref="B7:B70" ca="1" si="1">$Q$2</f>
        <v>15:15:01</v>
      </c>
      <c r="C7" s="23">
        <v>1</v>
      </c>
      <c r="D7" t="str">
        <f t="shared" ref="D7:D70" si="2">IF(LEFT(G7,2)="00","ETF","Stock")</f>
        <v>Stock</v>
      </c>
      <c r="E7" s="26" t="str">
        <f t="shared" ref="E7:E70" si="3">F7</f>
        <v>1102</v>
      </c>
      <c r="F7" s="3" t="s">
        <v>211</v>
      </c>
      <c r="G7" s="2" t="s">
        <v>1871</v>
      </c>
      <c r="H7" s="2">
        <v>49</v>
      </c>
      <c r="J7" s="2">
        <f t="shared" ref="J7:J70" si="4">IF($H7&lt;&gt;"",$H7,$I7)</f>
        <v>49</v>
      </c>
      <c r="K7" s="35" t="str">
        <f t="shared" ref="K7:K70" ca="1" si="5">"INSERT INTO ETFValue (DataDate, TimeCategory, ProductType, ProductLink, ProductCode, ProductName, NAV, Price, RecTime) VALUES ("&amp;"'"&amp;TEXT(A7,"yyyy/m/dd")&amp;"','"&amp; C7&amp;"', '"&amp;D7&amp;"', '"&amp;E7&amp;"','"&amp;F7&amp;"','"&amp;G7&amp;"','"&amp;ROUND(J7,4)&amp;"','"&amp;J7&amp;"','"&amp;TEXT($Q$2,"hh:mm:ss")&amp;"');"</f>
        <v>INSERT INTO ETFValue (DataDate, TimeCategory, ProductType, ProductLink, ProductCode, ProductName, NAV, Price, RecTime) VALUES ('2021/5/14','1', 'Stock', '1102','1102','亞泥','49','49','15:15:01');</v>
      </c>
    </row>
    <row r="8" spans="1:22">
      <c r="A8" s="21" t="str">
        <f t="shared" ca="1" si="0"/>
        <v>2021/5/14</v>
      </c>
      <c r="B8" s="22" t="str">
        <f t="shared" ca="1" si="1"/>
        <v>15:15:01</v>
      </c>
      <c r="C8" s="23">
        <v>1</v>
      </c>
      <c r="D8" t="str">
        <f t="shared" si="2"/>
        <v>Stock</v>
      </c>
      <c r="E8" s="26" t="str">
        <f t="shared" si="3"/>
        <v>1201</v>
      </c>
      <c r="F8" s="3" t="s">
        <v>812</v>
      </c>
      <c r="G8" s="2" t="s">
        <v>1872</v>
      </c>
      <c r="H8" s="2">
        <v>21.05</v>
      </c>
      <c r="J8" s="2">
        <f t="shared" si="4"/>
        <v>21.05</v>
      </c>
      <c r="K8" s="35" t="str">
        <f t="shared" ca="1" si="5"/>
        <v>INSERT INTO ETFValue (DataDate, TimeCategory, ProductType, ProductLink, ProductCode, ProductName, NAV, Price, RecTime) VALUES ('2021/5/14','1', 'Stock', '1201','1201','味全','21.05','21.05','15:15:01');</v>
      </c>
    </row>
    <row r="9" spans="1:22">
      <c r="A9" s="21" t="str">
        <f t="shared" ca="1" si="0"/>
        <v>2021/5/14</v>
      </c>
      <c r="B9" s="22" t="str">
        <f t="shared" ca="1" si="1"/>
        <v>15:15:01</v>
      </c>
      <c r="C9" s="23">
        <v>1</v>
      </c>
      <c r="D9" t="str">
        <f t="shared" si="2"/>
        <v>Stock</v>
      </c>
      <c r="E9" s="26" t="str">
        <f t="shared" si="3"/>
        <v>1210</v>
      </c>
      <c r="F9" s="3" t="s">
        <v>212</v>
      </c>
      <c r="G9" s="2" t="s">
        <v>1873</v>
      </c>
      <c r="H9" s="2">
        <v>56.4</v>
      </c>
      <c r="J9" s="2">
        <f t="shared" si="4"/>
        <v>56.4</v>
      </c>
      <c r="K9" s="35" t="str">
        <f t="shared" ca="1" si="5"/>
        <v>INSERT INTO ETFValue (DataDate, TimeCategory, ProductType, ProductLink, ProductCode, ProductName, NAV, Price, RecTime) VALUES ('2021/5/14','1', 'Stock', '1210','1210','大成','56.4','56.4','15:15:01');</v>
      </c>
    </row>
    <row r="10" spans="1:22">
      <c r="A10" s="21" t="str">
        <f t="shared" ca="1" si="0"/>
        <v>2021/5/14</v>
      </c>
      <c r="B10" s="22" t="str">
        <f t="shared" ca="1" si="1"/>
        <v>15:15:01</v>
      </c>
      <c r="C10" s="23">
        <v>1</v>
      </c>
      <c r="D10" t="str">
        <f t="shared" si="2"/>
        <v>Stock</v>
      </c>
      <c r="E10" s="26" t="str">
        <f t="shared" si="3"/>
        <v>1216</v>
      </c>
      <c r="F10" s="3" t="s">
        <v>213</v>
      </c>
      <c r="G10" s="2" t="s">
        <v>1874</v>
      </c>
      <c r="H10" s="2">
        <v>74.2</v>
      </c>
      <c r="J10" s="2">
        <f t="shared" si="4"/>
        <v>74.2</v>
      </c>
      <c r="K10" s="35" t="str">
        <f t="shared" ca="1" si="5"/>
        <v>INSERT INTO ETFValue (DataDate, TimeCategory, ProductType, ProductLink, ProductCode, ProductName, NAV, Price, RecTime) VALUES ('2021/5/14','1', 'Stock', '1216','1216','統一','74.2','74.2','15:15:01');</v>
      </c>
    </row>
    <row r="11" spans="1:22">
      <c r="A11" s="21" t="str">
        <f t="shared" ca="1" si="0"/>
        <v>2021/5/14</v>
      </c>
      <c r="B11" s="22" t="str">
        <f t="shared" ca="1" si="1"/>
        <v>15:15:01</v>
      </c>
      <c r="C11" s="23">
        <v>1</v>
      </c>
      <c r="D11" t="str">
        <f t="shared" si="2"/>
        <v>Stock</v>
      </c>
      <c r="E11" s="26" t="str">
        <f t="shared" si="3"/>
        <v>1227</v>
      </c>
      <c r="F11" s="3" t="s">
        <v>214</v>
      </c>
      <c r="G11" s="2" t="s">
        <v>1875</v>
      </c>
      <c r="H11" s="2">
        <v>52.9</v>
      </c>
      <c r="J11" s="2">
        <f t="shared" si="4"/>
        <v>52.9</v>
      </c>
      <c r="K11" s="35" t="str">
        <f t="shared" ca="1" si="5"/>
        <v>INSERT INTO ETFValue (DataDate, TimeCategory, ProductType, ProductLink, ProductCode, ProductName, NAV, Price, RecTime) VALUES ('2021/5/14','1', 'Stock', '1227','1227','佳格','52.9','52.9','15:15:01');</v>
      </c>
    </row>
    <row r="12" spans="1:22">
      <c r="A12" s="21" t="str">
        <f t="shared" ca="1" si="0"/>
        <v>2021/5/14</v>
      </c>
      <c r="B12" s="22" t="str">
        <f t="shared" ca="1" si="1"/>
        <v>15:15:01</v>
      </c>
      <c r="C12" s="23">
        <v>1</v>
      </c>
      <c r="D12" t="str">
        <f t="shared" si="2"/>
        <v>Stock</v>
      </c>
      <c r="E12" s="26" t="str">
        <f t="shared" si="3"/>
        <v>1229</v>
      </c>
      <c r="F12" s="3" t="s">
        <v>215</v>
      </c>
      <c r="G12" s="2" t="s">
        <v>1876</v>
      </c>
      <c r="H12" s="2">
        <v>46.75</v>
      </c>
      <c r="J12" s="2">
        <f t="shared" si="4"/>
        <v>46.75</v>
      </c>
      <c r="K12" s="35" t="str">
        <f t="shared" ca="1" si="5"/>
        <v>INSERT INTO ETFValue (DataDate, TimeCategory, ProductType, ProductLink, ProductCode, ProductName, NAV, Price, RecTime) VALUES ('2021/5/14','1', 'Stock', '1229','1229','聯華','46.75','46.75','15:15:01');</v>
      </c>
    </row>
    <row r="13" spans="1:22">
      <c r="A13" s="21" t="str">
        <f t="shared" ca="1" si="0"/>
        <v>2021/5/14</v>
      </c>
      <c r="B13" s="22" t="str">
        <f t="shared" ca="1" si="1"/>
        <v>15:15:01</v>
      </c>
      <c r="C13" s="23">
        <v>1</v>
      </c>
      <c r="D13" t="str">
        <f t="shared" si="2"/>
        <v>Stock</v>
      </c>
      <c r="E13" s="26" t="str">
        <f t="shared" si="3"/>
        <v>1259</v>
      </c>
      <c r="F13" s="3" t="s">
        <v>1044</v>
      </c>
      <c r="G13" s="2" t="s">
        <v>1877</v>
      </c>
      <c r="H13" s="2">
        <v>66.5</v>
      </c>
      <c r="J13" s="2">
        <f t="shared" si="4"/>
        <v>66.5</v>
      </c>
      <c r="K13" s="35" t="str">
        <f t="shared" ca="1" si="5"/>
        <v>INSERT INTO ETFValue (DataDate, TimeCategory, ProductType, ProductLink, ProductCode, ProductName, NAV, Price, RecTime) VALUES ('2021/5/14','1', 'Stock', '1259','1259','安心','66.5','66.5','15:15:01');</v>
      </c>
    </row>
    <row r="14" spans="1:22">
      <c r="A14" s="21" t="str">
        <f t="shared" ca="1" si="0"/>
        <v>2021/5/14</v>
      </c>
      <c r="B14" s="22" t="str">
        <f t="shared" ca="1" si="1"/>
        <v>15:15:01</v>
      </c>
      <c r="C14" s="23">
        <v>1</v>
      </c>
      <c r="D14" t="str">
        <f t="shared" si="2"/>
        <v>Stock</v>
      </c>
      <c r="E14" s="26" t="str">
        <f t="shared" si="3"/>
        <v>1268</v>
      </c>
      <c r="F14" s="3" t="s">
        <v>1045</v>
      </c>
      <c r="G14" s="2" t="s">
        <v>1878</v>
      </c>
      <c r="H14" s="2">
        <v>127.5</v>
      </c>
      <c r="J14" s="2">
        <f t="shared" si="4"/>
        <v>127.5</v>
      </c>
      <c r="K14" s="35" t="str">
        <f t="shared" ca="1" si="5"/>
        <v>INSERT INTO ETFValue (DataDate, TimeCategory, ProductType, ProductLink, ProductCode, ProductName, NAV, Price, RecTime) VALUES ('2021/5/14','1', 'Stock', '1268','1268','漢來美食','127.5','127.5','15:15:01');</v>
      </c>
    </row>
    <row r="15" spans="1:22">
      <c r="A15" s="21" t="str">
        <f t="shared" ca="1" si="0"/>
        <v>2021/5/14</v>
      </c>
      <c r="B15" s="22" t="str">
        <f t="shared" ca="1" si="1"/>
        <v>15:15:01</v>
      </c>
      <c r="C15" s="23">
        <v>1</v>
      </c>
      <c r="D15" t="str">
        <f t="shared" si="2"/>
        <v>Stock</v>
      </c>
      <c r="E15" s="26" t="str">
        <f t="shared" si="3"/>
        <v>1301</v>
      </c>
      <c r="F15" s="3" t="s">
        <v>216</v>
      </c>
      <c r="G15" s="2" t="s">
        <v>1879</v>
      </c>
      <c r="H15" s="2">
        <v>95.5</v>
      </c>
      <c r="J15" s="2">
        <f t="shared" si="4"/>
        <v>95.5</v>
      </c>
      <c r="K15" s="35" t="str">
        <f t="shared" ca="1" si="5"/>
        <v>INSERT INTO ETFValue (DataDate, TimeCategory, ProductType, ProductLink, ProductCode, ProductName, NAV, Price, RecTime) VALUES ('2021/5/14','1', 'Stock', '1301','1301','台塑','95.5','95.5','15:15:01');</v>
      </c>
    </row>
    <row r="16" spans="1:22">
      <c r="A16" s="21" t="str">
        <f t="shared" ca="1" si="0"/>
        <v>2021/5/14</v>
      </c>
      <c r="B16" s="22" t="str">
        <f t="shared" ca="1" si="1"/>
        <v>15:15:01</v>
      </c>
      <c r="C16" s="23">
        <v>1</v>
      </c>
      <c r="D16" t="str">
        <f t="shared" si="2"/>
        <v>Stock</v>
      </c>
      <c r="E16" s="26" t="str">
        <f t="shared" si="3"/>
        <v>1303</v>
      </c>
      <c r="F16" s="3" t="s">
        <v>217</v>
      </c>
      <c r="G16" s="2" t="s">
        <v>1880</v>
      </c>
      <c r="H16" s="2">
        <v>80.400000000000006</v>
      </c>
      <c r="J16" s="2">
        <f t="shared" si="4"/>
        <v>80.400000000000006</v>
      </c>
      <c r="K16" s="35" t="str">
        <f t="shared" ca="1" si="5"/>
        <v>INSERT INTO ETFValue (DataDate, TimeCategory, ProductType, ProductLink, ProductCode, ProductName, NAV, Price, RecTime) VALUES ('2021/5/14','1', 'Stock', '1303','1303','南亞','80.4','80.4','15:15:01');</v>
      </c>
    </row>
    <row r="17" spans="1:11">
      <c r="A17" s="21" t="str">
        <f t="shared" ca="1" si="0"/>
        <v>2021/5/14</v>
      </c>
      <c r="B17" s="22" t="str">
        <f t="shared" ca="1" si="1"/>
        <v>15:15:01</v>
      </c>
      <c r="C17" s="23">
        <v>1</v>
      </c>
      <c r="D17" t="str">
        <f t="shared" si="2"/>
        <v>Stock</v>
      </c>
      <c r="E17" s="26" t="str">
        <f t="shared" si="3"/>
        <v>1304</v>
      </c>
      <c r="F17" s="3" t="s">
        <v>789</v>
      </c>
      <c r="G17" s="2" t="s">
        <v>1881</v>
      </c>
      <c r="H17" s="2">
        <v>31.2</v>
      </c>
      <c r="J17" s="2">
        <f t="shared" si="4"/>
        <v>31.2</v>
      </c>
      <c r="K17" s="35" t="str">
        <f t="shared" ca="1" si="5"/>
        <v>INSERT INTO ETFValue (DataDate, TimeCategory, ProductType, ProductLink, ProductCode, ProductName, NAV, Price, RecTime) VALUES ('2021/5/14','1', 'Stock', '1304','1304','台聚','31.2','31.2','15:15:01');</v>
      </c>
    </row>
    <row r="18" spans="1:11">
      <c r="A18" s="21" t="str">
        <f t="shared" ca="1" si="0"/>
        <v>2021/5/14</v>
      </c>
      <c r="B18" s="22" t="str">
        <f t="shared" ca="1" si="1"/>
        <v>15:15:01</v>
      </c>
      <c r="C18" s="23">
        <v>1</v>
      </c>
      <c r="D18" t="str">
        <f t="shared" si="2"/>
        <v>Stock</v>
      </c>
      <c r="E18" s="26" t="str">
        <f t="shared" si="3"/>
        <v>1305</v>
      </c>
      <c r="F18" s="3" t="s">
        <v>790</v>
      </c>
      <c r="G18" s="2" t="s">
        <v>1882</v>
      </c>
      <c r="H18" s="2">
        <v>31.8</v>
      </c>
      <c r="J18" s="2">
        <f t="shared" si="4"/>
        <v>31.8</v>
      </c>
      <c r="K18" s="35" t="str">
        <f t="shared" ca="1" si="5"/>
        <v>INSERT INTO ETFValue (DataDate, TimeCategory, ProductType, ProductLink, ProductCode, ProductName, NAV, Price, RecTime) VALUES ('2021/5/14','1', 'Stock', '1305','1305','華夏','31.8','31.8','15:15:01');</v>
      </c>
    </row>
    <row r="19" spans="1:11">
      <c r="A19" s="21" t="str">
        <f t="shared" ca="1" si="0"/>
        <v>2021/5/14</v>
      </c>
      <c r="B19" s="22" t="str">
        <f t="shared" ca="1" si="1"/>
        <v>15:15:01</v>
      </c>
      <c r="C19" s="23">
        <v>1</v>
      </c>
      <c r="D19" t="str">
        <f t="shared" si="2"/>
        <v>Stock</v>
      </c>
      <c r="E19" s="26" t="str">
        <f t="shared" si="3"/>
        <v>1312</v>
      </c>
      <c r="F19" s="3" t="s">
        <v>752</v>
      </c>
      <c r="G19" s="2" t="s">
        <v>1883</v>
      </c>
      <c r="H19" s="2">
        <v>26.7</v>
      </c>
      <c r="J19" s="2">
        <f t="shared" si="4"/>
        <v>26.7</v>
      </c>
      <c r="K19" s="35" t="str">
        <f t="shared" ca="1" si="5"/>
        <v>INSERT INTO ETFValue (DataDate, TimeCategory, ProductType, ProductLink, ProductCode, ProductName, NAV, Price, RecTime) VALUES ('2021/5/14','1', 'Stock', '1312','1312','國喬','26.7','26.7','15:15:01');</v>
      </c>
    </row>
    <row r="20" spans="1:11">
      <c r="A20" s="21" t="str">
        <f t="shared" ca="1" si="0"/>
        <v>2021/5/14</v>
      </c>
      <c r="B20" s="22" t="str">
        <f t="shared" ca="1" si="1"/>
        <v>15:15:01</v>
      </c>
      <c r="C20" s="23">
        <v>1</v>
      </c>
      <c r="D20" t="str">
        <f t="shared" si="2"/>
        <v>Stock</v>
      </c>
      <c r="E20" s="26" t="str">
        <f t="shared" si="3"/>
        <v>1314</v>
      </c>
      <c r="F20" s="3" t="s">
        <v>218</v>
      </c>
      <c r="G20" s="2" t="s">
        <v>1884</v>
      </c>
      <c r="H20" s="2">
        <v>12.6</v>
      </c>
      <c r="J20" s="2">
        <f t="shared" si="4"/>
        <v>12.6</v>
      </c>
      <c r="K20" s="35" t="str">
        <f t="shared" ca="1" si="5"/>
        <v>INSERT INTO ETFValue (DataDate, TimeCategory, ProductType, ProductLink, ProductCode, ProductName, NAV, Price, RecTime) VALUES ('2021/5/14','1', 'Stock', '1314','1314','中石化','12.6','12.6','15:15:01');</v>
      </c>
    </row>
    <row r="21" spans="1:11">
      <c r="A21" s="21" t="str">
        <f t="shared" ca="1" si="0"/>
        <v>2021/5/14</v>
      </c>
      <c r="B21" s="22" t="str">
        <f t="shared" ca="1" si="1"/>
        <v>15:15:01</v>
      </c>
      <c r="C21" s="23">
        <v>1</v>
      </c>
      <c r="D21" t="str">
        <f t="shared" si="2"/>
        <v>Stock</v>
      </c>
      <c r="E21" s="26" t="str">
        <f t="shared" si="3"/>
        <v>1319</v>
      </c>
      <c r="F21" s="3" t="s">
        <v>219</v>
      </c>
      <c r="G21" s="2" t="s">
        <v>1885</v>
      </c>
      <c r="H21" s="2">
        <v>32.65</v>
      </c>
      <c r="J21" s="2">
        <f t="shared" si="4"/>
        <v>32.65</v>
      </c>
      <c r="K21" s="35" t="str">
        <f t="shared" ca="1" si="5"/>
        <v>INSERT INTO ETFValue (DataDate, TimeCategory, ProductType, ProductLink, ProductCode, ProductName, NAV, Price, RecTime) VALUES ('2021/5/14','1', 'Stock', '1319','1319','東陽','32.65','32.65','15:15:01');</v>
      </c>
    </row>
    <row r="22" spans="1:11">
      <c r="A22" s="21" t="str">
        <f t="shared" ca="1" si="0"/>
        <v>2021/5/14</v>
      </c>
      <c r="B22" s="22" t="str">
        <f t="shared" ca="1" si="1"/>
        <v>15:15:01</v>
      </c>
      <c r="C22" s="23">
        <v>1</v>
      </c>
      <c r="D22" t="str">
        <f t="shared" si="2"/>
        <v>Stock</v>
      </c>
      <c r="E22" s="26" t="str">
        <f t="shared" si="3"/>
        <v>1326</v>
      </c>
      <c r="F22" s="3" t="s">
        <v>220</v>
      </c>
      <c r="G22" s="2" t="s">
        <v>1886</v>
      </c>
      <c r="H22" s="2">
        <v>82.9</v>
      </c>
      <c r="J22" s="2">
        <f t="shared" si="4"/>
        <v>82.9</v>
      </c>
      <c r="K22" s="35" t="str">
        <f t="shared" ca="1" si="5"/>
        <v>INSERT INTO ETFValue (DataDate, TimeCategory, ProductType, ProductLink, ProductCode, ProductName, NAV, Price, RecTime) VALUES ('2021/5/14','1', 'Stock', '1326','1326','台化','82.9','82.9','15:15:01');</v>
      </c>
    </row>
    <row r="23" spans="1:11">
      <c r="A23" s="21" t="str">
        <f t="shared" ca="1" si="0"/>
        <v>2021/5/14</v>
      </c>
      <c r="B23" s="22" t="str">
        <f t="shared" ca="1" si="1"/>
        <v>15:15:01</v>
      </c>
      <c r="C23" s="23">
        <v>1</v>
      </c>
      <c r="D23" t="str">
        <f t="shared" si="2"/>
        <v>Stock</v>
      </c>
      <c r="E23" s="26" t="str">
        <f t="shared" si="3"/>
        <v>1402</v>
      </c>
      <c r="F23" s="3" t="s">
        <v>221</v>
      </c>
      <c r="G23" s="2" t="s">
        <v>1887</v>
      </c>
      <c r="H23" s="2">
        <v>30.75</v>
      </c>
      <c r="J23" s="2">
        <f t="shared" si="4"/>
        <v>30.75</v>
      </c>
      <c r="K23" s="35" t="str">
        <f t="shared" ca="1" si="5"/>
        <v>INSERT INTO ETFValue (DataDate, TimeCategory, ProductType, ProductLink, ProductCode, ProductName, NAV, Price, RecTime) VALUES ('2021/5/14','1', 'Stock', '1402','1402','遠東新','30.75','30.75','15:15:01');</v>
      </c>
    </row>
    <row r="24" spans="1:11">
      <c r="A24" s="21" t="str">
        <f t="shared" ca="1" si="0"/>
        <v>2021/5/14</v>
      </c>
      <c r="B24" s="22" t="str">
        <f t="shared" ca="1" si="1"/>
        <v>15:15:01</v>
      </c>
      <c r="C24" s="23">
        <v>1</v>
      </c>
      <c r="D24" t="str">
        <f t="shared" si="2"/>
        <v>Stock</v>
      </c>
      <c r="E24" s="26" t="str">
        <f t="shared" si="3"/>
        <v>1434</v>
      </c>
      <c r="F24" s="3" t="s">
        <v>222</v>
      </c>
      <c r="G24" s="2" t="s">
        <v>1888</v>
      </c>
      <c r="H24" s="2">
        <v>30.15</v>
      </c>
      <c r="J24" s="2">
        <f t="shared" si="4"/>
        <v>30.15</v>
      </c>
      <c r="K24" s="35" t="str">
        <f t="shared" ca="1" si="5"/>
        <v>INSERT INTO ETFValue (DataDate, TimeCategory, ProductType, ProductLink, ProductCode, ProductName, NAV, Price, RecTime) VALUES ('2021/5/14','1', 'Stock', '1434','1434','福懋','30.15','30.15','15:15:01');</v>
      </c>
    </row>
    <row r="25" spans="1:11">
      <c r="A25" s="21" t="str">
        <f t="shared" ca="1" si="0"/>
        <v>2021/5/14</v>
      </c>
      <c r="B25" s="22" t="str">
        <f t="shared" ca="1" si="1"/>
        <v>15:15:01</v>
      </c>
      <c r="C25" s="23">
        <v>1</v>
      </c>
      <c r="D25" t="str">
        <f t="shared" si="2"/>
        <v>Stock</v>
      </c>
      <c r="E25" s="26" t="str">
        <f t="shared" si="3"/>
        <v>1476</v>
      </c>
      <c r="F25" s="3" t="s">
        <v>223</v>
      </c>
      <c r="G25" s="2" t="s">
        <v>1889</v>
      </c>
      <c r="H25" s="2">
        <v>587</v>
      </c>
      <c r="J25" s="2">
        <f t="shared" si="4"/>
        <v>587</v>
      </c>
      <c r="K25" s="35" t="str">
        <f t="shared" ca="1" si="5"/>
        <v>INSERT INTO ETFValue (DataDate, TimeCategory, ProductType, ProductLink, ProductCode, ProductName, NAV, Price, RecTime) VALUES ('2021/5/14','1', 'Stock', '1476','1476','儒鴻','587','587','15:15:01');</v>
      </c>
    </row>
    <row r="26" spans="1:11">
      <c r="A26" s="21" t="str">
        <f t="shared" ca="1" si="0"/>
        <v>2021/5/14</v>
      </c>
      <c r="B26" s="22" t="str">
        <f t="shared" ca="1" si="1"/>
        <v>15:15:01</v>
      </c>
      <c r="C26" s="23">
        <v>1</v>
      </c>
      <c r="D26" t="str">
        <f t="shared" si="2"/>
        <v>Stock</v>
      </c>
      <c r="E26" s="26" t="str">
        <f t="shared" si="3"/>
        <v>1477</v>
      </c>
      <c r="F26" s="3" t="s">
        <v>224</v>
      </c>
      <c r="G26" s="2" t="s">
        <v>1890</v>
      </c>
      <c r="H26" s="2">
        <v>250</v>
      </c>
      <c r="J26" s="2">
        <f t="shared" si="4"/>
        <v>250</v>
      </c>
      <c r="K26" s="35" t="str">
        <f t="shared" ca="1" si="5"/>
        <v>INSERT INTO ETFValue (DataDate, TimeCategory, ProductType, ProductLink, ProductCode, ProductName, NAV, Price, RecTime) VALUES ('2021/5/14','1', 'Stock', '1477','1477','聚陽','250','250','15:15:01');</v>
      </c>
    </row>
    <row r="27" spans="1:11">
      <c r="A27" s="21" t="str">
        <f t="shared" ca="1" si="0"/>
        <v>2021/5/14</v>
      </c>
      <c r="B27" s="22" t="str">
        <f t="shared" ca="1" si="1"/>
        <v>15:15:01</v>
      </c>
      <c r="C27" s="23">
        <v>1</v>
      </c>
      <c r="D27" t="str">
        <f t="shared" si="2"/>
        <v>Stock</v>
      </c>
      <c r="E27" s="26" t="str">
        <f t="shared" si="3"/>
        <v>1503</v>
      </c>
      <c r="F27" s="3" t="s">
        <v>753</v>
      </c>
      <c r="G27" s="2" t="s">
        <v>1891</v>
      </c>
      <c r="H27" s="2">
        <v>48.4</v>
      </c>
      <c r="J27" s="2">
        <f t="shared" si="4"/>
        <v>48.4</v>
      </c>
      <c r="K27" s="35" t="str">
        <f t="shared" ca="1" si="5"/>
        <v>INSERT INTO ETFValue (DataDate, TimeCategory, ProductType, ProductLink, ProductCode, ProductName, NAV, Price, RecTime) VALUES ('2021/5/14','1', 'Stock', '1503','1503','士電','48.4','48.4','15:15:01');</v>
      </c>
    </row>
    <row r="28" spans="1:11">
      <c r="A28" s="21" t="str">
        <f t="shared" ca="1" si="0"/>
        <v>2021/5/14</v>
      </c>
      <c r="B28" s="22" t="str">
        <f t="shared" ca="1" si="1"/>
        <v>15:15:01</v>
      </c>
      <c r="C28" s="23">
        <v>1</v>
      </c>
      <c r="D28" t="str">
        <f t="shared" si="2"/>
        <v>Stock</v>
      </c>
      <c r="E28" s="26" t="str">
        <f t="shared" si="3"/>
        <v>1504</v>
      </c>
      <c r="F28" s="3" t="s">
        <v>225</v>
      </c>
      <c r="G28" s="2" t="s">
        <v>1892</v>
      </c>
      <c r="H28" s="2">
        <v>31.35</v>
      </c>
      <c r="J28" s="2">
        <f t="shared" si="4"/>
        <v>31.35</v>
      </c>
      <c r="K28" s="35" t="str">
        <f t="shared" ca="1" si="5"/>
        <v>INSERT INTO ETFValue (DataDate, TimeCategory, ProductType, ProductLink, ProductCode, ProductName, NAV, Price, RecTime) VALUES ('2021/5/14','1', 'Stock', '1504','1504','東元','31.35','31.35','15:15:01');</v>
      </c>
    </row>
    <row r="29" spans="1:11">
      <c r="A29" s="21" t="str">
        <f t="shared" ca="1" si="0"/>
        <v>2021/5/14</v>
      </c>
      <c r="B29" s="22" t="str">
        <f t="shared" ca="1" si="1"/>
        <v>15:15:01</v>
      </c>
      <c r="C29" s="23">
        <v>1</v>
      </c>
      <c r="D29" t="str">
        <f t="shared" si="2"/>
        <v>Stock</v>
      </c>
      <c r="E29" s="26" t="str">
        <f t="shared" si="3"/>
        <v>1507</v>
      </c>
      <c r="F29" s="3" t="s">
        <v>226</v>
      </c>
      <c r="G29" s="2" t="s">
        <v>1893</v>
      </c>
      <c r="H29" s="2">
        <v>60.8</v>
      </c>
      <c r="J29" s="2">
        <f t="shared" si="4"/>
        <v>60.8</v>
      </c>
      <c r="K29" s="35" t="str">
        <f t="shared" ca="1" si="5"/>
        <v>INSERT INTO ETFValue (DataDate, TimeCategory, ProductType, ProductLink, ProductCode, ProductName, NAV, Price, RecTime) VALUES ('2021/5/14','1', 'Stock', '1507','1507','永大','60.8','60.8','15:15:01');</v>
      </c>
    </row>
    <row r="30" spans="1:11">
      <c r="A30" s="21" t="str">
        <f t="shared" ca="1" si="0"/>
        <v>2021/5/14</v>
      </c>
      <c r="B30" s="22" t="str">
        <f t="shared" ca="1" si="1"/>
        <v>15:15:01</v>
      </c>
      <c r="C30" s="23">
        <v>1</v>
      </c>
      <c r="D30" t="str">
        <f t="shared" si="2"/>
        <v>Stock</v>
      </c>
      <c r="E30" s="26" t="str">
        <f t="shared" si="3"/>
        <v>1536</v>
      </c>
      <c r="F30" s="3" t="s">
        <v>227</v>
      </c>
      <c r="G30" s="2" t="s">
        <v>1894</v>
      </c>
      <c r="H30" s="2">
        <v>87</v>
      </c>
      <c r="J30" s="2">
        <f t="shared" si="4"/>
        <v>87</v>
      </c>
      <c r="K30" s="35" t="str">
        <f t="shared" ca="1" si="5"/>
        <v>INSERT INTO ETFValue (DataDate, TimeCategory, ProductType, ProductLink, ProductCode, ProductName, NAV, Price, RecTime) VALUES ('2021/5/14','1', 'Stock', '1536','1536','和大','87','87','15:15:01');</v>
      </c>
    </row>
    <row r="31" spans="1:11">
      <c r="A31" s="21" t="str">
        <f t="shared" ca="1" si="0"/>
        <v>2021/5/14</v>
      </c>
      <c r="B31" s="22" t="str">
        <f t="shared" ca="1" si="1"/>
        <v>15:15:01</v>
      </c>
      <c r="C31" s="23">
        <v>1</v>
      </c>
      <c r="D31" t="str">
        <f t="shared" si="2"/>
        <v>Stock</v>
      </c>
      <c r="E31" s="26" t="str">
        <f t="shared" si="3"/>
        <v>1565</v>
      </c>
      <c r="F31" s="3" t="s">
        <v>836</v>
      </c>
      <c r="G31" s="2" t="s">
        <v>1895</v>
      </c>
      <c r="H31" s="2">
        <v>285</v>
      </c>
      <c r="J31" s="2">
        <f t="shared" si="4"/>
        <v>285</v>
      </c>
      <c r="K31" s="35" t="str">
        <f t="shared" ca="1" si="5"/>
        <v>INSERT INTO ETFValue (DataDate, TimeCategory, ProductType, ProductLink, ProductCode, ProductName, NAV, Price, RecTime) VALUES ('2021/5/14','1', 'Stock', '1565','1565','精華','285','285','15:15:01');</v>
      </c>
    </row>
    <row r="32" spans="1:11">
      <c r="A32" s="21" t="str">
        <f t="shared" ca="1" si="0"/>
        <v>2021/5/14</v>
      </c>
      <c r="B32" s="22" t="str">
        <f t="shared" ca="1" si="1"/>
        <v>15:15:01</v>
      </c>
      <c r="C32" s="23">
        <v>1</v>
      </c>
      <c r="D32" t="str">
        <f t="shared" si="2"/>
        <v>Stock</v>
      </c>
      <c r="E32" s="26" t="str">
        <f t="shared" si="3"/>
        <v>1586</v>
      </c>
      <c r="F32" s="3" t="s">
        <v>837</v>
      </c>
      <c r="G32" s="2" t="s">
        <v>1896</v>
      </c>
      <c r="H32" s="2">
        <v>42.3</v>
      </c>
      <c r="J32" s="2">
        <f t="shared" si="4"/>
        <v>42.3</v>
      </c>
      <c r="K32" s="35" t="str">
        <f t="shared" ca="1" si="5"/>
        <v>INSERT INTO ETFValue (DataDate, TimeCategory, ProductType, ProductLink, ProductCode, ProductName, NAV, Price, RecTime) VALUES ('2021/5/14','1', 'Stock', '1586','1586','和勤','42.3','42.3','15:15:01');</v>
      </c>
    </row>
    <row r="33" spans="1:11">
      <c r="A33" s="21" t="str">
        <f t="shared" ca="1" si="0"/>
        <v>2021/5/14</v>
      </c>
      <c r="B33" s="22" t="str">
        <f t="shared" ca="1" si="1"/>
        <v>15:15:01</v>
      </c>
      <c r="C33" s="23">
        <v>1</v>
      </c>
      <c r="D33" t="str">
        <f t="shared" si="2"/>
        <v>Stock</v>
      </c>
      <c r="E33" s="26" t="str">
        <f t="shared" si="3"/>
        <v>1590</v>
      </c>
      <c r="F33" s="3" t="s">
        <v>228</v>
      </c>
      <c r="G33" s="2" t="s">
        <v>1897</v>
      </c>
      <c r="H33" s="2">
        <v>1000</v>
      </c>
      <c r="J33" s="2">
        <f t="shared" si="4"/>
        <v>1000</v>
      </c>
      <c r="K33" s="35" t="str">
        <f t="shared" ca="1" si="5"/>
        <v>INSERT INTO ETFValue (DataDate, TimeCategory, ProductType, ProductLink, ProductCode, ProductName, NAV, Price, RecTime) VALUES ('2021/5/14','1', 'Stock', '1590','1590','亞德客-KY','1000','1000','15:15:01');</v>
      </c>
    </row>
    <row r="34" spans="1:11">
      <c r="A34" s="21" t="str">
        <f t="shared" ca="1" si="0"/>
        <v>2021/5/14</v>
      </c>
      <c r="B34" s="22" t="str">
        <f t="shared" ca="1" si="1"/>
        <v>15:15:01</v>
      </c>
      <c r="C34" s="23">
        <v>1</v>
      </c>
      <c r="D34" t="str">
        <f t="shared" si="2"/>
        <v>Stock</v>
      </c>
      <c r="E34" s="26" t="str">
        <f t="shared" si="3"/>
        <v>1597</v>
      </c>
      <c r="F34" s="3" t="s">
        <v>838</v>
      </c>
      <c r="G34" s="2" t="s">
        <v>1898</v>
      </c>
      <c r="H34" s="2">
        <v>91.4</v>
      </c>
      <c r="J34" s="2">
        <f t="shared" si="4"/>
        <v>91.4</v>
      </c>
      <c r="K34" s="35" t="str">
        <f t="shared" ca="1" si="5"/>
        <v>INSERT INTO ETFValue (DataDate, TimeCategory, ProductType, ProductLink, ProductCode, ProductName, NAV, Price, RecTime) VALUES ('2021/5/14','1', 'Stock', '1597','1597','直得','91.4','91.4','15:15:01');</v>
      </c>
    </row>
    <row r="35" spans="1:11">
      <c r="A35" s="21" t="str">
        <f t="shared" ca="1" si="0"/>
        <v>2021/5/14</v>
      </c>
      <c r="B35" s="22" t="str">
        <f t="shared" ca="1" si="1"/>
        <v>15:15:01</v>
      </c>
      <c r="C35" s="23">
        <v>1</v>
      </c>
      <c r="D35" t="str">
        <f t="shared" si="2"/>
        <v>Stock</v>
      </c>
      <c r="E35" s="26" t="str">
        <f t="shared" si="3"/>
        <v>1599</v>
      </c>
      <c r="F35" s="3" t="s">
        <v>1063</v>
      </c>
      <c r="G35" s="2" t="s">
        <v>1899</v>
      </c>
      <c r="H35" s="2">
        <v>39.049999999999997</v>
      </c>
      <c r="J35" s="2">
        <f t="shared" si="4"/>
        <v>39.049999999999997</v>
      </c>
      <c r="K35" s="35" t="str">
        <f t="shared" ca="1" si="5"/>
        <v>INSERT INTO ETFValue (DataDate, TimeCategory, ProductType, ProductLink, ProductCode, ProductName, NAV, Price, RecTime) VALUES ('2021/5/14','1', 'Stock', '1599','1599','宏佳騰','39.05','39.05','15:15:01');</v>
      </c>
    </row>
    <row r="36" spans="1:11">
      <c r="A36" s="21" t="str">
        <f t="shared" ca="1" si="0"/>
        <v>2021/5/14</v>
      </c>
      <c r="B36" s="22" t="str">
        <f t="shared" ca="1" si="1"/>
        <v>15:15:01</v>
      </c>
      <c r="C36" s="23">
        <v>1</v>
      </c>
      <c r="D36" t="str">
        <f t="shared" si="2"/>
        <v>Stock</v>
      </c>
      <c r="E36" s="26" t="str">
        <f t="shared" si="3"/>
        <v>1605</v>
      </c>
      <c r="F36" s="3" t="s">
        <v>229</v>
      </c>
      <c r="G36" s="2" t="s">
        <v>1900</v>
      </c>
      <c r="H36" s="2">
        <v>23.05</v>
      </c>
      <c r="J36" s="2">
        <f t="shared" si="4"/>
        <v>23.05</v>
      </c>
      <c r="K36" s="35" t="str">
        <f t="shared" ca="1" si="5"/>
        <v>INSERT INTO ETFValue (DataDate, TimeCategory, ProductType, ProductLink, ProductCode, ProductName, NAV, Price, RecTime) VALUES ('2021/5/14','1', 'Stock', '1605','1605','華新','23.05','23.05','15:15:01');</v>
      </c>
    </row>
    <row r="37" spans="1:11">
      <c r="A37" s="21" t="str">
        <f t="shared" ca="1" si="0"/>
        <v>2021/5/14</v>
      </c>
      <c r="B37" s="22" t="str">
        <f t="shared" ca="1" si="1"/>
        <v>15:15:01</v>
      </c>
      <c r="C37" s="23">
        <v>1</v>
      </c>
      <c r="D37" t="str">
        <f t="shared" si="2"/>
        <v>Stock</v>
      </c>
      <c r="E37" s="26" t="str">
        <f t="shared" si="3"/>
        <v>1609</v>
      </c>
      <c r="F37" s="3" t="s">
        <v>767</v>
      </c>
      <c r="G37" s="2" t="s">
        <v>1901</v>
      </c>
      <c r="H37" s="2">
        <v>24.55</v>
      </c>
      <c r="J37" s="2">
        <f t="shared" si="4"/>
        <v>24.55</v>
      </c>
      <c r="K37" s="35" t="str">
        <f t="shared" ca="1" si="5"/>
        <v>INSERT INTO ETFValue (DataDate, TimeCategory, ProductType, ProductLink, ProductCode, ProductName, NAV, Price, RecTime) VALUES ('2021/5/14','1', 'Stock', '1609','1609','大亞','24.55','24.55','15:15:01');</v>
      </c>
    </row>
    <row r="38" spans="1:11">
      <c r="A38" s="21" t="str">
        <f t="shared" ca="1" si="0"/>
        <v>2021/5/14</v>
      </c>
      <c r="B38" s="22" t="str">
        <f t="shared" ca="1" si="1"/>
        <v>15:15:01</v>
      </c>
      <c r="C38" s="23">
        <v>1</v>
      </c>
      <c r="D38" t="str">
        <f t="shared" si="2"/>
        <v>Stock</v>
      </c>
      <c r="E38" s="26" t="str">
        <f t="shared" si="3"/>
        <v>1707</v>
      </c>
      <c r="F38" s="3" t="s">
        <v>230</v>
      </c>
      <c r="G38" s="2" t="s">
        <v>1902</v>
      </c>
      <c r="H38" s="2">
        <v>168.5</v>
      </c>
      <c r="J38" s="2">
        <f t="shared" si="4"/>
        <v>168.5</v>
      </c>
      <c r="K38" s="35" t="str">
        <f t="shared" ca="1" si="5"/>
        <v>INSERT INTO ETFValue (DataDate, TimeCategory, ProductType, ProductLink, ProductCode, ProductName, NAV, Price, RecTime) VALUES ('2021/5/14','1', 'Stock', '1707','1707','葡萄王','168.5','168.5','15:15:01');</v>
      </c>
    </row>
    <row r="39" spans="1:11">
      <c r="A39" s="21" t="str">
        <f t="shared" ca="1" si="0"/>
        <v>2021/5/14</v>
      </c>
      <c r="B39" s="22" t="str">
        <f t="shared" ca="1" si="1"/>
        <v>15:15:01</v>
      </c>
      <c r="C39" s="23">
        <v>1</v>
      </c>
      <c r="D39" t="str">
        <f t="shared" si="2"/>
        <v>Stock</v>
      </c>
      <c r="E39" s="26" t="str">
        <f t="shared" si="3"/>
        <v>1717</v>
      </c>
      <c r="F39" s="3" t="s">
        <v>754</v>
      </c>
      <c r="G39" s="2" t="s">
        <v>1903</v>
      </c>
      <c r="H39" s="2">
        <v>35.299999999999997</v>
      </c>
      <c r="J39" s="2">
        <f t="shared" si="4"/>
        <v>35.299999999999997</v>
      </c>
      <c r="K39" s="35" t="str">
        <f t="shared" ca="1" si="5"/>
        <v>INSERT INTO ETFValue (DataDate, TimeCategory, ProductType, ProductLink, ProductCode, ProductName, NAV, Price, RecTime) VALUES ('2021/5/14','1', 'Stock', '1717','1717','長興','35.3','35.3','15:15:01');</v>
      </c>
    </row>
    <row r="40" spans="1:11">
      <c r="A40" s="21" t="str">
        <f t="shared" ca="1" si="0"/>
        <v>2021/5/14</v>
      </c>
      <c r="B40" s="22" t="str">
        <f t="shared" ca="1" si="1"/>
        <v>15:15:01</v>
      </c>
      <c r="C40" s="23">
        <v>1</v>
      </c>
      <c r="D40" t="str">
        <f t="shared" si="2"/>
        <v>Stock</v>
      </c>
      <c r="E40" s="26" t="str">
        <f t="shared" si="3"/>
        <v>1722</v>
      </c>
      <c r="F40" s="3" t="s">
        <v>231</v>
      </c>
      <c r="G40" s="2" t="s">
        <v>1904</v>
      </c>
      <c r="H40" s="2">
        <v>56.2</v>
      </c>
      <c r="J40" s="2">
        <f t="shared" si="4"/>
        <v>56.2</v>
      </c>
      <c r="K40" s="35" t="str">
        <f t="shared" ca="1" si="5"/>
        <v>INSERT INTO ETFValue (DataDate, TimeCategory, ProductType, ProductLink, ProductCode, ProductName, NAV, Price, RecTime) VALUES ('2021/5/14','1', 'Stock', '1722','1722','台肥','56.2','56.2','15:15:01');</v>
      </c>
    </row>
    <row r="41" spans="1:11">
      <c r="A41" s="21" t="str">
        <f t="shared" ca="1" si="0"/>
        <v>2021/5/14</v>
      </c>
      <c r="B41" s="22" t="str">
        <f t="shared" ca="1" si="1"/>
        <v>15:15:01</v>
      </c>
      <c r="C41" s="23">
        <v>1</v>
      </c>
      <c r="D41" t="str">
        <f t="shared" si="2"/>
        <v>Stock</v>
      </c>
      <c r="E41" s="26" t="str">
        <f t="shared" si="3"/>
        <v>1723</v>
      </c>
      <c r="F41" s="3" t="s">
        <v>232</v>
      </c>
      <c r="G41" s="2" t="s">
        <v>1905</v>
      </c>
      <c r="H41" s="2">
        <v>105</v>
      </c>
      <c r="J41" s="2">
        <f t="shared" si="4"/>
        <v>105</v>
      </c>
      <c r="K41" s="35" t="str">
        <f t="shared" ca="1" si="5"/>
        <v>INSERT INTO ETFValue (DataDate, TimeCategory, ProductType, ProductLink, ProductCode, ProductName, NAV, Price, RecTime) VALUES ('2021/5/14','1', 'Stock', '1723','1723','中碳','105','105','15:15:01');</v>
      </c>
    </row>
    <row r="42" spans="1:11">
      <c r="A42" s="21" t="str">
        <f t="shared" ca="1" si="0"/>
        <v>2021/5/14</v>
      </c>
      <c r="B42" s="22" t="str">
        <f t="shared" ca="1" si="1"/>
        <v>15:15:01</v>
      </c>
      <c r="C42" s="23">
        <v>1</v>
      </c>
      <c r="D42" t="str">
        <f t="shared" si="2"/>
        <v>Stock</v>
      </c>
      <c r="E42" s="26" t="str">
        <f t="shared" si="3"/>
        <v>1777</v>
      </c>
      <c r="F42" s="3" t="s">
        <v>1046</v>
      </c>
      <c r="G42" s="2" t="s">
        <v>1906</v>
      </c>
      <c r="H42" s="2">
        <v>88.5</v>
      </c>
      <c r="J42" s="2">
        <f t="shared" si="4"/>
        <v>88.5</v>
      </c>
      <c r="K42" s="35" t="str">
        <f t="shared" ca="1" si="5"/>
        <v>INSERT INTO ETFValue (DataDate, TimeCategory, ProductType, ProductLink, ProductCode, ProductName, NAV, Price, RecTime) VALUES ('2021/5/14','1', 'Stock', '1777','1777','生泰','88.5','88.5','15:15:01');</v>
      </c>
    </row>
    <row r="43" spans="1:11">
      <c r="A43" s="21" t="str">
        <f t="shared" ca="1" si="0"/>
        <v>2021/5/14</v>
      </c>
      <c r="B43" s="22" t="str">
        <f t="shared" ca="1" si="1"/>
        <v>15:15:01</v>
      </c>
      <c r="C43" s="23">
        <v>1</v>
      </c>
      <c r="D43" t="str">
        <f t="shared" si="2"/>
        <v>Stock</v>
      </c>
      <c r="E43" s="26" t="str">
        <f t="shared" si="3"/>
        <v>1785</v>
      </c>
      <c r="F43" s="3" t="s">
        <v>839</v>
      </c>
      <c r="G43" s="2" t="s">
        <v>1907</v>
      </c>
      <c r="H43" s="2">
        <v>43.4</v>
      </c>
      <c r="J43" s="2">
        <f t="shared" si="4"/>
        <v>43.4</v>
      </c>
      <c r="K43" s="35" t="str">
        <f t="shared" ca="1" si="5"/>
        <v>INSERT INTO ETFValue (DataDate, TimeCategory, ProductType, ProductLink, ProductCode, ProductName, NAV, Price, RecTime) VALUES ('2021/5/14','1', 'Stock', '1785','1785','光洋科','43.4','43.4','15:15:01');</v>
      </c>
    </row>
    <row r="44" spans="1:11">
      <c r="A44" s="21" t="str">
        <f t="shared" ca="1" si="0"/>
        <v>2021/5/14</v>
      </c>
      <c r="B44" s="22" t="str">
        <f t="shared" ca="1" si="1"/>
        <v>15:15:01</v>
      </c>
      <c r="C44" s="23">
        <v>1</v>
      </c>
      <c r="D44" t="str">
        <f t="shared" si="2"/>
        <v>Stock</v>
      </c>
      <c r="E44" s="26" t="str">
        <f t="shared" si="3"/>
        <v>1795</v>
      </c>
      <c r="F44" s="3" t="s">
        <v>840</v>
      </c>
      <c r="G44" s="2" t="s">
        <v>1908</v>
      </c>
      <c r="H44" s="2">
        <v>75.099999999999994</v>
      </c>
      <c r="J44" s="2">
        <f t="shared" si="4"/>
        <v>75.099999999999994</v>
      </c>
      <c r="K44" s="35" t="str">
        <f t="shared" ca="1" si="5"/>
        <v>INSERT INTO ETFValue (DataDate, TimeCategory, ProductType, ProductLink, ProductCode, ProductName, NAV, Price, RecTime) VALUES ('2021/5/14','1', 'Stock', '1795','1795','美時','75.1','75.1','15:15:01');</v>
      </c>
    </row>
    <row r="45" spans="1:11">
      <c r="A45" s="21" t="str">
        <f t="shared" ca="1" si="0"/>
        <v>2021/5/14</v>
      </c>
      <c r="B45" s="22" t="str">
        <f t="shared" ca="1" si="1"/>
        <v>15:15:01</v>
      </c>
      <c r="C45" s="23">
        <v>1</v>
      </c>
      <c r="D45" t="str">
        <f t="shared" si="2"/>
        <v>Stock</v>
      </c>
      <c r="E45" s="26" t="str">
        <f t="shared" si="3"/>
        <v>1802</v>
      </c>
      <c r="F45" s="3" t="s">
        <v>233</v>
      </c>
      <c r="G45" s="2" t="s">
        <v>1909</v>
      </c>
      <c r="H45" s="2">
        <v>28.7</v>
      </c>
      <c r="J45" s="2">
        <f t="shared" si="4"/>
        <v>28.7</v>
      </c>
      <c r="K45" s="35" t="str">
        <f t="shared" ca="1" si="5"/>
        <v>INSERT INTO ETFValue (DataDate, TimeCategory, ProductType, ProductLink, ProductCode, ProductName, NAV, Price, RecTime) VALUES ('2021/5/14','1', 'Stock', '1802','1802','台玻','28.7','28.7','15:15:01');</v>
      </c>
    </row>
    <row r="46" spans="1:11">
      <c r="A46" s="21" t="str">
        <f t="shared" ca="1" si="0"/>
        <v>2021/5/14</v>
      </c>
      <c r="B46" s="22" t="str">
        <f t="shared" ca="1" si="1"/>
        <v>15:15:01</v>
      </c>
      <c r="C46" s="23">
        <v>1</v>
      </c>
      <c r="D46" t="str">
        <f t="shared" si="2"/>
        <v>Stock</v>
      </c>
      <c r="E46" s="26" t="str">
        <f t="shared" si="3"/>
        <v>1815</v>
      </c>
      <c r="F46" s="3" t="s">
        <v>841</v>
      </c>
      <c r="G46" s="2" t="s">
        <v>1910</v>
      </c>
      <c r="H46" s="2">
        <v>13.85</v>
      </c>
      <c r="J46" s="2">
        <f t="shared" si="4"/>
        <v>13.85</v>
      </c>
      <c r="K46" s="35" t="str">
        <f t="shared" ca="1" si="5"/>
        <v>INSERT INTO ETFValue (DataDate, TimeCategory, ProductType, ProductLink, ProductCode, ProductName, NAV, Price, RecTime) VALUES ('2021/5/14','1', 'Stock', '1815','1815','富喬','13.85','13.85','15:15:01');</v>
      </c>
    </row>
    <row r="47" spans="1:11">
      <c r="A47" s="21" t="str">
        <f t="shared" ca="1" si="0"/>
        <v>2021/5/14</v>
      </c>
      <c r="B47" s="22" t="str">
        <f t="shared" ca="1" si="1"/>
        <v>15:15:01</v>
      </c>
      <c r="C47" s="23">
        <v>1</v>
      </c>
      <c r="D47" t="str">
        <f t="shared" si="2"/>
        <v>Stock</v>
      </c>
      <c r="E47" s="26" t="str">
        <f t="shared" si="3"/>
        <v>1904</v>
      </c>
      <c r="F47" s="3" t="s">
        <v>813</v>
      </c>
      <c r="G47" s="2" t="s">
        <v>1911</v>
      </c>
      <c r="H47" s="2">
        <v>39.299999999999997</v>
      </c>
      <c r="J47" s="2">
        <f t="shared" si="4"/>
        <v>39.299999999999997</v>
      </c>
      <c r="K47" s="35" t="str">
        <f t="shared" ca="1" si="5"/>
        <v>INSERT INTO ETFValue (DataDate, TimeCategory, ProductType, ProductLink, ProductCode, ProductName, NAV, Price, RecTime) VALUES ('2021/5/14','1', 'Stock', '1904','1904','正隆','39.3','39.3','15:15:01');</v>
      </c>
    </row>
    <row r="48" spans="1:11">
      <c r="A48" s="21" t="str">
        <f t="shared" ca="1" si="0"/>
        <v>2021/5/14</v>
      </c>
      <c r="B48" s="22" t="str">
        <f t="shared" ca="1" si="1"/>
        <v>15:15:01</v>
      </c>
      <c r="C48" s="23">
        <v>1</v>
      </c>
      <c r="D48" t="str">
        <f t="shared" si="2"/>
        <v>Stock</v>
      </c>
      <c r="E48" s="26" t="str">
        <f t="shared" si="3"/>
        <v>2002</v>
      </c>
      <c r="F48" s="3" t="s">
        <v>234</v>
      </c>
      <c r="G48" s="2" t="s">
        <v>1912</v>
      </c>
      <c r="H48" s="2">
        <v>34.85</v>
      </c>
      <c r="J48" s="2">
        <f t="shared" si="4"/>
        <v>34.85</v>
      </c>
      <c r="K48" s="35" t="str">
        <f t="shared" ca="1" si="5"/>
        <v>INSERT INTO ETFValue (DataDate, TimeCategory, ProductType, ProductLink, ProductCode, ProductName, NAV, Price, RecTime) VALUES ('2021/5/14','1', 'Stock', '2002','2002','中鋼','34.85','34.85','15:15:01');</v>
      </c>
    </row>
    <row r="49" spans="1:11">
      <c r="A49" s="21" t="str">
        <f t="shared" ca="1" si="0"/>
        <v>2021/5/14</v>
      </c>
      <c r="B49" s="22" t="str">
        <f t="shared" ca="1" si="1"/>
        <v>15:15:01</v>
      </c>
      <c r="C49" s="23">
        <v>1</v>
      </c>
      <c r="D49" t="str">
        <f t="shared" si="2"/>
        <v>Stock</v>
      </c>
      <c r="E49" s="26" t="str">
        <f t="shared" si="3"/>
        <v>2006</v>
      </c>
      <c r="F49" s="3" t="s">
        <v>768</v>
      </c>
      <c r="G49" s="2" t="s">
        <v>1913</v>
      </c>
      <c r="H49" s="2">
        <v>47.05</v>
      </c>
      <c r="J49" s="2">
        <f t="shared" si="4"/>
        <v>47.05</v>
      </c>
      <c r="K49" s="35" t="str">
        <f t="shared" ca="1" si="5"/>
        <v>INSERT INTO ETFValue (DataDate, TimeCategory, ProductType, ProductLink, ProductCode, ProductName, NAV, Price, RecTime) VALUES ('2021/5/14','1', 'Stock', '2006','2006','東和鋼鐵','47.05','47.05','15:15:01');</v>
      </c>
    </row>
    <row r="50" spans="1:11">
      <c r="A50" s="21" t="str">
        <f t="shared" ca="1" si="0"/>
        <v>2021/5/14</v>
      </c>
      <c r="B50" s="22" t="str">
        <f t="shared" ca="1" si="1"/>
        <v>15:15:01</v>
      </c>
      <c r="C50" s="23">
        <v>1</v>
      </c>
      <c r="D50" t="str">
        <f t="shared" si="2"/>
        <v>Stock</v>
      </c>
      <c r="E50" s="26" t="str">
        <f t="shared" si="3"/>
        <v>2013</v>
      </c>
      <c r="F50" s="3" t="s">
        <v>791</v>
      </c>
      <c r="G50" s="2" t="s">
        <v>1914</v>
      </c>
      <c r="H50" s="2">
        <v>39.35</v>
      </c>
      <c r="J50" s="2">
        <f t="shared" si="4"/>
        <v>39.35</v>
      </c>
      <c r="K50" s="35" t="str">
        <f t="shared" ca="1" si="5"/>
        <v>INSERT INTO ETFValue (DataDate, TimeCategory, ProductType, ProductLink, ProductCode, ProductName, NAV, Price, RecTime) VALUES ('2021/5/14','1', 'Stock', '2013','2013','中鋼構','39.35','39.35','15:15:01');</v>
      </c>
    </row>
    <row r="51" spans="1:11">
      <c r="A51" s="21" t="str">
        <f t="shared" ca="1" si="0"/>
        <v>2021/5/14</v>
      </c>
      <c r="B51" s="22" t="str">
        <f t="shared" ca="1" si="1"/>
        <v>15:15:01</v>
      </c>
      <c r="C51" s="23">
        <v>1</v>
      </c>
      <c r="D51" t="str">
        <f t="shared" si="2"/>
        <v>Stock</v>
      </c>
      <c r="E51" s="26" t="str">
        <f t="shared" si="3"/>
        <v>2027</v>
      </c>
      <c r="F51" s="3" t="s">
        <v>235</v>
      </c>
      <c r="G51" s="2" t="s">
        <v>1915</v>
      </c>
      <c r="H51" s="2">
        <v>37.4</v>
      </c>
      <c r="J51" s="2">
        <f t="shared" si="4"/>
        <v>37.4</v>
      </c>
      <c r="K51" s="35" t="str">
        <f t="shared" ca="1" si="5"/>
        <v>INSERT INTO ETFValue (DataDate, TimeCategory, ProductType, ProductLink, ProductCode, ProductName, NAV, Price, RecTime) VALUES ('2021/5/14','1', 'Stock', '2027','2027','大成鋼','37.4','37.4','15:15:01');</v>
      </c>
    </row>
    <row r="52" spans="1:11">
      <c r="A52" s="21" t="str">
        <f t="shared" ca="1" si="0"/>
        <v>2021/5/14</v>
      </c>
      <c r="B52" s="22" t="str">
        <f t="shared" ca="1" si="1"/>
        <v>15:15:01</v>
      </c>
      <c r="C52" s="23">
        <v>1</v>
      </c>
      <c r="D52" t="str">
        <f t="shared" si="2"/>
        <v>Stock</v>
      </c>
      <c r="E52" s="26" t="str">
        <f t="shared" si="3"/>
        <v>2049</v>
      </c>
      <c r="F52" s="3" t="s">
        <v>236</v>
      </c>
      <c r="G52" s="2" t="s">
        <v>1916</v>
      </c>
      <c r="H52" s="2">
        <v>330.5</v>
      </c>
      <c r="J52" s="2">
        <f t="shared" si="4"/>
        <v>330.5</v>
      </c>
      <c r="K52" s="35" t="str">
        <f t="shared" ca="1" si="5"/>
        <v>INSERT INTO ETFValue (DataDate, TimeCategory, ProductType, ProductLink, ProductCode, ProductName, NAV, Price, RecTime) VALUES ('2021/5/14','1', 'Stock', '2049','2049','上銀','330.5','330.5','15:15:01');</v>
      </c>
    </row>
    <row r="53" spans="1:11">
      <c r="A53" s="21" t="str">
        <f t="shared" ca="1" si="0"/>
        <v>2021/5/14</v>
      </c>
      <c r="B53" s="22" t="str">
        <f t="shared" ca="1" si="1"/>
        <v>15:15:01</v>
      </c>
      <c r="C53" s="23">
        <v>1</v>
      </c>
      <c r="D53" t="str">
        <f t="shared" si="2"/>
        <v>Stock</v>
      </c>
      <c r="E53" s="26" t="str">
        <f t="shared" si="3"/>
        <v>2059</v>
      </c>
      <c r="F53" s="3" t="s">
        <v>237</v>
      </c>
      <c r="G53" s="2" t="s">
        <v>1917</v>
      </c>
      <c r="H53" s="2">
        <v>376</v>
      </c>
      <c r="J53" s="2">
        <f t="shared" si="4"/>
        <v>376</v>
      </c>
      <c r="K53" s="35" t="str">
        <f t="shared" ca="1" si="5"/>
        <v>INSERT INTO ETFValue (DataDate, TimeCategory, ProductType, ProductLink, ProductCode, ProductName, NAV, Price, RecTime) VALUES ('2021/5/14','1', 'Stock', '2059','2059','川湖','376','376','15:15:01');</v>
      </c>
    </row>
    <row r="54" spans="1:11">
      <c r="A54" s="21" t="str">
        <f t="shared" ca="1" si="0"/>
        <v>2021/5/14</v>
      </c>
      <c r="B54" s="22" t="str">
        <f t="shared" ca="1" si="1"/>
        <v>15:15:01</v>
      </c>
      <c r="C54" s="23">
        <v>1</v>
      </c>
      <c r="D54" t="str">
        <f t="shared" si="2"/>
        <v>Stock</v>
      </c>
      <c r="E54" s="26" t="str">
        <f t="shared" si="3"/>
        <v>2066</v>
      </c>
      <c r="F54" s="3" t="s">
        <v>1047</v>
      </c>
      <c r="G54" s="2" t="s">
        <v>1918</v>
      </c>
      <c r="H54" s="2">
        <v>51.5</v>
      </c>
      <c r="J54" s="2">
        <f t="shared" si="4"/>
        <v>51.5</v>
      </c>
      <c r="K54" s="35" t="str">
        <f t="shared" ca="1" si="5"/>
        <v>INSERT INTO ETFValue (DataDate, TimeCategory, ProductType, ProductLink, ProductCode, ProductName, NAV, Price, RecTime) VALUES ('2021/5/14','1', 'Stock', '2066','2066','世德','51.5','51.5','15:15:01');</v>
      </c>
    </row>
    <row r="55" spans="1:11">
      <c r="A55" s="21" t="str">
        <f t="shared" ca="1" si="0"/>
        <v>2021/5/14</v>
      </c>
      <c r="B55" s="22" t="str">
        <f t="shared" ca="1" si="1"/>
        <v>15:15:01</v>
      </c>
      <c r="C55" s="23">
        <v>1</v>
      </c>
      <c r="D55" t="str">
        <f t="shared" si="2"/>
        <v>Stock</v>
      </c>
      <c r="E55" s="26" t="str">
        <f t="shared" si="3"/>
        <v>2101</v>
      </c>
      <c r="F55" s="3" t="s">
        <v>238</v>
      </c>
      <c r="G55" s="2" t="s">
        <v>1919</v>
      </c>
      <c r="H55" s="2">
        <v>37.299999999999997</v>
      </c>
      <c r="J55" s="2">
        <f t="shared" si="4"/>
        <v>37.299999999999997</v>
      </c>
      <c r="K55" s="35" t="str">
        <f t="shared" ca="1" si="5"/>
        <v>INSERT INTO ETFValue (DataDate, TimeCategory, ProductType, ProductLink, ProductCode, ProductName, NAV, Price, RecTime) VALUES ('2021/5/14','1', 'Stock', '2101','2101','南港','37.3','37.3','15:15:01');</v>
      </c>
    </row>
    <row r="56" spans="1:11">
      <c r="A56" s="21" t="str">
        <f t="shared" ca="1" si="0"/>
        <v>2021/5/14</v>
      </c>
      <c r="B56" s="22" t="str">
        <f t="shared" ca="1" si="1"/>
        <v>15:15:01</v>
      </c>
      <c r="C56" s="23">
        <v>1</v>
      </c>
      <c r="D56" t="str">
        <f t="shared" si="2"/>
        <v>Stock</v>
      </c>
      <c r="E56" s="26" t="str">
        <f t="shared" si="3"/>
        <v>2103</v>
      </c>
      <c r="F56" s="3" t="s">
        <v>239</v>
      </c>
      <c r="G56" s="2" t="s">
        <v>1920</v>
      </c>
      <c r="H56" s="2">
        <v>29.2</v>
      </c>
      <c r="J56" s="2">
        <f t="shared" si="4"/>
        <v>29.2</v>
      </c>
      <c r="K56" s="35" t="str">
        <f t="shared" ca="1" si="5"/>
        <v>INSERT INTO ETFValue (DataDate, TimeCategory, ProductType, ProductLink, ProductCode, ProductName, NAV, Price, RecTime) VALUES ('2021/5/14','1', 'Stock', '2103','2103','台橡','29.2','29.2','15:15:01');</v>
      </c>
    </row>
    <row r="57" spans="1:11">
      <c r="A57" s="21" t="str">
        <f t="shared" ca="1" si="0"/>
        <v>2021/5/14</v>
      </c>
      <c r="B57" s="22" t="str">
        <f t="shared" ca="1" si="1"/>
        <v>15:15:01</v>
      </c>
      <c r="C57" s="23">
        <v>1</v>
      </c>
      <c r="D57" t="str">
        <f t="shared" si="2"/>
        <v>Stock</v>
      </c>
      <c r="E57" s="26" t="str">
        <f t="shared" si="3"/>
        <v>2104</v>
      </c>
      <c r="F57" s="3" t="s">
        <v>240</v>
      </c>
      <c r="G57" s="2" t="s">
        <v>1921</v>
      </c>
      <c r="H57" s="2">
        <v>23.85</v>
      </c>
      <c r="J57" s="2">
        <f t="shared" si="4"/>
        <v>23.85</v>
      </c>
      <c r="K57" s="35" t="str">
        <f t="shared" ca="1" si="5"/>
        <v>INSERT INTO ETFValue (DataDate, TimeCategory, ProductType, ProductLink, ProductCode, ProductName, NAV, Price, RecTime) VALUES ('2021/5/14','1', 'Stock', '2104','2104','國際中橡','23.85','23.85','15:15:01');</v>
      </c>
    </row>
    <row r="58" spans="1:11">
      <c r="A58" s="21" t="str">
        <f t="shared" ca="1" si="0"/>
        <v>2021/5/14</v>
      </c>
      <c r="B58" s="22" t="str">
        <f t="shared" ca="1" si="1"/>
        <v>15:15:01</v>
      </c>
      <c r="C58" s="23">
        <v>1</v>
      </c>
      <c r="D58" t="str">
        <f t="shared" si="2"/>
        <v>Stock</v>
      </c>
      <c r="E58" s="26" t="str">
        <f t="shared" si="3"/>
        <v>2105</v>
      </c>
      <c r="F58" s="3" t="s">
        <v>241</v>
      </c>
      <c r="G58" s="2" t="s">
        <v>1922</v>
      </c>
      <c r="H58" s="2">
        <v>44.35</v>
      </c>
      <c r="J58" s="2">
        <f t="shared" si="4"/>
        <v>44.35</v>
      </c>
      <c r="K58" s="35" t="str">
        <f t="shared" ca="1" si="5"/>
        <v>INSERT INTO ETFValue (DataDate, TimeCategory, ProductType, ProductLink, ProductCode, ProductName, NAV, Price, RecTime) VALUES ('2021/5/14','1', 'Stock', '2105','2105','正新','44.35','44.35','15:15:01');</v>
      </c>
    </row>
    <row r="59" spans="1:11">
      <c r="A59" s="21" t="str">
        <f t="shared" ca="1" si="0"/>
        <v>2021/5/14</v>
      </c>
      <c r="B59" s="22" t="str">
        <f t="shared" ca="1" si="1"/>
        <v>15:15:01</v>
      </c>
      <c r="C59" s="23">
        <v>1</v>
      </c>
      <c r="D59" t="str">
        <f t="shared" si="2"/>
        <v>Stock</v>
      </c>
      <c r="E59" s="26" t="str">
        <f t="shared" si="3"/>
        <v>2106</v>
      </c>
      <c r="F59" s="3" t="s">
        <v>755</v>
      </c>
      <c r="G59" s="2" t="s">
        <v>1923</v>
      </c>
      <c r="H59" s="2">
        <v>40.200000000000003</v>
      </c>
      <c r="J59" s="2">
        <f t="shared" si="4"/>
        <v>40.200000000000003</v>
      </c>
      <c r="K59" s="35" t="str">
        <f t="shared" ca="1" si="5"/>
        <v>INSERT INTO ETFValue (DataDate, TimeCategory, ProductType, ProductLink, ProductCode, ProductName, NAV, Price, RecTime) VALUES ('2021/5/14','1', 'Stock', '2106','2106','建大','40.2','40.2','15:15:01');</v>
      </c>
    </row>
    <row r="60" spans="1:11">
      <c r="A60" s="21" t="str">
        <f t="shared" ca="1" si="0"/>
        <v>2021/5/14</v>
      </c>
      <c r="B60" s="22" t="str">
        <f t="shared" ca="1" si="1"/>
        <v>15:15:01</v>
      </c>
      <c r="C60" s="23">
        <v>1</v>
      </c>
      <c r="D60" t="str">
        <f t="shared" si="2"/>
        <v>Stock</v>
      </c>
      <c r="E60" s="26" t="str">
        <f t="shared" si="3"/>
        <v>2201</v>
      </c>
      <c r="F60" s="3" t="s">
        <v>242</v>
      </c>
      <c r="G60" s="2" t="s">
        <v>1924</v>
      </c>
      <c r="H60" s="2">
        <v>38.9</v>
      </c>
      <c r="J60" s="2">
        <f t="shared" si="4"/>
        <v>38.9</v>
      </c>
      <c r="K60" s="35" t="str">
        <f t="shared" ca="1" si="5"/>
        <v>INSERT INTO ETFValue (DataDate, TimeCategory, ProductType, ProductLink, ProductCode, ProductName, NAV, Price, RecTime) VALUES ('2021/5/14','1', 'Stock', '2201','2201','裕隆','38.9','38.9','15:15:01');</v>
      </c>
    </row>
    <row r="61" spans="1:11">
      <c r="A61" s="21" t="str">
        <f t="shared" ca="1" si="0"/>
        <v>2021/5/14</v>
      </c>
      <c r="B61" s="22" t="str">
        <f t="shared" ca="1" si="1"/>
        <v>15:15:01</v>
      </c>
      <c r="C61" s="23">
        <v>1</v>
      </c>
      <c r="D61" t="str">
        <f t="shared" si="2"/>
        <v>Stock</v>
      </c>
      <c r="E61" s="26" t="str">
        <f t="shared" si="3"/>
        <v>2204</v>
      </c>
      <c r="F61" s="3" t="s">
        <v>243</v>
      </c>
      <c r="G61" s="2" t="s">
        <v>1925</v>
      </c>
      <c r="H61" s="2">
        <v>67</v>
      </c>
      <c r="J61" s="2">
        <f t="shared" si="4"/>
        <v>67</v>
      </c>
      <c r="K61" s="35" t="str">
        <f t="shared" ca="1" si="5"/>
        <v>INSERT INTO ETFValue (DataDate, TimeCategory, ProductType, ProductLink, ProductCode, ProductName, NAV, Price, RecTime) VALUES ('2021/5/14','1', 'Stock', '2204','2204','中華','67','67','15:15:01');</v>
      </c>
    </row>
    <row r="62" spans="1:11">
      <c r="A62" s="21" t="str">
        <f t="shared" ca="1" si="0"/>
        <v>2021/5/14</v>
      </c>
      <c r="B62" s="22" t="str">
        <f t="shared" ca="1" si="1"/>
        <v>15:15:01</v>
      </c>
      <c r="C62" s="23">
        <v>1</v>
      </c>
      <c r="D62" t="str">
        <f t="shared" si="2"/>
        <v>Stock</v>
      </c>
      <c r="E62" s="26" t="str">
        <f t="shared" si="3"/>
        <v>2206</v>
      </c>
      <c r="F62" s="3" t="s">
        <v>756</v>
      </c>
      <c r="G62" s="2" t="s">
        <v>1926</v>
      </c>
      <c r="H62" s="2">
        <v>27.85</v>
      </c>
      <c r="J62" s="2">
        <f t="shared" si="4"/>
        <v>27.85</v>
      </c>
      <c r="K62" s="35" t="str">
        <f t="shared" ca="1" si="5"/>
        <v>INSERT INTO ETFValue (DataDate, TimeCategory, ProductType, ProductLink, ProductCode, ProductName, NAV, Price, RecTime) VALUES ('2021/5/14','1', 'Stock', '2206','2206','三陽工業','27.85','27.85','15:15:01');</v>
      </c>
    </row>
    <row r="63" spans="1:11">
      <c r="A63" s="21" t="str">
        <f t="shared" ca="1" si="0"/>
        <v>2021/5/14</v>
      </c>
      <c r="B63" s="22" t="str">
        <f t="shared" ca="1" si="1"/>
        <v>15:15:01</v>
      </c>
      <c r="C63" s="23">
        <v>1</v>
      </c>
      <c r="D63" t="str">
        <f t="shared" si="2"/>
        <v>Stock</v>
      </c>
      <c r="E63" s="26" t="str">
        <f t="shared" si="3"/>
        <v>2207</v>
      </c>
      <c r="F63" s="3" t="s">
        <v>244</v>
      </c>
      <c r="G63" s="2" t="s">
        <v>1927</v>
      </c>
      <c r="H63" s="2">
        <v>537</v>
      </c>
      <c r="J63" s="2">
        <f t="shared" si="4"/>
        <v>537</v>
      </c>
      <c r="K63" s="35" t="str">
        <f t="shared" ca="1" si="5"/>
        <v>INSERT INTO ETFValue (DataDate, TimeCategory, ProductType, ProductLink, ProductCode, ProductName, NAV, Price, RecTime) VALUES ('2021/5/14','1', 'Stock', '2207','2207','和泰車','537','537','15:15:01');</v>
      </c>
    </row>
    <row r="64" spans="1:11">
      <c r="A64" s="21" t="str">
        <f t="shared" ca="1" si="0"/>
        <v>2021/5/14</v>
      </c>
      <c r="B64" s="22" t="str">
        <f t="shared" ca="1" si="1"/>
        <v>15:15:01</v>
      </c>
      <c r="C64" s="23">
        <v>1</v>
      </c>
      <c r="D64" t="str">
        <f t="shared" si="2"/>
        <v>Stock</v>
      </c>
      <c r="E64" s="26" t="str">
        <f t="shared" si="3"/>
        <v>2208</v>
      </c>
      <c r="F64" s="3" t="s">
        <v>814</v>
      </c>
      <c r="G64" s="2" t="s">
        <v>1928</v>
      </c>
      <c r="H64" s="2">
        <v>20.100000000000001</v>
      </c>
      <c r="J64" s="2">
        <f t="shared" si="4"/>
        <v>20.100000000000001</v>
      </c>
      <c r="K64" s="35" t="str">
        <f t="shared" ca="1" si="5"/>
        <v>INSERT INTO ETFValue (DataDate, TimeCategory, ProductType, ProductLink, ProductCode, ProductName, NAV, Price, RecTime) VALUES ('2021/5/14','1', 'Stock', '2208','2208','台船','20.1','20.1','15:15:01');</v>
      </c>
    </row>
    <row r="65" spans="1:11">
      <c r="A65" s="21" t="str">
        <f t="shared" ca="1" si="0"/>
        <v>2021/5/14</v>
      </c>
      <c r="B65" s="22" t="str">
        <f t="shared" ca="1" si="1"/>
        <v>15:15:01</v>
      </c>
      <c r="C65" s="23">
        <v>1</v>
      </c>
      <c r="D65" t="str">
        <f t="shared" si="2"/>
        <v>Stock</v>
      </c>
      <c r="E65" s="26" t="str">
        <f t="shared" si="3"/>
        <v>2227</v>
      </c>
      <c r="F65" s="3" t="s">
        <v>245</v>
      </c>
      <c r="G65" s="2" t="s">
        <v>1929</v>
      </c>
      <c r="H65" s="2">
        <v>260.5</v>
      </c>
      <c r="J65" s="2">
        <f t="shared" si="4"/>
        <v>260.5</v>
      </c>
      <c r="K65" s="35" t="str">
        <f t="shared" ca="1" si="5"/>
        <v>INSERT INTO ETFValue (DataDate, TimeCategory, ProductType, ProductLink, ProductCode, ProductName, NAV, Price, RecTime) VALUES ('2021/5/14','1', 'Stock', '2227','2227','裕日車','260.5','260.5','15:15:01');</v>
      </c>
    </row>
    <row r="66" spans="1:11">
      <c r="A66" s="21" t="str">
        <f t="shared" ca="1" si="0"/>
        <v>2021/5/14</v>
      </c>
      <c r="B66" s="22" t="str">
        <f t="shared" ca="1" si="1"/>
        <v>15:15:01</v>
      </c>
      <c r="C66" s="23">
        <v>1</v>
      </c>
      <c r="D66" t="str">
        <f t="shared" si="2"/>
        <v>Stock</v>
      </c>
      <c r="E66" s="26" t="str">
        <f t="shared" si="3"/>
        <v>2231</v>
      </c>
      <c r="F66" s="3" t="s">
        <v>246</v>
      </c>
      <c r="G66" s="2" t="s">
        <v>1930</v>
      </c>
      <c r="H66" s="2">
        <v>188.5</v>
      </c>
      <c r="J66" s="2">
        <f t="shared" si="4"/>
        <v>188.5</v>
      </c>
      <c r="K66" s="35" t="str">
        <f t="shared" ca="1" si="5"/>
        <v>INSERT INTO ETFValue (DataDate, TimeCategory, ProductType, ProductLink, ProductCode, ProductName, NAV, Price, RecTime) VALUES ('2021/5/14','1', 'Stock', '2231','2231','為升','188.5','188.5','15:15:01');</v>
      </c>
    </row>
    <row r="67" spans="1:11">
      <c r="A67" s="21" t="str">
        <f t="shared" ca="1" si="0"/>
        <v>2021/5/14</v>
      </c>
      <c r="B67" s="22" t="str">
        <f t="shared" ca="1" si="1"/>
        <v>15:15:01</v>
      </c>
      <c r="C67" s="23">
        <v>1</v>
      </c>
      <c r="D67" t="str">
        <f t="shared" si="2"/>
        <v>Stock</v>
      </c>
      <c r="E67" s="26" t="str">
        <f t="shared" si="3"/>
        <v>2233</v>
      </c>
      <c r="F67" s="3" t="s">
        <v>842</v>
      </c>
      <c r="G67" s="2" t="s">
        <v>1931</v>
      </c>
      <c r="H67" s="2">
        <v>102</v>
      </c>
      <c r="J67" s="2">
        <f t="shared" si="4"/>
        <v>102</v>
      </c>
      <c r="K67" s="35" t="str">
        <f t="shared" ca="1" si="5"/>
        <v>INSERT INTO ETFValue (DataDate, TimeCategory, ProductType, ProductLink, ProductCode, ProductName, NAV, Price, RecTime) VALUES ('2021/5/14','1', 'Stock', '2233','2233','宇隆','102','102','15:15:01');</v>
      </c>
    </row>
    <row r="68" spans="1:11">
      <c r="A68" s="21" t="str">
        <f t="shared" ca="1" si="0"/>
        <v>2021/5/14</v>
      </c>
      <c r="B68" s="22" t="str">
        <f t="shared" ca="1" si="1"/>
        <v>15:15:01</v>
      </c>
      <c r="C68" s="23">
        <v>1</v>
      </c>
      <c r="D68" t="str">
        <f t="shared" si="2"/>
        <v>Stock</v>
      </c>
      <c r="E68" s="26" t="str">
        <f t="shared" si="3"/>
        <v>2301</v>
      </c>
      <c r="F68" s="3" t="s">
        <v>247</v>
      </c>
      <c r="G68" s="2" t="s">
        <v>1932</v>
      </c>
      <c r="H68" s="2">
        <v>61.9</v>
      </c>
      <c r="J68" s="2">
        <f t="shared" si="4"/>
        <v>61.9</v>
      </c>
      <c r="K68" s="35" t="str">
        <f t="shared" ca="1" si="5"/>
        <v>INSERT INTO ETFValue (DataDate, TimeCategory, ProductType, ProductLink, ProductCode, ProductName, NAV, Price, RecTime) VALUES ('2021/5/14','1', 'Stock', '2301','2301','光寶科','61.9','61.9','15:15:01');</v>
      </c>
    </row>
    <row r="69" spans="1:11">
      <c r="A69" s="21" t="str">
        <f t="shared" ca="1" si="0"/>
        <v>2021/5/14</v>
      </c>
      <c r="B69" s="22" t="str">
        <f t="shared" ca="1" si="1"/>
        <v>15:15:01</v>
      </c>
      <c r="C69" s="23">
        <v>1</v>
      </c>
      <c r="D69" t="str">
        <f t="shared" si="2"/>
        <v>Stock</v>
      </c>
      <c r="E69" s="26" t="str">
        <f t="shared" si="3"/>
        <v>2303</v>
      </c>
      <c r="F69" s="3" t="s">
        <v>248</v>
      </c>
      <c r="G69" s="2" t="s">
        <v>1933</v>
      </c>
      <c r="H69" s="2">
        <v>46.8</v>
      </c>
      <c r="J69" s="2">
        <f t="shared" si="4"/>
        <v>46.8</v>
      </c>
      <c r="K69" s="35" t="str">
        <f t="shared" ca="1" si="5"/>
        <v>INSERT INTO ETFValue (DataDate, TimeCategory, ProductType, ProductLink, ProductCode, ProductName, NAV, Price, RecTime) VALUES ('2021/5/14','1', 'Stock', '2303','2303','聯電','46.8','46.8','15:15:01');</v>
      </c>
    </row>
    <row r="70" spans="1:11">
      <c r="A70" s="21" t="str">
        <f t="shared" ca="1" si="0"/>
        <v>2021/5/14</v>
      </c>
      <c r="B70" s="22" t="str">
        <f t="shared" ca="1" si="1"/>
        <v>15:15:01</v>
      </c>
      <c r="C70" s="23">
        <v>1</v>
      </c>
      <c r="D70" t="str">
        <f t="shared" si="2"/>
        <v>Stock</v>
      </c>
      <c r="E70" s="26" t="str">
        <f t="shared" si="3"/>
        <v>2308</v>
      </c>
      <c r="F70" s="3" t="s">
        <v>249</v>
      </c>
      <c r="G70" s="2" t="s">
        <v>1934</v>
      </c>
      <c r="H70" s="2">
        <v>266.5</v>
      </c>
      <c r="J70" s="2">
        <f t="shared" si="4"/>
        <v>266.5</v>
      </c>
      <c r="K70" s="35" t="str">
        <f t="shared" ca="1" si="5"/>
        <v>INSERT INTO ETFValue (DataDate, TimeCategory, ProductType, ProductLink, ProductCode, ProductName, NAV, Price, RecTime) VALUES ('2021/5/14','1', 'Stock', '2308','2308','台達電','266.5','266.5','15:15:01');</v>
      </c>
    </row>
    <row r="71" spans="1:11">
      <c r="A71" s="21" t="str">
        <f t="shared" ref="A71:A134" ca="1" si="6">TEXT($Q$1,"yyyy/m/dd")</f>
        <v>2021/5/14</v>
      </c>
      <c r="B71" s="22" t="str">
        <f t="shared" ref="B71:B134" ca="1" si="7">$Q$2</f>
        <v>15:15:01</v>
      </c>
      <c r="C71" s="23">
        <v>1</v>
      </c>
      <c r="D71" t="str">
        <f t="shared" ref="D71:D134" si="8">IF(LEFT(G71,2)="00","ETF","Stock")</f>
        <v>Stock</v>
      </c>
      <c r="E71" s="26" t="str">
        <f t="shared" ref="E71:E134" si="9">F71</f>
        <v>2312</v>
      </c>
      <c r="F71" s="3" t="s">
        <v>792</v>
      </c>
      <c r="G71" s="2" t="s">
        <v>1935</v>
      </c>
      <c r="H71" s="2">
        <v>13.35</v>
      </c>
      <c r="J71" s="2">
        <f t="shared" ref="J71:J134" si="10">IF($H71&lt;&gt;"",$H71,$I71)</f>
        <v>13.35</v>
      </c>
      <c r="K71" s="35" t="str">
        <f t="shared" ref="K71:K134" ca="1" si="11">"INSERT INTO ETFValue (DataDate, TimeCategory, ProductType, ProductLink, ProductCode, ProductName, NAV, Price, RecTime) VALUES ("&amp;"'"&amp;TEXT(A71,"yyyy/m/dd")&amp;"','"&amp; C71&amp;"', '"&amp;D71&amp;"', '"&amp;E71&amp;"','"&amp;F71&amp;"','"&amp;G71&amp;"','"&amp;ROUND(J71,4)&amp;"','"&amp;J71&amp;"','"&amp;TEXT($Q$2,"hh:mm:ss")&amp;"');"</f>
        <v>INSERT INTO ETFValue (DataDate, TimeCategory, ProductType, ProductLink, ProductCode, ProductName, NAV, Price, RecTime) VALUES ('2021/5/14','1', 'Stock', '2312','2312','金寶','13.35','13.35','15:15:01');</v>
      </c>
    </row>
    <row r="72" spans="1:11">
      <c r="A72" s="21" t="str">
        <f t="shared" ca="1" si="6"/>
        <v>2021/5/14</v>
      </c>
      <c r="B72" s="22" t="str">
        <f t="shared" ca="1" si="7"/>
        <v>15:15:01</v>
      </c>
      <c r="C72" s="23">
        <v>1</v>
      </c>
      <c r="D72" t="str">
        <f t="shared" si="8"/>
        <v>Stock</v>
      </c>
      <c r="E72" s="26" t="str">
        <f t="shared" si="9"/>
        <v>2313</v>
      </c>
      <c r="F72" s="3" t="s">
        <v>250</v>
      </c>
      <c r="G72" s="2" t="s">
        <v>1936</v>
      </c>
      <c r="H72" s="2">
        <v>34.700000000000003</v>
      </c>
      <c r="J72" s="2">
        <f t="shared" si="10"/>
        <v>34.700000000000003</v>
      </c>
      <c r="K72" s="35" t="str">
        <f t="shared" ca="1" si="11"/>
        <v>INSERT INTO ETFValue (DataDate, TimeCategory, ProductType, ProductLink, ProductCode, ProductName, NAV, Price, RecTime) VALUES ('2021/5/14','1', 'Stock', '2313','2313','華通','34.7','34.7','15:15:01');</v>
      </c>
    </row>
    <row r="73" spans="1:11">
      <c r="A73" s="21" t="str">
        <f t="shared" ca="1" si="6"/>
        <v>2021/5/14</v>
      </c>
      <c r="B73" s="22" t="str">
        <f t="shared" ca="1" si="7"/>
        <v>15:15:01</v>
      </c>
      <c r="C73" s="23">
        <v>1</v>
      </c>
      <c r="D73" t="str">
        <f t="shared" si="8"/>
        <v>Stock</v>
      </c>
      <c r="E73" s="26" t="str">
        <f t="shared" si="9"/>
        <v>2317</v>
      </c>
      <c r="F73" s="3" t="s">
        <v>251</v>
      </c>
      <c r="G73" s="2" t="s">
        <v>1937</v>
      </c>
      <c r="H73" s="2">
        <v>104.5</v>
      </c>
      <c r="J73" s="2">
        <f t="shared" si="10"/>
        <v>104.5</v>
      </c>
      <c r="K73" s="35" t="str">
        <f t="shared" ca="1" si="11"/>
        <v>INSERT INTO ETFValue (DataDate, TimeCategory, ProductType, ProductLink, ProductCode, ProductName, NAV, Price, RecTime) VALUES ('2021/5/14','1', 'Stock', '2317','2317','鴻海','104.5','104.5','15:15:01');</v>
      </c>
    </row>
    <row r="74" spans="1:11">
      <c r="A74" s="21" t="str">
        <f t="shared" ca="1" si="6"/>
        <v>2021/5/14</v>
      </c>
      <c r="B74" s="22" t="str">
        <f t="shared" ca="1" si="7"/>
        <v>15:15:01</v>
      </c>
      <c r="C74" s="23">
        <v>1</v>
      </c>
      <c r="D74" t="str">
        <f t="shared" si="8"/>
        <v>Stock</v>
      </c>
      <c r="E74" s="26" t="str">
        <f t="shared" si="9"/>
        <v>2324</v>
      </c>
      <c r="F74" s="3" t="s">
        <v>252</v>
      </c>
      <c r="G74" s="2" t="s">
        <v>1938</v>
      </c>
      <c r="H74" s="2">
        <v>22.7</v>
      </c>
      <c r="J74" s="2">
        <f t="shared" si="10"/>
        <v>22.7</v>
      </c>
      <c r="K74" s="35" t="str">
        <f t="shared" ca="1" si="11"/>
        <v>INSERT INTO ETFValue (DataDate, TimeCategory, ProductType, ProductLink, ProductCode, ProductName, NAV, Price, RecTime) VALUES ('2021/5/14','1', 'Stock', '2324','2324','仁寶','22.7','22.7','15:15:01');</v>
      </c>
    </row>
    <row r="75" spans="1:11">
      <c r="A75" s="21" t="str">
        <f t="shared" ca="1" si="6"/>
        <v>2021/5/14</v>
      </c>
      <c r="B75" s="22" t="str">
        <f t="shared" ca="1" si="7"/>
        <v>15:15:01</v>
      </c>
      <c r="C75" s="23">
        <v>1</v>
      </c>
      <c r="D75" t="str">
        <f t="shared" si="8"/>
        <v>Stock</v>
      </c>
      <c r="E75" s="26" t="str">
        <f t="shared" si="9"/>
        <v>2327</v>
      </c>
      <c r="F75" s="3" t="s">
        <v>253</v>
      </c>
      <c r="G75" s="2" t="s">
        <v>1939</v>
      </c>
      <c r="H75" s="2">
        <v>440</v>
      </c>
      <c r="J75" s="2">
        <f t="shared" si="10"/>
        <v>440</v>
      </c>
      <c r="K75" s="35" t="str">
        <f t="shared" ca="1" si="11"/>
        <v>INSERT INTO ETFValue (DataDate, TimeCategory, ProductType, ProductLink, ProductCode, ProductName, NAV, Price, RecTime) VALUES ('2021/5/14','1', 'Stock', '2327','2327','國巨','440','440','15:15:01');</v>
      </c>
    </row>
    <row r="76" spans="1:11">
      <c r="A76" s="21" t="str">
        <f t="shared" ca="1" si="6"/>
        <v>2021/5/14</v>
      </c>
      <c r="B76" s="22" t="str">
        <f t="shared" ca="1" si="7"/>
        <v>15:15:01</v>
      </c>
      <c r="C76" s="23">
        <v>1</v>
      </c>
      <c r="D76" t="str">
        <f t="shared" si="8"/>
        <v>Stock</v>
      </c>
      <c r="E76" s="26" t="str">
        <f t="shared" si="9"/>
        <v>2330</v>
      </c>
      <c r="F76" s="3" t="s">
        <v>254</v>
      </c>
      <c r="G76" s="2" t="s">
        <v>1940</v>
      </c>
      <c r="H76" s="2">
        <v>557</v>
      </c>
      <c r="J76" s="2">
        <f t="shared" si="10"/>
        <v>557</v>
      </c>
      <c r="K76" s="35" t="str">
        <f t="shared" ca="1" si="11"/>
        <v>INSERT INTO ETFValue (DataDate, TimeCategory, ProductType, ProductLink, ProductCode, ProductName, NAV, Price, RecTime) VALUES ('2021/5/14','1', 'Stock', '2330','2330','台積電','557','557','15:15:01');</v>
      </c>
    </row>
    <row r="77" spans="1:11">
      <c r="A77" s="21" t="str">
        <f t="shared" ca="1" si="6"/>
        <v>2021/5/14</v>
      </c>
      <c r="B77" s="22" t="str">
        <f t="shared" ca="1" si="7"/>
        <v>15:15:01</v>
      </c>
      <c r="C77" s="23">
        <v>1</v>
      </c>
      <c r="D77" t="str">
        <f t="shared" si="8"/>
        <v>Stock</v>
      </c>
      <c r="E77" s="26" t="str">
        <f t="shared" si="9"/>
        <v>2337</v>
      </c>
      <c r="F77" s="3" t="s">
        <v>255</v>
      </c>
      <c r="G77" s="2" t="s">
        <v>1941</v>
      </c>
      <c r="H77" s="2">
        <v>38.299999999999997</v>
      </c>
      <c r="J77" s="2">
        <f t="shared" si="10"/>
        <v>38.299999999999997</v>
      </c>
      <c r="K77" s="35" t="str">
        <f t="shared" ca="1" si="11"/>
        <v>INSERT INTO ETFValue (DataDate, TimeCategory, ProductType, ProductLink, ProductCode, ProductName, NAV, Price, RecTime) VALUES ('2021/5/14','1', 'Stock', '2337','2337','旺宏','38.3','38.3','15:15:01');</v>
      </c>
    </row>
    <row r="78" spans="1:11">
      <c r="A78" s="21" t="str">
        <f t="shared" ca="1" si="6"/>
        <v>2021/5/14</v>
      </c>
      <c r="B78" s="22" t="str">
        <f t="shared" ca="1" si="7"/>
        <v>15:15:01</v>
      </c>
      <c r="C78" s="23">
        <v>1</v>
      </c>
      <c r="D78" t="str">
        <f t="shared" si="8"/>
        <v>Stock</v>
      </c>
      <c r="E78" s="26" t="str">
        <f t="shared" si="9"/>
        <v>2344</v>
      </c>
      <c r="F78" s="3" t="s">
        <v>256</v>
      </c>
      <c r="G78" s="2" t="s">
        <v>1942</v>
      </c>
      <c r="H78" s="2">
        <v>28.45</v>
      </c>
      <c r="J78" s="2">
        <f t="shared" si="10"/>
        <v>28.45</v>
      </c>
      <c r="K78" s="35" t="str">
        <f t="shared" ca="1" si="11"/>
        <v>INSERT INTO ETFValue (DataDate, TimeCategory, ProductType, ProductLink, ProductCode, ProductName, NAV, Price, RecTime) VALUES ('2021/5/14','1', 'Stock', '2344','2344','華邦電','28.45','28.45','15:15:01');</v>
      </c>
    </row>
    <row r="79" spans="1:11">
      <c r="A79" s="21" t="str">
        <f t="shared" ca="1" si="6"/>
        <v>2021/5/14</v>
      </c>
      <c r="B79" s="22" t="str">
        <f t="shared" ca="1" si="7"/>
        <v>15:15:01</v>
      </c>
      <c r="C79" s="23">
        <v>1</v>
      </c>
      <c r="D79" t="str">
        <f t="shared" si="8"/>
        <v>Stock</v>
      </c>
      <c r="E79" s="26" t="str">
        <f t="shared" si="9"/>
        <v>2345</v>
      </c>
      <c r="F79" s="3" t="s">
        <v>257</v>
      </c>
      <c r="G79" s="2" t="s">
        <v>1943</v>
      </c>
      <c r="H79" s="2">
        <v>271.5</v>
      </c>
      <c r="J79" s="2">
        <f t="shared" si="10"/>
        <v>271.5</v>
      </c>
      <c r="K79" s="35" t="str">
        <f t="shared" ca="1" si="11"/>
        <v>INSERT INTO ETFValue (DataDate, TimeCategory, ProductType, ProductLink, ProductCode, ProductName, NAV, Price, RecTime) VALUES ('2021/5/14','1', 'Stock', '2345','2345','智邦','271.5','271.5','15:15:01');</v>
      </c>
    </row>
    <row r="80" spans="1:11">
      <c r="A80" s="21" t="str">
        <f t="shared" ca="1" si="6"/>
        <v>2021/5/14</v>
      </c>
      <c r="B80" s="22" t="str">
        <f t="shared" ca="1" si="7"/>
        <v>15:15:01</v>
      </c>
      <c r="C80" s="23">
        <v>1</v>
      </c>
      <c r="D80" t="str">
        <f t="shared" si="8"/>
        <v>Stock</v>
      </c>
      <c r="E80" s="26" t="str">
        <f t="shared" si="9"/>
        <v>2347</v>
      </c>
      <c r="F80" s="3" t="s">
        <v>258</v>
      </c>
      <c r="G80" s="2" t="s">
        <v>1944</v>
      </c>
      <c r="H80" s="2">
        <v>56.7</v>
      </c>
      <c r="J80" s="2">
        <f t="shared" si="10"/>
        <v>56.7</v>
      </c>
      <c r="K80" s="35" t="str">
        <f t="shared" ca="1" si="11"/>
        <v>INSERT INTO ETFValue (DataDate, TimeCategory, ProductType, ProductLink, ProductCode, ProductName, NAV, Price, RecTime) VALUES ('2021/5/14','1', 'Stock', '2347','2347','聯強','56.7','56.7','15:15:01');</v>
      </c>
    </row>
    <row r="81" spans="1:11">
      <c r="A81" s="21" t="str">
        <f t="shared" ca="1" si="6"/>
        <v>2021/5/14</v>
      </c>
      <c r="B81" s="22" t="str">
        <f t="shared" ca="1" si="7"/>
        <v>15:15:01</v>
      </c>
      <c r="C81" s="23">
        <v>1</v>
      </c>
      <c r="D81" t="str">
        <f t="shared" si="8"/>
        <v>Stock</v>
      </c>
      <c r="E81" s="26" t="str">
        <f t="shared" si="9"/>
        <v>2352</v>
      </c>
      <c r="F81" s="3" t="s">
        <v>259</v>
      </c>
      <c r="G81" s="2" t="s">
        <v>1945</v>
      </c>
      <c r="H81" s="2">
        <v>29</v>
      </c>
      <c r="J81" s="2">
        <f t="shared" si="10"/>
        <v>29</v>
      </c>
      <c r="K81" s="35" t="str">
        <f t="shared" ca="1" si="11"/>
        <v>INSERT INTO ETFValue (DataDate, TimeCategory, ProductType, ProductLink, ProductCode, ProductName, NAV, Price, RecTime) VALUES ('2021/5/14','1', 'Stock', '2352','2352','佳世達','29','29','15:15:01');</v>
      </c>
    </row>
    <row r="82" spans="1:11">
      <c r="A82" s="21" t="str">
        <f t="shared" ca="1" si="6"/>
        <v>2021/5/14</v>
      </c>
      <c r="B82" s="22" t="str">
        <f t="shared" ca="1" si="7"/>
        <v>15:15:01</v>
      </c>
      <c r="C82" s="23">
        <v>1</v>
      </c>
      <c r="D82" t="str">
        <f t="shared" si="8"/>
        <v>Stock</v>
      </c>
      <c r="E82" s="26" t="str">
        <f t="shared" si="9"/>
        <v>2353</v>
      </c>
      <c r="F82" s="3" t="s">
        <v>260</v>
      </c>
      <c r="G82" s="2" t="s">
        <v>1946</v>
      </c>
      <c r="H82" s="2">
        <v>29.35</v>
      </c>
      <c r="J82" s="2">
        <f t="shared" si="10"/>
        <v>29.35</v>
      </c>
      <c r="K82" s="35" t="str">
        <f t="shared" ca="1" si="11"/>
        <v>INSERT INTO ETFValue (DataDate, TimeCategory, ProductType, ProductLink, ProductCode, ProductName, NAV, Price, RecTime) VALUES ('2021/5/14','1', 'Stock', '2353','2353','宏碁','29.35','29.35','15:15:01');</v>
      </c>
    </row>
    <row r="83" spans="1:11">
      <c r="A83" s="21" t="str">
        <f t="shared" ca="1" si="6"/>
        <v>2021/5/14</v>
      </c>
      <c r="B83" s="22" t="str">
        <f t="shared" ca="1" si="7"/>
        <v>15:15:01</v>
      </c>
      <c r="C83" s="23">
        <v>1</v>
      </c>
      <c r="D83" t="str">
        <f t="shared" si="8"/>
        <v>Stock</v>
      </c>
      <c r="E83" s="26" t="str">
        <f t="shared" si="9"/>
        <v>2354</v>
      </c>
      <c r="F83" s="3" t="s">
        <v>261</v>
      </c>
      <c r="G83" s="2" t="s">
        <v>1947</v>
      </c>
      <c r="H83" s="2">
        <v>60.9</v>
      </c>
      <c r="J83" s="2">
        <f t="shared" si="10"/>
        <v>60.9</v>
      </c>
      <c r="K83" s="35" t="str">
        <f t="shared" ca="1" si="11"/>
        <v>INSERT INTO ETFValue (DataDate, TimeCategory, ProductType, ProductLink, ProductCode, ProductName, NAV, Price, RecTime) VALUES ('2021/5/14','1', 'Stock', '2354','2354','鴻準','60.9','60.9','15:15:01');</v>
      </c>
    </row>
    <row r="84" spans="1:11">
      <c r="A84" s="21" t="str">
        <f t="shared" ca="1" si="6"/>
        <v>2021/5/14</v>
      </c>
      <c r="B84" s="22" t="str">
        <f t="shared" ca="1" si="7"/>
        <v>15:15:01</v>
      </c>
      <c r="C84" s="23">
        <v>1</v>
      </c>
      <c r="D84" t="str">
        <f t="shared" si="8"/>
        <v>Stock</v>
      </c>
      <c r="E84" s="26" t="str">
        <f t="shared" si="9"/>
        <v>2355</v>
      </c>
      <c r="F84" s="3" t="s">
        <v>757</v>
      </c>
      <c r="G84" s="2" t="s">
        <v>1948</v>
      </c>
      <c r="H84" s="2">
        <v>26.5</v>
      </c>
      <c r="J84" s="2">
        <f t="shared" si="10"/>
        <v>26.5</v>
      </c>
      <c r="K84" s="35" t="str">
        <f t="shared" ca="1" si="11"/>
        <v>INSERT INTO ETFValue (DataDate, TimeCategory, ProductType, ProductLink, ProductCode, ProductName, NAV, Price, RecTime) VALUES ('2021/5/14','1', 'Stock', '2355','2355','敬鵬','26.5','26.5','15:15:01');</v>
      </c>
    </row>
    <row r="85" spans="1:11">
      <c r="A85" s="21" t="str">
        <f t="shared" ca="1" si="6"/>
        <v>2021/5/14</v>
      </c>
      <c r="B85" s="22" t="str">
        <f t="shared" ca="1" si="7"/>
        <v>15:15:01</v>
      </c>
      <c r="C85" s="23">
        <v>1</v>
      </c>
      <c r="D85" t="str">
        <f t="shared" si="8"/>
        <v>Stock</v>
      </c>
      <c r="E85" s="26" t="str">
        <f t="shared" si="9"/>
        <v>2356</v>
      </c>
      <c r="F85" s="3" t="s">
        <v>262</v>
      </c>
      <c r="G85" s="2" t="s">
        <v>1949</v>
      </c>
      <c r="H85" s="2">
        <v>24.95</v>
      </c>
      <c r="J85" s="2">
        <f t="shared" si="10"/>
        <v>24.95</v>
      </c>
      <c r="K85" s="35" t="str">
        <f t="shared" ca="1" si="11"/>
        <v>INSERT INTO ETFValue (DataDate, TimeCategory, ProductType, ProductLink, ProductCode, ProductName, NAV, Price, RecTime) VALUES ('2021/5/14','1', 'Stock', '2356','2356','英業達','24.95','24.95','15:15:01');</v>
      </c>
    </row>
    <row r="86" spans="1:11">
      <c r="A86" s="21" t="str">
        <f t="shared" ca="1" si="6"/>
        <v>2021/5/14</v>
      </c>
      <c r="B86" s="22" t="str">
        <f t="shared" ca="1" si="7"/>
        <v>15:15:01</v>
      </c>
      <c r="C86" s="23">
        <v>1</v>
      </c>
      <c r="D86" t="str">
        <f t="shared" si="8"/>
        <v>Stock</v>
      </c>
      <c r="E86" s="26" t="str">
        <f t="shared" si="9"/>
        <v>2357</v>
      </c>
      <c r="F86" s="3" t="s">
        <v>263</v>
      </c>
      <c r="G86" s="2" t="s">
        <v>1950</v>
      </c>
      <c r="H86" s="2">
        <v>380</v>
      </c>
      <c r="J86" s="2">
        <f t="shared" si="10"/>
        <v>380</v>
      </c>
      <c r="K86" s="35" t="str">
        <f t="shared" ca="1" si="11"/>
        <v>INSERT INTO ETFValue (DataDate, TimeCategory, ProductType, ProductLink, ProductCode, ProductName, NAV, Price, RecTime) VALUES ('2021/5/14','1', 'Stock', '2357','2357','華碩','380','380','15:15:01');</v>
      </c>
    </row>
    <row r="87" spans="1:11">
      <c r="A87" s="21" t="str">
        <f t="shared" ca="1" si="6"/>
        <v>2021/5/14</v>
      </c>
      <c r="B87" s="22" t="str">
        <f t="shared" ca="1" si="7"/>
        <v>15:15:01</v>
      </c>
      <c r="C87" s="23">
        <v>1</v>
      </c>
      <c r="D87" t="str">
        <f t="shared" si="8"/>
        <v>Stock</v>
      </c>
      <c r="E87" s="26" t="str">
        <f t="shared" si="9"/>
        <v>2360</v>
      </c>
      <c r="F87" s="3" t="s">
        <v>264</v>
      </c>
      <c r="G87" s="2" t="s">
        <v>1951</v>
      </c>
      <c r="H87" s="2">
        <v>189</v>
      </c>
      <c r="J87" s="2">
        <f t="shared" si="10"/>
        <v>189</v>
      </c>
      <c r="K87" s="35" t="str">
        <f t="shared" ca="1" si="11"/>
        <v>INSERT INTO ETFValue (DataDate, TimeCategory, ProductType, ProductLink, ProductCode, ProductName, NAV, Price, RecTime) VALUES ('2021/5/14','1', 'Stock', '2360','2360','致茂','189','189','15:15:01');</v>
      </c>
    </row>
    <row r="88" spans="1:11">
      <c r="A88" s="21" t="str">
        <f t="shared" ca="1" si="6"/>
        <v>2021/5/14</v>
      </c>
      <c r="B88" s="22" t="str">
        <f t="shared" ca="1" si="7"/>
        <v>15:15:01</v>
      </c>
      <c r="C88" s="23">
        <v>1</v>
      </c>
      <c r="D88" t="str">
        <f t="shared" si="8"/>
        <v>Stock</v>
      </c>
      <c r="E88" s="26" t="str">
        <f t="shared" si="9"/>
        <v>2362</v>
      </c>
      <c r="F88" s="3" t="s">
        <v>758</v>
      </c>
      <c r="G88" s="2" t="s">
        <v>1952</v>
      </c>
      <c r="H88" s="2">
        <v>28.3</v>
      </c>
      <c r="J88" s="2">
        <f t="shared" si="10"/>
        <v>28.3</v>
      </c>
      <c r="K88" s="35" t="str">
        <f t="shared" ca="1" si="11"/>
        <v>INSERT INTO ETFValue (DataDate, TimeCategory, ProductType, ProductLink, ProductCode, ProductName, NAV, Price, RecTime) VALUES ('2021/5/14','1', 'Stock', '2362','2362','藍天','28.3','28.3','15:15:01');</v>
      </c>
    </row>
    <row r="89" spans="1:11">
      <c r="A89" s="21" t="str">
        <f t="shared" ca="1" si="6"/>
        <v>2021/5/14</v>
      </c>
      <c r="B89" s="22" t="str">
        <f t="shared" ca="1" si="7"/>
        <v>15:15:01</v>
      </c>
      <c r="C89" s="23">
        <v>1</v>
      </c>
      <c r="D89" t="str">
        <f t="shared" si="8"/>
        <v>Stock</v>
      </c>
      <c r="E89" s="26" t="str">
        <f t="shared" si="9"/>
        <v>2367</v>
      </c>
      <c r="F89" s="3" t="s">
        <v>815</v>
      </c>
      <c r="G89" s="2" t="s">
        <v>1953</v>
      </c>
      <c r="H89" s="2">
        <v>20.05</v>
      </c>
      <c r="J89" s="2">
        <f t="shared" si="10"/>
        <v>20.05</v>
      </c>
      <c r="K89" s="35" t="str">
        <f t="shared" ca="1" si="11"/>
        <v>INSERT INTO ETFValue (DataDate, TimeCategory, ProductType, ProductLink, ProductCode, ProductName, NAV, Price, RecTime) VALUES ('2021/5/14','1', 'Stock', '2367','2367','燿華','20.05','20.05','15:15:01');</v>
      </c>
    </row>
    <row r="90" spans="1:11">
      <c r="A90" s="21" t="str">
        <f t="shared" ca="1" si="6"/>
        <v>2021/5/14</v>
      </c>
      <c r="B90" s="22" t="str">
        <f t="shared" ca="1" si="7"/>
        <v>15:15:01</v>
      </c>
      <c r="C90" s="23">
        <v>1</v>
      </c>
      <c r="D90" t="str">
        <f t="shared" si="8"/>
        <v>Stock</v>
      </c>
      <c r="E90" s="26" t="str">
        <f t="shared" si="9"/>
        <v>2369</v>
      </c>
      <c r="F90" s="3" t="s">
        <v>816</v>
      </c>
      <c r="G90" s="2" t="s">
        <v>1954</v>
      </c>
      <c r="H90" s="2">
        <v>15.05</v>
      </c>
      <c r="J90" s="2">
        <f t="shared" si="10"/>
        <v>15.05</v>
      </c>
      <c r="K90" s="35" t="str">
        <f t="shared" ca="1" si="11"/>
        <v>INSERT INTO ETFValue (DataDate, TimeCategory, ProductType, ProductLink, ProductCode, ProductName, NAV, Price, RecTime) VALUES ('2021/5/14','1', 'Stock', '2369','2369','菱生','15.05','15.05','15:15:01');</v>
      </c>
    </row>
    <row r="91" spans="1:11">
      <c r="A91" s="21" t="str">
        <f t="shared" ca="1" si="6"/>
        <v>2021/5/14</v>
      </c>
      <c r="B91" s="22" t="str">
        <f t="shared" ca="1" si="7"/>
        <v>15:15:01</v>
      </c>
      <c r="C91" s="23">
        <v>1</v>
      </c>
      <c r="D91" t="str">
        <f t="shared" si="8"/>
        <v>Stock</v>
      </c>
      <c r="E91" s="26" t="str">
        <f t="shared" si="9"/>
        <v>2371</v>
      </c>
      <c r="F91" s="3" t="s">
        <v>265</v>
      </c>
      <c r="G91" s="2" t="s">
        <v>1955</v>
      </c>
      <c r="H91" s="2">
        <v>22.5</v>
      </c>
      <c r="J91" s="2">
        <f t="shared" si="10"/>
        <v>22.5</v>
      </c>
      <c r="K91" s="35" t="str">
        <f t="shared" ca="1" si="11"/>
        <v>INSERT INTO ETFValue (DataDate, TimeCategory, ProductType, ProductLink, ProductCode, ProductName, NAV, Price, RecTime) VALUES ('2021/5/14','1', 'Stock', '2371','2371','大同','22.5','22.5','15:15:01');</v>
      </c>
    </row>
    <row r="92" spans="1:11">
      <c r="A92" s="21" t="str">
        <f t="shared" ca="1" si="6"/>
        <v>2021/5/14</v>
      </c>
      <c r="B92" s="22" t="str">
        <f t="shared" ca="1" si="7"/>
        <v>15:15:01</v>
      </c>
      <c r="C92" s="23">
        <v>1</v>
      </c>
      <c r="D92" t="str">
        <f t="shared" si="8"/>
        <v>Stock</v>
      </c>
      <c r="E92" s="26" t="str">
        <f t="shared" si="9"/>
        <v>2373</v>
      </c>
      <c r="F92" s="3" t="s">
        <v>1029</v>
      </c>
      <c r="G92" s="2" t="s">
        <v>1956</v>
      </c>
      <c r="H92" s="2">
        <v>90.1</v>
      </c>
      <c r="J92" s="2">
        <f t="shared" si="10"/>
        <v>90.1</v>
      </c>
      <c r="K92" s="35" t="str">
        <f t="shared" ca="1" si="11"/>
        <v>INSERT INTO ETFValue (DataDate, TimeCategory, ProductType, ProductLink, ProductCode, ProductName, NAV, Price, RecTime) VALUES ('2021/5/14','1', 'Stock', '2373','2373','震旦行','90.1','90.1','15:15:01');</v>
      </c>
    </row>
    <row r="93" spans="1:11">
      <c r="A93" s="21" t="str">
        <f t="shared" ca="1" si="6"/>
        <v>2021/5/14</v>
      </c>
      <c r="B93" s="22" t="str">
        <f t="shared" ca="1" si="7"/>
        <v>15:15:01</v>
      </c>
      <c r="C93" s="23">
        <v>1</v>
      </c>
      <c r="D93" t="str">
        <f t="shared" si="8"/>
        <v>Stock</v>
      </c>
      <c r="E93" s="26" t="str">
        <f t="shared" si="9"/>
        <v>2374</v>
      </c>
      <c r="F93" s="3" t="s">
        <v>793</v>
      </c>
      <c r="G93" s="2" t="s">
        <v>1957</v>
      </c>
      <c r="H93" s="2">
        <v>15.05</v>
      </c>
      <c r="J93" s="2">
        <f t="shared" si="10"/>
        <v>15.05</v>
      </c>
      <c r="K93" s="35" t="str">
        <f t="shared" ca="1" si="11"/>
        <v>INSERT INTO ETFValue (DataDate, TimeCategory, ProductType, ProductLink, ProductCode, ProductName, NAV, Price, RecTime) VALUES ('2021/5/14','1', 'Stock', '2374','2374','佳能','15.05','15.05','15:15:01');</v>
      </c>
    </row>
    <row r="94" spans="1:11">
      <c r="A94" s="21" t="str">
        <f t="shared" ca="1" si="6"/>
        <v>2021/5/14</v>
      </c>
      <c r="B94" s="22" t="str">
        <f t="shared" ca="1" si="7"/>
        <v>15:15:01</v>
      </c>
      <c r="C94" s="23">
        <v>1</v>
      </c>
      <c r="D94" t="str">
        <f t="shared" si="8"/>
        <v>Stock</v>
      </c>
      <c r="E94" s="26" t="str">
        <f t="shared" si="9"/>
        <v>2376</v>
      </c>
      <c r="F94" s="3" t="s">
        <v>266</v>
      </c>
      <c r="G94" s="2" t="s">
        <v>1958</v>
      </c>
      <c r="H94" s="2">
        <v>100</v>
      </c>
      <c r="J94" s="2">
        <f t="shared" si="10"/>
        <v>100</v>
      </c>
      <c r="K94" s="35" t="str">
        <f t="shared" ca="1" si="11"/>
        <v>INSERT INTO ETFValue (DataDate, TimeCategory, ProductType, ProductLink, ProductCode, ProductName, NAV, Price, RecTime) VALUES ('2021/5/14','1', 'Stock', '2376','2376','技嘉','100','100','15:15:01');</v>
      </c>
    </row>
    <row r="95" spans="1:11">
      <c r="A95" s="21" t="str">
        <f t="shared" ca="1" si="6"/>
        <v>2021/5/14</v>
      </c>
      <c r="B95" s="22" t="str">
        <f t="shared" ca="1" si="7"/>
        <v>15:15:01</v>
      </c>
      <c r="C95" s="23">
        <v>1</v>
      </c>
      <c r="D95" t="str">
        <f t="shared" si="8"/>
        <v>Stock</v>
      </c>
      <c r="E95" s="26" t="str">
        <f t="shared" si="9"/>
        <v>2377</v>
      </c>
      <c r="F95" s="3" t="s">
        <v>267</v>
      </c>
      <c r="G95" s="2" t="s">
        <v>1959</v>
      </c>
      <c r="H95" s="2">
        <v>170</v>
      </c>
      <c r="J95" s="2">
        <f t="shared" si="10"/>
        <v>170</v>
      </c>
      <c r="K95" s="35" t="str">
        <f t="shared" ca="1" si="11"/>
        <v>INSERT INTO ETFValue (DataDate, TimeCategory, ProductType, ProductLink, ProductCode, ProductName, NAV, Price, RecTime) VALUES ('2021/5/14','1', 'Stock', '2377','2377','微星','170','170','15:15:01');</v>
      </c>
    </row>
    <row r="96" spans="1:11">
      <c r="A96" s="21" t="str">
        <f t="shared" ca="1" si="6"/>
        <v>2021/5/14</v>
      </c>
      <c r="B96" s="22" t="str">
        <f t="shared" ca="1" si="7"/>
        <v>15:15:01</v>
      </c>
      <c r="C96" s="23">
        <v>1</v>
      </c>
      <c r="D96" t="str">
        <f t="shared" si="8"/>
        <v>Stock</v>
      </c>
      <c r="E96" s="26" t="str">
        <f t="shared" si="9"/>
        <v>2379</v>
      </c>
      <c r="F96" s="3" t="s">
        <v>268</v>
      </c>
      <c r="G96" s="2" t="s">
        <v>1960</v>
      </c>
      <c r="H96" s="2">
        <v>451.5</v>
      </c>
      <c r="J96" s="2">
        <f t="shared" si="10"/>
        <v>451.5</v>
      </c>
      <c r="K96" s="35" t="str">
        <f t="shared" ca="1" si="11"/>
        <v>INSERT INTO ETFValue (DataDate, TimeCategory, ProductType, ProductLink, ProductCode, ProductName, NAV, Price, RecTime) VALUES ('2021/5/14','1', 'Stock', '2379','2379','瑞昱','451.5','451.5','15:15:01');</v>
      </c>
    </row>
    <row r="97" spans="1:11">
      <c r="A97" s="21" t="str">
        <f t="shared" ca="1" si="6"/>
        <v>2021/5/14</v>
      </c>
      <c r="B97" s="22" t="str">
        <f t="shared" ca="1" si="7"/>
        <v>15:15:01</v>
      </c>
      <c r="C97" s="23">
        <v>1</v>
      </c>
      <c r="D97" t="str">
        <f t="shared" si="8"/>
        <v>Stock</v>
      </c>
      <c r="E97" s="26" t="str">
        <f t="shared" si="9"/>
        <v>2382</v>
      </c>
      <c r="F97" s="3" t="s">
        <v>269</v>
      </c>
      <c r="G97" s="2" t="s">
        <v>1961</v>
      </c>
      <c r="H97" s="2">
        <v>90.3</v>
      </c>
      <c r="J97" s="2">
        <f t="shared" si="10"/>
        <v>90.3</v>
      </c>
      <c r="K97" s="35" t="str">
        <f t="shared" ca="1" si="11"/>
        <v>INSERT INTO ETFValue (DataDate, TimeCategory, ProductType, ProductLink, ProductCode, ProductName, NAV, Price, RecTime) VALUES ('2021/5/14','1', 'Stock', '2382','2382','廣達','90.3','90.3','15:15:01');</v>
      </c>
    </row>
    <row r="98" spans="1:11">
      <c r="A98" s="21" t="str">
        <f t="shared" ca="1" si="6"/>
        <v>2021/5/14</v>
      </c>
      <c r="B98" s="22" t="str">
        <f t="shared" ca="1" si="7"/>
        <v>15:15:01</v>
      </c>
      <c r="C98" s="23">
        <v>1</v>
      </c>
      <c r="D98" t="str">
        <f t="shared" si="8"/>
        <v>Stock</v>
      </c>
      <c r="E98" s="26" t="str">
        <f t="shared" si="9"/>
        <v>2383</v>
      </c>
      <c r="F98" s="3" t="s">
        <v>270</v>
      </c>
      <c r="G98" s="2" t="s">
        <v>1962</v>
      </c>
      <c r="H98" s="2">
        <v>157</v>
      </c>
      <c r="J98" s="2">
        <f t="shared" si="10"/>
        <v>157</v>
      </c>
      <c r="K98" s="35" t="str">
        <f t="shared" ca="1" si="11"/>
        <v>INSERT INTO ETFValue (DataDate, TimeCategory, ProductType, ProductLink, ProductCode, ProductName, NAV, Price, RecTime) VALUES ('2021/5/14','1', 'Stock', '2383','2383','台光電','157','157','15:15:01');</v>
      </c>
    </row>
    <row r="99" spans="1:11">
      <c r="A99" s="21" t="str">
        <f t="shared" ca="1" si="6"/>
        <v>2021/5/14</v>
      </c>
      <c r="B99" s="22" t="str">
        <f t="shared" ca="1" si="7"/>
        <v>15:15:01</v>
      </c>
      <c r="C99" s="23">
        <v>1</v>
      </c>
      <c r="D99" t="str">
        <f t="shared" si="8"/>
        <v>Stock</v>
      </c>
      <c r="E99" s="26" t="str">
        <f t="shared" si="9"/>
        <v>2385</v>
      </c>
      <c r="F99" s="3" t="s">
        <v>271</v>
      </c>
      <c r="G99" s="2" t="s">
        <v>1963</v>
      </c>
      <c r="H99" s="2">
        <v>79.099999999999994</v>
      </c>
      <c r="J99" s="2">
        <f t="shared" si="10"/>
        <v>79.099999999999994</v>
      </c>
      <c r="K99" s="35" t="str">
        <f t="shared" ca="1" si="11"/>
        <v>INSERT INTO ETFValue (DataDate, TimeCategory, ProductType, ProductLink, ProductCode, ProductName, NAV, Price, RecTime) VALUES ('2021/5/14','1', 'Stock', '2385','2385','群光','79.1','79.1','15:15:01');</v>
      </c>
    </row>
    <row r="100" spans="1:11">
      <c r="A100" s="21" t="str">
        <f t="shared" ca="1" si="6"/>
        <v>2021/5/14</v>
      </c>
      <c r="B100" s="22" t="str">
        <f t="shared" ca="1" si="7"/>
        <v>15:15:01</v>
      </c>
      <c r="C100" s="23">
        <v>1</v>
      </c>
      <c r="D100" t="str">
        <f t="shared" si="8"/>
        <v>Stock</v>
      </c>
      <c r="E100" s="26" t="str">
        <f t="shared" si="9"/>
        <v>2392</v>
      </c>
      <c r="F100" s="3" t="s">
        <v>759</v>
      </c>
      <c r="G100" s="2" t="s">
        <v>1964</v>
      </c>
      <c r="H100" s="2">
        <v>39.1</v>
      </c>
      <c r="J100" s="2">
        <f t="shared" si="10"/>
        <v>39.1</v>
      </c>
      <c r="K100" s="35" t="str">
        <f t="shared" ca="1" si="11"/>
        <v>INSERT INTO ETFValue (DataDate, TimeCategory, ProductType, ProductLink, ProductCode, ProductName, NAV, Price, RecTime) VALUES ('2021/5/14','1', 'Stock', '2392','2392','正崴','39.1','39.1','15:15:01');</v>
      </c>
    </row>
    <row r="101" spans="1:11">
      <c r="A101" s="21" t="str">
        <f t="shared" ca="1" si="6"/>
        <v>2021/5/14</v>
      </c>
      <c r="B101" s="22" t="str">
        <f t="shared" ca="1" si="7"/>
        <v>15:15:01</v>
      </c>
      <c r="C101" s="23">
        <v>1</v>
      </c>
      <c r="D101" t="str">
        <f t="shared" si="8"/>
        <v>Stock</v>
      </c>
      <c r="E101" s="26" t="str">
        <f t="shared" si="9"/>
        <v>2393</v>
      </c>
      <c r="F101" s="3" t="s">
        <v>760</v>
      </c>
      <c r="G101" s="2" t="s">
        <v>1965</v>
      </c>
      <c r="H101" s="2">
        <v>41.15</v>
      </c>
      <c r="J101" s="2">
        <f t="shared" si="10"/>
        <v>41.15</v>
      </c>
      <c r="K101" s="35" t="str">
        <f t="shared" ca="1" si="11"/>
        <v>INSERT INTO ETFValue (DataDate, TimeCategory, ProductType, ProductLink, ProductCode, ProductName, NAV, Price, RecTime) VALUES ('2021/5/14','1', 'Stock', '2393','2393','億光','41.15','41.15','15:15:01');</v>
      </c>
    </row>
    <row r="102" spans="1:11">
      <c r="A102" s="21" t="str">
        <f t="shared" ca="1" si="6"/>
        <v>2021/5/14</v>
      </c>
      <c r="B102" s="22" t="str">
        <f t="shared" ca="1" si="7"/>
        <v>15:15:01</v>
      </c>
      <c r="C102" s="23">
        <v>1</v>
      </c>
      <c r="D102" t="str">
        <f t="shared" si="8"/>
        <v>Stock</v>
      </c>
      <c r="E102" s="26" t="str">
        <f t="shared" si="9"/>
        <v>2395</v>
      </c>
      <c r="F102" s="3" t="s">
        <v>272</v>
      </c>
      <c r="G102" s="2" t="s">
        <v>1966</v>
      </c>
      <c r="H102" s="2">
        <v>324.5</v>
      </c>
      <c r="J102" s="2">
        <f t="shared" si="10"/>
        <v>324.5</v>
      </c>
      <c r="K102" s="35" t="str">
        <f t="shared" ca="1" si="11"/>
        <v>INSERT INTO ETFValue (DataDate, TimeCategory, ProductType, ProductLink, ProductCode, ProductName, NAV, Price, RecTime) VALUES ('2021/5/14','1', 'Stock', '2395','2395','研華','324.5','324.5','15:15:01');</v>
      </c>
    </row>
    <row r="103" spans="1:11">
      <c r="A103" s="21" t="str">
        <f t="shared" ca="1" si="6"/>
        <v>2021/5/14</v>
      </c>
      <c r="B103" s="22" t="str">
        <f t="shared" ca="1" si="7"/>
        <v>15:15:01</v>
      </c>
      <c r="C103" s="23">
        <v>1</v>
      </c>
      <c r="D103" t="str">
        <f t="shared" si="8"/>
        <v>Stock</v>
      </c>
      <c r="E103" s="26" t="str">
        <f t="shared" si="9"/>
        <v>2401</v>
      </c>
      <c r="F103" s="3" t="s">
        <v>794</v>
      </c>
      <c r="G103" s="2" t="s">
        <v>1967</v>
      </c>
      <c r="H103" s="2">
        <v>25.95</v>
      </c>
      <c r="J103" s="2">
        <f t="shared" si="10"/>
        <v>25.95</v>
      </c>
      <c r="K103" s="35" t="str">
        <f t="shared" ca="1" si="11"/>
        <v>INSERT INTO ETFValue (DataDate, TimeCategory, ProductType, ProductLink, ProductCode, ProductName, NAV, Price, RecTime) VALUES ('2021/5/14','1', 'Stock', '2401','2401','凌陽','25.95','25.95','15:15:01');</v>
      </c>
    </row>
    <row r="104" spans="1:11">
      <c r="A104" s="21" t="str">
        <f t="shared" ca="1" si="6"/>
        <v>2021/5/14</v>
      </c>
      <c r="B104" s="22" t="str">
        <f t="shared" ca="1" si="7"/>
        <v>15:15:01</v>
      </c>
      <c r="C104" s="23">
        <v>1</v>
      </c>
      <c r="D104" t="str">
        <f t="shared" si="8"/>
        <v>Stock</v>
      </c>
      <c r="E104" s="26" t="str">
        <f t="shared" si="9"/>
        <v>2404</v>
      </c>
      <c r="F104" s="3" t="s">
        <v>795</v>
      </c>
      <c r="G104" s="2" t="s">
        <v>1968</v>
      </c>
      <c r="H104" s="2">
        <v>223</v>
      </c>
      <c r="J104" s="2">
        <f t="shared" si="10"/>
        <v>223</v>
      </c>
      <c r="K104" s="35" t="str">
        <f t="shared" ca="1" si="11"/>
        <v>INSERT INTO ETFValue (DataDate, TimeCategory, ProductType, ProductLink, ProductCode, ProductName, NAV, Price, RecTime) VALUES ('2021/5/14','1', 'Stock', '2404','2404','漢唐','223','223','15:15:01');</v>
      </c>
    </row>
    <row r="105" spans="1:11">
      <c r="A105" s="21" t="str">
        <f t="shared" ca="1" si="6"/>
        <v>2021/5/14</v>
      </c>
      <c r="B105" s="22" t="str">
        <f t="shared" ca="1" si="7"/>
        <v>15:15:01</v>
      </c>
      <c r="C105" s="23">
        <v>1</v>
      </c>
      <c r="D105" t="str">
        <f t="shared" si="8"/>
        <v>Stock</v>
      </c>
      <c r="E105" s="26" t="str">
        <f t="shared" si="9"/>
        <v>2408</v>
      </c>
      <c r="F105" s="3" t="s">
        <v>273</v>
      </c>
      <c r="G105" s="2" t="s">
        <v>1969</v>
      </c>
      <c r="H105" s="2">
        <v>73</v>
      </c>
      <c r="J105" s="2">
        <f t="shared" si="10"/>
        <v>73</v>
      </c>
      <c r="K105" s="35" t="str">
        <f t="shared" ca="1" si="11"/>
        <v>INSERT INTO ETFValue (DataDate, TimeCategory, ProductType, ProductLink, ProductCode, ProductName, NAV, Price, RecTime) VALUES ('2021/5/14','1', 'Stock', '2408','2408','南亞科','73','73','15:15:01');</v>
      </c>
    </row>
    <row r="106" spans="1:11">
      <c r="A106" s="21" t="str">
        <f t="shared" ca="1" si="6"/>
        <v>2021/5/14</v>
      </c>
      <c r="B106" s="22" t="str">
        <f t="shared" ca="1" si="7"/>
        <v>15:15:01</v>
      </c>
      <c r="C106" s="23">
        <v>1</v>
      </c>
      <c r="D106" t="str">
        <f t="shared" si="8"/>
        <v>Stock</v>
      </c>
      <c r="E106" s="26" t="str">
        <f t="shared" si="9"/>
        <v>2409</v>
      </c>
      <c r="F106" s="3" t="s">
        <v>274</v>
      </c>
      <c r="G106" s="2" t="s">
        <v>1970</v>
      </c>
      <c r="H106" s="2">
        <v>21.85</v>
      </c>
      <c r="J106" s="2">
        <f t="shared" si="10"/>
        <v>21.85</v>
      </c>
      <c r="K106" s="35" t="str">
        <f t="shared" ca="1" si="11"/>
        <v>INSERT INTO ETFValue (DataDate, TimeCategory, ProductType, ProductLink, ProductCode, ProductName, NAV, Price, RecTime) VALUES ('2021/5/14','1', 'Stock', '2409','2409','友達','21.85','21.85','15:15:01');</v>
      </c>
    </row>
    <row r="107" spans="1:11">
      <c r="A107" s="21" t="str">
        <f t="shared" ca="1" si="6"/>
        <v>2021/5/14</v>
      </c>
      <c r="B107" s="22" t="str">
        <f t="shared" ca="1" si="7"/>
        <v>15:15:01</v>
      </c>
      <c r="C107" s="23">
        <v>1</v>
      </c>
      <c r="D107" t="str">
        <f t="shared" si="8"/>
        <v>Stock</v>
      </c>
      <c r="E107" s="26" t="str">
        <f t="shared" si="9"/>
        <v>2412</v>
      </c>
      <c r="F107" s="3" t="s">
        <v>275</v>
      </c>
      <c r="G107" s="2" t="s">
        <v>1971</v>
      </c>
      <c r="H107" s="2">
        <v>113.5</v>
      </c>
      <c r="J107" s="2">
        <f t="shared" si="10"/>
        <v>113.5</v>
      </c>
      <c r="K107" s="35" t="str">
        <f t="shared" ca="1" si="11"/>
        <v>INSERT INTO ETFValue (DataDate, TimeCategory, ProductType, ProductLink, ProductCode, ProductName, NAV, Price, RecTime) VALUES ('2021/5/14','1', 'Stock', '2412','2412','中華電','113.5','113.5','15:15:01');</v>
      </c>
    </row>
    <row r="108" spans="1:11">
      <c r="A108" s="21" t="str">
        <f t="shared" ca="1" si="6"/>
        <v>2021/5/14</v>
      </c>
      <c r="B108" s="22" t="str">
        <f t="shared" ca="1" si="7"/>
        <v>15:15:01</v>
      </c>
      <c r="C108" s="23">
        <v>1</v>
      </c>
      <c r="D108" t="str">
        <f t="shared" si="8"/>
        <v>Stock</v>
      </c>
      <c r="E108" s="26" t="str">
        <f t="shared" si="9"/>
        <v>2430</v>
      </c>
      <c r="F108" s="3" t="s">
        <v>817</v>
      </c>
      <c r="G108" s="2" t="s">
        <v>1972</v>
      </c>
      <c r="H108" s="2">
        <v>29.4</v>
      </c>
      <c r="J108" s="2">
        <f t="shared" si="10"/>
        <v>29.4</v>
      </c>
      <c r="K108" s="35" t="str">
        <f t="shared" ca="1" si="11"/>
        <v>INSERT INTO ETFValue (DataDate, TimeCategory, ProductType, ProductLink, ProductCode, ProductName, NAV, Price, RecTime) VALUES ('2021/5/14','1', 'Stock', '2430','2430','燦坤','29.4','29.4','15:15:01');</v>
      </c>
    </row>
    <row r="109" spans="1:11">
      <c r="A109" s="21" t="str">
        <f t="shared" ca="1" si="6"/>
        <v>2021/5/14</v>
      </c>
      <c r="B109" s="22" t="str">
        <f t="shared" ca="1" si="7"/>
        <v>15:15:01</v>
      </c>
      <c r="C109" s="23">
        <v>1</v>
      </c>
      <c r="D109" t="str">
        <f t="shared" si="8"/>
        <v>Stock</v>
      </c>
      <c r="E109" s="26" t="str">
        <f t="shared" si="9"/>
        <v>2439</v>
      </c>
      <c r="F109" s="3" t="s">
        <v>276</v>
      </c>
      <c r="G109" s="2" t="s">
        <v>1973</v>
      </c>
      <c r="H109" s="2">
        <v>101.5</v>
      </c>
      <c r="J109" s="2">
        <f t="shared" si="10"/>
        <v>101.5</v>
      </c>
      <c r="K109" s="35" t="str">
        <f t="shared" ca="1" si="11"/>
        <v>INSERT INTO ETFValue (DataDate, TimeCategory, ProductType, ProductLink, ProductCode, ProductName, NAV, Price, RecTime) VALUES ('2021/5/14','1', 'Stock', '2439','2439','美律','101.5','101.5','15:15:01');</v>
      </c>
    </row>
    <row r="110" spans="1:11">
      <c r="A110" s="21" t="str">
        <f t="shared" ca="1" si="6"/>
        <v>2021/5/14</v>
      </c>
      <c r="B110" s="22" t="str">
        <f t="shared" ca="1" si="7"/>
        <v>15:15:01</v>
      </c>
      <c r="C110" s="23">
        <v>1</v>
      </c>
      <c r="D110" t="str">
        <f t="shared" si="8"/>
        <v>Stock</v>
      </c>
      <c r="E110" s="26" t="str">
        <f t="shared" si="9"/>
        <v>2441</v>
      </c>
      <c r="F110" s="3" t="s">
        <v>277</v>
      </c>
      <c r="G110" s="2" t="s">
        <v>1974</v>
      </c>
      <c r="H110" s="2">
        <v>64.400000000000006</v>
      </c>
      <c r="J110" s="2">
        <f t="shared" si="10"/>
        <v>64.400000000000006</v>
      </c>
      <c r="K110" s="35" t="str">
        <f t="shared" ca="1" si="11"/>
        <v>INSERT INTO ETFValue (DataDate, TimeCategory, ProductType, ProductLink, ProductCode, ProductName, NAV, Price, RecTime) VALUES ('2021/5/14','1', 'Stock', '2441','2441','超豐','64.4','64.4','15:15:01');</v>
      </c>
    </row>
    <row r="111" spans="1:11">
      <c r="A111" s="21" t="str">
        <f t="shared" ca="1" si="6"/>
        <v>2021/5/14</v>
      </c>
      <c r="B111" s="22" t="str">
        <f t="shared" ca="1" si="7"/>
        <v>15:15:01</v>
      </c>
      <c r="C111" s="23">
        <v>1</v>
      </c>
      <c r="D111" t="str">
        <f t="shared" si="8"/>
        <v>Stock</v>
      </c>
      <c r="E111" s="26" t="str">
        <f t="shared" si="9"/>
        <v>2442</v>
      </c>
      <c r="F111" s="3" t="s">
        <v>769</v>
      </c>
      <c r="G111" s="2" t="s">
        <v>1975</v>
      </c>
      <c r="H111" s="2">
        <v>9.9700000000000006</v>
      </c>
      <c r="J111" s="2">
        <f t="shared" si="10"/>
        <v>9.9700000000000006</v>
      </c>
      <c r="K111" s="35" t="str">
        <f t="shared" ca="1" si="11"/>
        <v>INSERT INTO ETFValue (DataDate, TimeCategory, ProductType, ProductLink, ProductCode, ProductName, NAV, Price, RecTime) VALUES ('2021/5/14','1', 'Stock', '2442','2442','新美齊','9.97','9.97','15:15:01');</v>
      </c>
    </row>
    <row r="112" spans="1:11">
      <c r="A112" s="21" t="str">
        <f t="shared" ca="1" si="6"/>
        <v>2021/5/14</v>
      </c>
      <c r="B112" s="22" t="str">
        <f t="shared" ca="1" si="7"/>
        <v>15:15:01</v>
      </c>
      <c r="C112" s="23">
        <v>1</v>
      </c>
      <c r="D112" t="str">
        <f t="shared" si="8"/>
        <v>Stock</v>
      </c>
      <c r="E112" s="26" t="str">
        <f t="shared" si="9"/>
        <v>2448</v>
      </c>
      <c r="F112" s="3" t="s">
        <v>278</v>
      </c>
      <c r="G112" s="2" t="s">
        <v>2471</v>
      </c>
      <c r="J112" s="2">
        <f t="shared" si="10"/>
        <v>0</v>
      </c>
      <c r="K112" s="35" t="str">
        <f t="shared" ca="1" si="11"/>
        <v>INSERT INTO ETFValue (DataDate, TimeCategory, ProductType, ProductLink, ProductCode, ProductName, NAV, Price, RecTime) VALUES ('2021/5/14','1', 'Stock', '2448','2448','晶電(下市)','0','0','15:15:01');</v>
      </c>
    </row>
    <row r="113" spans="1:11">
      <c r="A113" s="21" t="str">
        <f t="shared" ca="1" si="6"/>
        <v>2021/5/14</v>
      </c>
      <c r="B113" s="22" t="str">
        <f t="shared" ca="1" si="7"/>
        <v>15:15:01</v>
      </c>
      <c r="C113" s="23">
        <v>1</v>
      </c>
      <c r="D113" t="str">
        <f t="shared" si="8"/>
        <v>Stock</v>
      </c>
      <c r="E113" s="26" t="str">
        <f t="shared" si="9"/>
        <v>2449</v>
      </c>
      <c r="F113" s="3" t="s">
        <v>279</v>
      </c>
      <c r="G113" s="2" t="s">
        <v>1976</v>
      </c>
      <c r="H113" s="2">
        <v>42.25</v>
      </c>
      <c r="J113" s="2">
        <f t="shared" si="10"/>
        <v>42.25</v>
      </c>
      <c r="K113" s="35" t="str">
        <f t="shared" ca="1" si="11"/>
        <v>INSERT INTO ETFValue (DataDate, TimeCategory, ProductType, ProductLink, ProductCode, ProductName, NAV, Price, RecTime) VALUES ('2021/5/14','1', 'Stock', '2449','2449','京元電子','42.25','42.25','15:15:01');</v>
      </c>
    </row>
    <row r="114" spans="1:11">
      <c r="A114" s="21" t="str">
        <f t="shared" ca="1" si="6"/>
        <v>2021/5/14</v>
      </c>
      <c r="B114" s="22" t="str">
        <f t="shared" ca="1" si="7"/>
        <v>15:15:01</v>
      </c>
      <c r="C114" s="23">
        <v>1</v>
      </c>
      <c r="D114" t="str">
        <f t="shared" si="8"/>
        <v>Stock</v>
      </c>
      <c r="E114" s="26" t="str">
        <f t="shared" si="9"/>
        <v>2450</v>
      </c>
      <c r="F114" s="3" t="s">
        <v>818</v>
      </c>
      <c r="G114" s="2" t="s">
        <v>1977</v>
      </c>
      <c r="H114" s="2">
        <v>30.95</v>
      </c>
      <c r="J114" s="2">
        <f t="shared" si="10"/>
        <v>30.95</v>
      </c>
      <c r="K114" s="35" t="str">
        <f t="shared" ca="1" si="11"/>
        <v>INSERT INTO ETFValue (DataDate, TimeCategory, ProductType, ProductLink, ProductCode, ProductName, NAV, Price, RecTime) VALUES ('2021/5/14','1', 'Stock', '2450','2450','神腦','30.95','30.95','15:15:01');</v>
      </c>
    </row>
    <row r="115" spans="1:11">
      <c r="A115" s="21" t="str">
        <f t="shared" ca="1" si="6"/>
        <v>2021/5/14</v>
      </c>
      <c r="B115" s="22" t="str">
        <f t="shared" ca="1" si="7"/>
        <v>15:15:01</v>
      </c>
      <c r="C115" s="23">
        <v>1</v>
      </c>
      <c r="D115" t="str">
        <f t="shared" si="8"/>
        <v>Stock</v>
      </c>
      <c r="E115" s="26" t="str">
        <f t="shared" si="9"/>
        <v>2451</v>
      </c>
      <c r="F115" s="3" t="s">
        <v>280</v>
      </c>
      <c r="G115" s="2" t="s">
        <v>1978</v>
      </c>
      <c r="H115" s="2">
        <v>69.400000000000006</v>
      </c>
      <c r="J115" s="2">
        <f t="shared" si="10"/>
        <v>69.400000000000006</v>
      </c>
      <c r="K115" s="35" t="str">
        <f t="shared" ca="1" si="11"/>
        <v>INSERT INTO ETFValue (DataDate, TimeCategory, ProductType, ProductLink, ProductCode, ProductName, NAV, Price, RecTime) VALUES ('2021/5/14','1', 'Stock', '2451','2451','創見','69.4','69.4','15:15:01');</v>
      </c>
    </row>
    <row r="116" spans="1:11">
      <c r="A116" s="21" t="str">
        <f t="shared" ca="1" si="6"/>
        <v>2021/5/14</v>
      </c>
      <c r="B116" s="22" t="str">
        <f t="shared" ca="1" si="7"/>
        <v>15:15:01</v>
      </c>
      <c r="C116" s="23">
        <v>1</v>
      </c>
      <c r="D116" t="str">
        <f t="shared" si="8"/>
        <v>Stock</v>
      </c>
      <c r="E116" s="26" t="str">
        <f t="shared" si="9"/>
        <v>2454</v>
      </c>
      <c r="F116" s="3" t="s">
        <v>281</v>
      </c>
      <c r="G116" s="2" t="s">
        <v>1979</v>
      </c>
      <c r="H116" s="2">
        <v>895</v>
      </c>
      <c r="J116" s="2">
        <f t="shared" si="10"/>
        <v>895</v>
      </c>
      <c r="K116" s="35" t="str">
        <f t="shared" ca="1" si="11"/>
        <v>INSERT INTO ETFValue (DataDate, TimeCategory, ProductType, ProductLink, ProductCode, ProductName, NAV, Price, RecTime) VALUES ('2021/5/14','1', 'Stock', '2454','2454','聯發科','895','895','15:15:01');</v>
      </c>
    </row>
    <row r="117" spans="1:11">
      <c r="A117" s="21" t="str">
        <f t="shared" ca="1" si="6"/>
        <v>2021/5/14</v>
      </c>
      <c r="B117" s="22" t="str">
        <f t="shared" ca="1" si="7"/>
        <v>15:15:01</v>
      </c>
      <c r="C117" s="23">
        <v>1</v>
      </c>
      <c r="D117" t="str">
        <f t="shared" si="8"/>
        <v>Stock</v>
      </c>
      <c r="E117" s="26" t="str">
        <f t="shared" si="9"/>
        <v>2455</v>
      </c>
      <c r="F117" s="3" t="s">
        <v>1030</v>
      </c>
      <c r="G117" s="2" t="s">
        <v>1980</v>
      </c>
      <c r="H117" s="2">
        <v>95.5</v>
      </c>
      <c r="J117" s="2">
        <f t="shared" si="10"/>
        <v>95.5</v>
      </c>
      <c r="K117" s="35" t="str">
        <f t="shared" ca="1" si="11"/>
        <v>INSERT INTO ETFValue (DataDate, TimeCategory, ProductType, ProductLink, ProductCode, ProductName, NAV, Price, RecTime) VALUES ('2021/5/14','1', 'Stock', '2455','2455','全新','95.5','95.5','15:15:01');</v>
      </c>
    </row>
    <row r="118" spans="1:11">
      <c r="A118" s="21" t="str">
        <f t="shared" ca="1" si="6"/>
        <v>2021/5/14</v>
      </c>
      <c r="B118" s="22" t="str">
        <f t="shared" ca="1" si="7"/>
        <v>15:15:01</v>
      </c>
      <c r="C118" s="23">
        <v>1</v>
      </c>
      <c r="D118" t="str">
        <f t="shared" si="8"/>
        <v>Stock</v>
      </c>
      <c r="E118" s="26" t="str">
        <f t="shared" si="9"/>
        <v>2456</v>
      </c>
      <c r="F118" s="3" t="s">
        <v>1031</v>
      </c>
      <c r="G118" s="2" t="s">
        <v>1981</v>
      </c>
      <c r="H118" s="2">
        <v>91.4</v>
      </c>
      <c r="J118" s="2">
        <f t="shared" si="10"/>
        <v>91.4</v>
      </c>
      <c r="K118" s="35" t="str">
        <f t="shared" ca="1" si="11"/>
        <v>INSERT INTO ETFValue (DataDate, TimeCategory, ProductType, ProductLink, ProductCode, ProductName, NAV, Price, RecTime) VALUES ('2021/5/14','1', 'Stock', '2456','2456','奇力新','91.4','91.4','15:15:01');</v>
      </c>
    </row>
    <row r="119" spans="1:11">
      <c r="A119" s="21" t="str">
        <f t="shared" ca="1" si="6"/>
        <v>2021/5/14</v>
      </c>
      <c r="B119" s="22" t="str">
        <f t="shared" ca="1" si="7"/>
        <v>15:15:01</v>
      </c>
      <c r="C119" s="23">
        <v>1</v>
      </c>
      <c r="D119" t="str">
        <f t="shared" si="8"/>
        <v>Stock</v>
      </c>
      <c r="E119" s="26" t="str">
        <f t="shared" si="9"/>
        <v>2458</v>
      </c>
      <c r="F119" s="3" t="s">
        <v>770</v>
      </c>
      <c r="G119" s="2" t="s">
        <v>1982</v>
      </c>
      <c r="H119" s="2">
        <v>193</v>
      </c>
      <c r="J119" s="2">
        <f t="shared" si="10"/>
        <v>193</v>
      </c>
      <c r="K119" s="35" t="str">
        <f t="shared" ca="1" si="11"/>
        <v>INSERT INTO ETFValue (DataDate, TimeCategory, ProductType, ProductLink, ProductCode, ProductName, NAV, Price, RecTime) VALUES ('2021/5/14','1', 'Stock', '2458','2458','義隆','193','193','15:15:01');</v>
      </c>
    </row>
    <row r="120" spans="1:11">
      <c r="A120" s="21" t="str">
        <f t="shared" ca="1" si="6"/>
        <v>2021/5/14</v>
      </c>
      <c r="B120" s="22" t="str">
        <f t="shared" ca="1" si="7"/>
        <v>15:15:01</v>
      </c>
      <c r="C120" s="23">
        <v>1</v>
      </c>
      <c r="D120" t="str">
        <f t="shared" si="8"/>
        <v>Stock</v>
      </c>
      <c r="E120" s="26" t="str">
        <f t="shared" si="9"/>
        <v>2474</v>
      </c>
      <c r="F120" s="3" t="s">
        <v>282</v>
      </c>
      <c r="G120" s="2" t="s">
        <v>1983</v>
      </c>
      <c r="H120" s="2">
        <v>178</v>
      </c>
      <c r="J120" s="2">
        <f t="shared" si="10"/>
        <v>178</v>
      </c>
      <c r="K120" s="35" t="str">
        <f t="shared" ca="1" si="11"/>
        <v>INSERT INTO ETFValue (DataDate, TimeCategory, ProductType, ProductLink, ProductCode, ProductName, NAV, Price, RecTime) VALUES ('2021/5/14','1', 'Stock', '2474','2474','可成','178','178','15:15:01');</v>
      </c>
    </row>
    <row r="121" spans="1:11">
      <c r="A121" s="21" t="str">
        <f t="shared" ca="1" si="6"/>
        <v>2021/5/14</v>
      </c>
      <c r="B121" s="22" t="str">
        <f t="shared" ca="1" si="7"/>
        <v>15:15:01</v>
      </c>
      <c r="C121" s="23">
        <v>1</v>
      </c>
      <c r="D121" t="str">
        <f t="shared" si="8"/>
        <v>Stock</v>
      </c>
      <c r="E121" s="26" t="str">
        <f t="shared" si="9"/>
        <v>2489</v>
      </c>
      <c r="F121" s="3" t="s">
        <v>761</v>
      </c>
      <c r="G121" s="2" t="s">
        <v>1984</v>
      </c>
      <c r="H121" s="2">
        <v>16</v>
      </c>
      <c r="J121" s="2">
        <f t="shared" si="10"/>
        <v>16</v>
      </c>
      <c r="K121" s="35" t="str">
        <f t="shared" ca="1" si="11"/>
        <v>INSERT INTO ETFValue (DataDate, TimeCategory, ProductType, ProductLink, ProductCode, ProductName, NAV, Price, RecTime) VALUES ('2021/5/14','1', 'Stock', '2489','2489','瑞軒','16','16','15:15:01');</v>
      </c>
    </row>
    <row r="122" spans="1:11">
      <c r="A122" s="21" t="str">
        <f t="shared" ca="1" si="6"/>
        <v>2021/5/14</v>
      </c>
      <c r="B122" s="22" t="str">
        <f t="shared" ca="1" si="7"/>
        <v>15:15:01</v>
      </c>
      <c r="C122" s="23">
        <v>1</v>
      </c>
      <c r="D122" t="str">
        <f t="shared" si="8"/>
        <v>Stock</v>
      </c>
      <c r="E122" s="26" t="str">
        <f t="shared" si="9"/>
        <v>2492</v>
      </c>
      <c r="F122" s="3" t="s">
        <v>283</v>
      </c>
      <c r="G122" s="2" t="s">
        <v>1985</v>
      </c>
      <c r="H122" s="2">
        <v>195</v>
      </c>
      <c r="J122" s="2">
        <f t="shared" si="10"/>
        <v>195</v>
      </c>
      <c r="K122" s="35" t="str">
        <f t="shared" ca="1" si="11"/>
        <v>INSERT INTO ETFValue (DataDate, TimeCategory, ProductType, ProductLink, ProductCode, ProductName, NAV, Price, RecTime) VALUES ('2021/5/14','1', 'Stock', '2492','2492','華新科','195','195','15:15:01');</v>
      </c>
    </row>
    <row r="123" spans="1:11">
      <c r="A123" s="21" t="str">
        <f t="shared" ca="1" si="6"/>
        <v>2021/5/14</v>
      </c>
      <c r="B123" s="22" t="str">
        <f t="shared" ca="1" si="7"/>
        <v>15:15:01</v>
      </c>
      <c r="C123" s="23">
        <v>1</v>
      </c>
      <c r="D123" t="str">
        <f t="shared" si="8"/>
        <v>Stock</v>
      </c>
      <c r="E123" s="26" t="str">
        <f t="shared" si="9"/>
        <v>2498</v>
      </c>
      <c r="F123" s="3" t="s">
        <v>284</v>
      </c>
      <c r="G123" s="2" t="s">
        <v>1986</v>
      </c>
      <c r="H123" s="2">
        <v>34.5</v>
      </c>
      <c r="J123" s="2">
        <f t="shared" si="10"/>
        <v>34.5</v>
      </c>
      <c r="K123" s="35" t="str">
        <f t="shared" ca="1" si="11"/>
        <v>INSERT INTO ETFValue (DataDate, TimeCategory, ProductType, ProductLink, ProductCode, ProductName, NAV, Price, RecTime) VALUES ('2021/5/14','1', 'Stock', '2498','2498','宏達電','34.5','34.5','15:15:01');</v>
      </c>
    </row>
    <row r="124" spans="1:11">
      <c r="A124" s="21" t="str">
        <f t="shared" ca="1" si="6"/>
        <v>2021/5/14</v>
      </c>
      <c r="B124" s="22" t="str">
        <f t="shared" ca="1" si="7"/>
        <v>15:15:01</v>
      </c>
      <c r="C124" s="23">
        <v>1</v>
      </c>
      <c r="D124" t="str">
        <f t="shared" si="8"/>
        <v>Stock</v>
      </c>
      <c r="E124" s="26" t="str">
        <f t="shared" si="9"/>
        <v>2501</v>
      </c>
      <c r="F124" s="3" t="s">
        <v>285</v>
      </c>
      <c r="G124" s="2" t="s">
        <v>1987</v>
      </c>
      <c r="H124" s="2">
        <v>19.55</v>
      </c>
      <c r="J124" s="2">
        <f t="shared" si="10"/>
        <v>19.55</v>
      </c>
      <c r="K124" s="35" t="str">
        <f t="shared" ca="1" si="11"/>
        <v>INSERT INTO ETFValue (DataDate, TimeCategory, ProductType, ProductLink, ProductCode, ProductName, NAV, Price, RecTime) VALUES ('2021/5/14','1', 'Stock', '2501','2501','國建','19.55','19.55','15:15:01');</v>
      </c>
    </row>
    <row r="125" spans="1:11">
      <c r="A125" s="21" t="str">
        <f t="shared" ca="1" si="6"/>
        <v>2021/5/14</v>
      </c>
      <c r="B125" s="22" t="str">
        <f t="shared" ca="1" si="7"/>
        <v>15:15:01</v>
      </c>
      <c r="C125" s="23">
        <v>1</v>
      </c>
      <c r="D125" t="str">
        <f t="shared" si="8"/>
        <v>Stock</v>
      </c>
      <c r="E125" s="26" t="str">
        <f t="shared" si="9"/>
        <v>2504</v>
      </c>
      <c r="F125" s="3" t="s">
        <v>762</v>
      </c>
      <c r="G125" s="2" t="s">
        <v>1988</v>
      </c>
      <c r="H125" s="2">
        <v>23.1</v>
      </c>
      <c r="J125" s="2">
        <f t="shared" si="10"/>
        <v>23.1</v>
      </c>
      <c r="K125" s="35" t="str">
        <f t="shared" ca="1" si="11"/>
        <v>INSERT INTO ETFValue (DataDate, TimeCategory, ProductType, ProductLink, ProductCode, ProductName, NAV, Price, RecTime) VALUES ('2021/5/14','1', 'Stock', '2504','2504','國產','23.1','23.1','15:15:01');</v>
      </c>
    </row>
    <row r="126" spans="1:11">
      <c r="A126" s="21" t="str">
        <f t="shared" ca="1" si="6"/>
        <v>2021/5/14</v>
      </c>
      <c r="B126" s="22" t="str">
        <f t="shared" ca="1" si="7"/>
        <v>15:15:01</v>
      </c>
      <c r="C126" s="23">
        <v>1</v>
      </c>
      <c r="D126" t="str">
        <f t="shared" si="8"/>
        <v>Stock</v>
      </c>
      <c r="E126" s="26" t="str">
        <f t="shared" si="9"/>
        <v>2542</v>
      </c>
      <c r="F126" s="3" t="s">
        <v>286</v>
      </c>
      <c r="G126" s="2" t="s">
        <v>1989</v>
      </c>
      <c r="H126" s="2">
        <v>42.8</v>
      </c>
      <c r="J126" s="2">
        <f t="shared" si="10"/>
        <v>42.8</v>
      </c>
      <c r="K126" s="35" t="str">
        <f t="shared" ca="1" si="11"/>
        <v>INSERT INTO ETFValue (DataDate, TimeCategory, ProductType, ProductLink, ProductCode, ProductName, NAV, Price, RecTime) VALUES ('2021/5/14','1', 'Stock', '2542','2542','興富發','42.8','42.8','15:15:01');</v>
      </c>
    </row>
    <row r="127" spans="1:11">
      <c r="A127" s="21" t="str">
        <f t="shared" ca="1" si="6"/>
        <v>2021/5/14</v>
      </c>
      <c r="B127" s="22" t="str">
        <f t="shared" ca="1" si="7"/>
        <v>15:15:01</v>
      </c>
      <c r="C127" s="23">
        <v>1</v>
      </c>
      <c r="D127" t="str">
        <f t="shared" si="8"/>
        <v>Stock</v>
      </c>
      <c r="E127" s="26" t="str">
        <f t="shared" si="9"/>
        <v>2603</v>
      </c>
      <c r="F127" s="3" t="s">
        <v>287</v>
      </c>
      <c r="G127" s="2" t="s">
        <v>1990</v>
      </c>
      <c r="H127" s="2">
        <v>70.099999999999994</v>
      </c>
      <c r="J127" s="2">
        <f t="shared" si="10"/>
        <v>70.099999999999994</v>
      </c>
      <c r="K127" s="35" t="str">
        <f t="shared" ca="1" si="11"/>
        <v>INSERT INTO ETFValue (DataDate, TimeCategory, ProductType, ProductLink, ProductCode, ProductName, NAV, Price, RecTime) VALUES ('2021/5/14','1', 'Stock', '2603','2603','長榮','70.1','70.1','15:15:01');</v>
      </c>
    </row>
    <row r="128" spans="1:11">
      <c r="A128" s="21" t="str">
        <f t="shared" ca="1" si="6"/>
        <v>2021/5/14</v>
      </c>
      <c r="B128" s="22" t="str">
        <f t="shared" ca="1" si="7"/>
        <v>15:15:01</v>
      </c>
      <c r="C128" s="23">
        <v>1</v>
      </c>
      <c r="D128" t="str">
        <f t="shared" si="8"/>
        <v>Stock</v>
      </c>
      <c r="E128" s="26" t="str">
        <f t="shared" si="9"/>
        <v>2606</v>
      </c>
      <c r="F128" s="3" t="s">
        <v>288</v>
      </c>
      <c r="G128" s="2" t="s">
        <v>1991</v>
      </c>
      <c r="H128" s="2">
        <v>47.45</v>
      </c>
      <c r="J128" s="2">
        <f t="shared" si="10"/>
        <v>47.45</v>
      </c>
      <c r="K128" s="35" t="str">
        <f t="shared" ca="1" si="11"/>
        <v>INSERT INTO ETFValue (DataDate, TimeCategory, ProductType, ProductLink, ProductCode, ProductName, NAV, Price, RecTime) VALUES ('2021/5/14','1', 'Stock', '2606','2606','裕民','47.45','47.45','15:15:01');</v>
      </c>
    </row>
    <row r="129" spans="1:11">
      <c r="A129" s="21" t="str">
        <f t="shared" ca="1" si="6"/>
        <v>2021/5/14</v>
      </c>
      <c r="B129" s="22" t="str">
        <f t="shared" ca="1" si="7"/>
        <v>15:15:01</v>
      </c>
      <c r="C129" s="23">
        <v>1</v>
      </c>
      <c r="D129" t="str">
        <f t="shared" si="8"/>
        <v>Stock</v>
      </c>
      <c r="E129" s="26" t="str">
        <f t="shared" si="9"/>
        <v>2608</v>
      </c>
      <c r="F129" s="3" t="s">
        <v>819</v>
      </c>
      <c r="G129" s="2" t="s">
        <v>1992</v>
      </c>
      <c r="H129" s="2">
        <v>44.8</v>
      </c>
      <c r="J129" s="2">
        <f t="shared" si="10"/>
        <v>44.8</v>
      </c>
      <c r="K129" s="35" t="str">
        <f t="shared" ca="1" si="11"/>
        <v>INSERT INTO ETFValue (DataDate, TimeCategory, ProductType, ProductLink, ProductCode, ProductName, NAV, Price, RecTime) VALUES ('2021/5/14','1', 'Stock', '2608','2608','嘉里大榮','44.8','44.8','15:15:01');</v>
      </c>
    </row>
    <row r="130" spans="1:11">
      <c r="A130" s="21" t="str">
        <f t="shared" ca="1" si="6"/>
        <v>2021/5/14</v>
      </c>
      <c r="B130" s="22" t="str">
        <f t="shared" ca="1" si="7"/>
        <v>15:15:01</v>
      </c>
      <c r="C130" s="23">
        <v>1</v>
      </c>
      <c r="D130" t="str">
        <f t="shared" si="8"/>
        <v>Stock</v>
      </c>
      <c r="E130" s="26" t="str">
        <f t="shared" si="9"/>
        <v>2610</v>
      </c>
      <c r="F130" s="3" t="s">
        <v>289</v>
      </c>
      <c r="G130" s="2" t="s">
        <v>1993</v>
      </c>
      <c r="H130" s="2">
        <v>15.1</v>
      </c>
      <c r="J130" s="2">
        <f t="shared" si="10"/>
        <v>15.1</v>
      </c>
      <c r="K130" s="35" t="str">
        <f t="shared" ca="1" si="11"/>
        <v>INSERT INTO ETFValue (DataDate, TimeCategory, ProductType, ProductLink, ProductCode, ProductName, NAV, Price, RecTime) VALUES ('2021/5/14','1', 'Stock', '2610','2610','華航','15.1','15.1','15:15:01');</v>
      </c>
    </row>
    <row r="131" spans="1:11">
      <c r="A131" s="21" t="str">
        <f t="shared" ca="1" si="6"/>
        <v>2021/5/14</v>
      </c>
      <c r="B131" s="22" t="str">
        <f t="shared" ca="1" si="7"/>
        <v>15:15:01</v>
      </c>
      <c r="C131" s="23">
        <v>1</v>
      </c>
      <c r="D131" t="str">
        <f t="shared" si="8"/>
        <v>Stock</v>
      </c>
      <c r="E131" s="26" t="str">
        <f t="shared" si="9"/>
        <v>2615</v>
      </c>
      <c r="F131" s="3" t="s">
        <v>290</v>
      </c>
      <c r="G131" s="2" t="s">
        <v>1994</v>
      </c>
      <c r="H131" s="2">
        <v>81.599999999999994</v>
      </c>
      <c r="J131" s="2">
        <f t="shared" si="10"/>
        <v>81.599999999999994</v>
      </c>
      <c r="K131" s="35" t="str">
        <f t="shared" ca="1" si="11"/>
        <v>INSERT INTO ETFValue (DataDate, TimeCategory, ProductType, ProductLink, ProductCode, ProductName, NAV, Price, RecTime) VALUES ('2021/5/14','1', 'Stock', '2615','2615','萬海','81.6','81.6','15:15:01');</v>
      </c>
    </row>
    <row r="132" spans="1:11">
      <c r="A132" s="21" t="str">
        <f t="shared" ca="1" si="6"/>
        <v>2021/5/14</v>
      </c>
      <c r="B132" s="22" t="str">
        <f t="shared" ca="1" si="7"/>
        <v>15:15:01</v>
      </c>
      <c r="C132" s="23">
        <v>1</v>
      </c>
      <c r="D132" t="str">
        <f t="shared" si="8"/>
        <v>Stock</v>
      </c>
      <c r="E132" s="26" t="str">
        <f t="shared" si="9"/>
        <v>2618</v>
      </c>
      <c r="F132" s="3" t="s">
        <v>291</v>
      </c>
      <c r="G132" s="2" t="s">
        <v>1995</v>
      </c>
      <c r="H132" s="2">
        <v>14.6</v>
      </c>
      <c r="J132" s="2">
        <f t="shared" si="10"/>
        <v>14.6</v>
      </c>
      <c r="K132" s="35" t="str">
        <f t="shared" ca="1" si="11"/>
        <v>INSERT INTO ETFValue (DataDate, TimeCategory, ProductType, ProductLink, ProductCode, ProductName, NAV, Price, RecTime) VALUES ('2021/5/14','1', 'Stock', '2618','2618','長榮航','14.6','14.6','15:15:01');</v>
      </c>
    </row>
    <row r="133" spans="1:11">
      <c r="A133" s="21" t="str">
        <f t="shared" ca="1" si="6"/>
        <v>2021/5/14</v>
      </c>
      <c r="B133" s="22" t="str">
        <f t="shared" ca="1" si="7"/>
        <v>15:15:01</v>
      </c>
      <c r="C133" s="23">
        <v>1</v>
      </c>
      <c r="D133" t="str">
        <f t="shared" si="8"/>
        <v>Stock</v>
      </c>
      <c r="E133" s="26" t="str">
        <f t="shared" si="9"/>
        <v>2633</v>
      </c>
      <c r="F133" s="3" t="s">
        <v>292</v>
      </c>
      <c r="G133" s="2" t="s">
        <v>1996</v>
      </c>
      <c r="H133" s="2">
        <v>28.85</v>
      </c>
      <c r="J133" s="2">
        <f t="shared" si="10"/>
        <v>28.85</v>
      </c>
      <c r="K133" s="35" t="str">
        <f t="shared" ca="1" si="11"/>
        <v>INSERT INTO ETFValue (DataDate, TimeCategory, ProductType, ProductLink, ProductCode, ProductName, NAV, Price, RecTime) VALUES ('2021/5/14','1', 'Stock', '2633','2633','台灣高鐵','28.85','28.85','15:15:01');</v>
      </c>
    </row>
    <row r="134" spans="1:11">
      <c r="A134" s="21" t="str">
        <f t="shared" ca="1" si="6"/>
        <v>2021/5/14</v>
      </c>
      <c r="B134" s="22" t="str">
        <f t="shared" ca="1" si="7"/>
        <v>15:15:01</v>
      </c>
      <c r="C134" s="23">
        <v>1</v>
      </c>
      <c r="D134" t="str">
        <f t="shared" si="8"/>
        <v>Stock</v>
      </c>
      <c r="E134" s="26" t="str">
        <f t="shared" si="9"/>
        <v>2634</v>
      </c>
      <c r="F134" s="3" t="s">
        <v>771</v>
      </c>
      <c r="G134" s="2" t="s">
        <v>1997</v>
      </c>
      <c r="H134" s="2">
        <v>26.6</v>
      </c>
      <c r="J134" s="2">
        <f t="shared" si="10"/>
        <v>26.6</v>
      </c>
      <c r="K134" s="35" t="str">
        <f t="shared" ca="1" si="11"/>
        <v>INSERT INTO ETFValue (DataDate, TimeCategory, ProductType, ProductLink, ProductCode, ProductName, NAV, Price, RecTime) VALUES ('2021/5/14','1', 'Stock', '2634','2634','漢翔','26.6','26.6','15:15:01');</v>
      </c>
    </row>
    <row r="135" spans="1:11">
      <c r="A135" s="21" t="str">
        <f t="shared" ref="A135:A198" ca="1" si="12">TEXT($Q$1,"yyyy/m/dd")</f>
        <v>2021/5/14</v>
      </c>
      <c r="B135" s="22" t="str">
        <f t="shared" ref="B135:B198" ca="1" si="13">$Q$2</f>
        <v>15:15:01</v>
      </c>
      <c r="C135" s="23">
        <v>1</v>
      </c>
      <c r="D135" t="str">
        <f t="shared" ref="D135:D198" si="14">IF(LEFT(G135,2)="00","ETF","Stock")</f>
        <v>Stock</v>
      </c>
      <c r="E135" s="26" t="str">
        <f t="shared" ref="E135:E198" si="15">F135</f>
        <v>2637</v>
      </c>
      <c r="F135" s="3" t="s">
        <v>772</v>
      </c>
      <c r="G135" s="2" t="s">
        <v>1998</v>
      </c>
      <c r="H135" s="2">
        <v>59.6</v>
      </c>
      <c r="J135" s="2">
        <f t="shared" ref="J135:J198" si="16">IF($H135&lt;&gt;"",$H135,$I135)</f>
        <v>59.6</v>
      </c>
      <c r="K135" s="35" t="str">
        <f t="shared" ref="K135:K198" ca="1" si="17">"INSERT INTO ETFValue (DataDate, TimeCategory, ProductType, ProductLink, ProductCode, ProductName, NAV, Price, RecTime) VALUES ("&amp;"'"&amp;TEXT(A135,"yyyy/m/dd")&amp;"','"&amp; C135&amp;"', '"&amp;D135&amp;"', '"&amp;E135&amp;"','"&amp;F135&amp;"','"&amp;G135&amp;"','"&amp;ROUND(J135,4)&amp;"','"&amp;J135&amp;"','"&amp;TEXT($Q$2,"hh:mm:ss")&amp;"');"</f>
        <v>INSERT INTO ETFValue (DataDate, TimeCategory, ProductType, ProductLink, ProductCode, ProductName, NAV, Price, RecTime) VALUES ('2021/5/14','1', 'Stock', '2637','2637','慧洋-KY','59.6','59.6','15:15:01');</v>
      </c>
    </row>
    <row r="136" spans="1:11">
      <c r="A136" s="21" t="str">
        <f t="shared" ca="1" si="12"/>
        <v>2021/5/14</v>
      </c>
      <c r="B136" s="22" t="str">
        <f t="shared" ca="1" si="13"/>
        <v>15:15:01</v>
      </c>
      <c r="C136" s="23">
        <v>1</v>
      </c>
      <c r="D136" t="str">
        <f t="shared" si="14"/>
        <v>Stock</v>
      </c>
      <c r="E136" s="26" t="str">
        <f t="shared" si="15"/>
        <v>2640</v>
      </c>
      <c r="F136" s="3" t="s">
        <v>1064</v>
      </c>
      <c r="G136" s="2" t="s">
        <v>1999</v>
      </c>
      <c r="H136" s="2">
        <v>81.5</v>
      </c>
      <c r="J136" s="2">
        <f t="shared" si="16"/>
        <v>81.5</v>
      </c>
      <c r="K136" s="35" t="str">
        <f t="shared" ca="1" si="17"/>
        <v>INSERT INTO ETFValue (DataDate, TimeCategory, ProductType, ProductLink, ProductCode, ProductName, NAV, Price, RecTime) VALUES ('2021/5/14','1', 'Stock', '2640','2640','大車隊','81.5','81.5','15:15:01');</v>
      </c>
    </row>
    <row r="137" spans="1:11">
      <c r="A137" s="21" t="str">
        <f t="shared" ca="1" si="12"/>
        <v>2021/5/14</v>
      </c>
      <c r="B137" s="22" t="str">
        <f t="shared" ca="1" si="13"/>
        <v>15:15:01</v>
      </c>
      <c r="C137" s="23">
        <v>1</v>
      </c>
      <c r="D137" t="str">
        <f t="shared" si="14"/>
        <v>Stock</v>
      </c>
      <c r="E137" s="26" t="str">
        <f t="shared" si="15"/>
        <v>2723</v>
      </c>
      <c r="F137" s="3" t="s">
        <v>293</v>
      </c>
      <c r="G137" s="2" t="s">
        <v>2000</v>
      </c>
      <c r="H137" s="2">
        <v>148</v>
      </c>
      <c r="J137" s="2">
        <f t="shared" si="16"/>
        <v>148</v>
      </c>
      <c r="K137" s="35" t="str">
        <f t="shared" ca="1" si="17"/>
        <v>INSERT INTO ETFValue (DataDate, TimeCategory, ProductType, ProductLink, ProductCode, ProductName, NAV, Price, RecTime) VALUES ('2021/5/14','1', 'Stock', '2723','2723','美食-KY','148','148','15:15:01');</v>
      </c>
    </row>
    <row r="138" spans="1:11">
      <c r="A138" s="21" t="str">
        <f t="shared" ca="1" si="12"/>
        <v>2021/5/14</v>
      </c>
      <c r="B138" s="22" t="str">
        <f t="shared" ca="1" si="13"/>
        <v>15:15:01</v>
      </c>
      <c r="C138" s="23">
        <v>1</v>
      </c>
      <c r="D138" t="str">
        <f t="shared" si="14"/>
        <v>Stock</v>
      </c>
      <c r="E138" s="26" t="str">
        <f t="shared" si="15"/>
        <v>2727</v>
      </c>
      <c r="F138" s="3" t="s">
        <v>820</v>
      </c>
      <c r="G138" s="2" t="s">
        <v>2001</v>
      </c>
      <c r="H138" s="2">
        <v>124</v>
      </c>
      <c r="J138" s="2">
        <f t="shared" si="16"/>
        <v>124</v>
      </c>
      <c r="K138" s="35" t="str">
        <f t="shared" ca="1" si="17"/>
        <v>INSERT INTO ETFValue (DataDate, TimeCategory, ProductType, ProductLink, ProductCode, ProductName, NAV, Price, RecTime) VALUES ('2021/5/14','1', 'Stock', '2727','2727','王品','124','124','15:15:01');</v>
      </c>
    </row>
    <row r="139" spans="1:11">
      <c r="A139" s="21" t="str">
        <f t="shared" ca="1" si="12"/>
        <v>2021/5/14</v>
      </c>
      <c r="B139" s="22" t="str">
        <f t="shared" ca="1" si="13"/>
        <v>15:15:01</v>
      </c>
      <c r="C139" s="23">
        <v>1</v>
      </c>
      <c r="D139" t="str">
        <f t="shared" si="14"/>
        <v>Stock</v>
      </c>
      <c r="E139" s="26" t="str">
        <f t="shared" si="15"/>
        <v>2729</v>
      </c>
      <c r="F139" s="3" t="s">
        <v>843</v>
      </c>
      <c r="G139" s="2" t="s">
        <v>2002</v>
      </c>
      <c r="H139" s="2">
        <v>226</v>
      </c>
      <c r="J139" s="2">
        <f t="shared" si="16"/>
        <v>226</v>
      </c>
      <c r="K139" s="35" t="str">
        <f t="shared" ca="1" si="17"/>
        <v>INSERT INTO ETFValue (DataDate, TimeCategory, ProductType, ProductLink, ProductCode, ProductName, NAV, Price, RecTime) VALUES ('2021/5/14','1', 'Stock', '2729','2729','瓦城','226','226','15:15:01');</v>
      </c>
    </row>
    <row r="140" spans="1:11">
      <c r="A140" s="21" t="str">
        <f t="shared" ca="1" si="12"/>
        <v>2021/5/14</v>
      </c>
      <c r="B140" s="22" t="str">
        <f t="shared" ca="1" si="13"/>
        <v>15:15:01</v>
      </c>
      <c r="C140" s="23">
        <v>1</v>
      </c>
      <c r="D140" t="str">
        <f t="shared" si="14"/>
        <v>Stock</v>
      </c>
      <c r="E140" s="26" t="str">
        <f t="shared" si="15"/>
        <v>2732</v>
      </c>
      <c r="F140" s="3" t="s">
        <v>844</v>
      </c>
      <c r="G140" s="2" t="s">
        <v>2003</v>
      </c>
      <c r="H140" s="2">
        <v>107</v>
      </c>
      <c r="J140" s="2">
        <f t="shared" si="16"/>
        <v>107</v>
      </c>
      <c r="K140" s="35" t="str">
        <f t="shared" ca="1" si="17"/>
        <v>INSERT INTO ETFValue (DataDate, TimeCategory, ProductType, ProductLink, ProductCode, ProductName, NAV, Price, RecTime) VALUES ('2021/5/14','1', 'Stock', '2732','2732','六角','107','107','15:15:01');</v>
      </c>
    </row>
    <row r="141" spans="1:11">
      <c r="A141" s="21" t="str">
        <f t="shared" ca="1" si="12"/>
        <v>2021/5/14</v>
      </c>
      <c r="B141" s="22" t="str">
        <f t="shared" ca="1" si="13"/>
        <v>15:15:01</v>
      </c>
      <c r="C141" s="23">
        <v>1</v>
      </c>
      <c r="D141" t="str">
        <f t="shared" si="14"/>
        <v>Stock</v>
      </c>
      <c r="E141" s="26" t="str">
        <f t="shared" si="15"/>
        <v>2801</v>
      </c>
      <c r="F141" s="3" t="s">
        <v>294</v>
      </c>
      <c r="G141" s="2" t="s">
        <v>2004</v>
      </c>
      <c r="H141" s="2">
        <v>16.75</v>
      </c>
      <c r="J141" s="2">
        <f t="shared" si="16"/>
        <v>16.75</v>
      </c>
      <c r="K141" s="35" t="str">
        <f t="shared" ca="1" si="17"/>
        <v>INSERT INTO ETFValue (DataDate, TimeCategory, ProductType, ProductLink, ProductCode, ProductName, NAV, Price, RecTime) VALUES ('2021/5/14','1', 'Stock', '2801','2801','彰銀','16.75','16.75','15:15:01');</v>
      </c>
    </row>
    <row r="142" spans="1:11">
      <c r="A142" s="21" t="str">
        <f t="shared" ca="1" si="12"/>
        <v>2021/5/14</v>
      </c>
      <c r="B142" s="22" t="str">
        <f t="shared" ca="1" si="13"/>
        <v>15:15:01</v>
      </c>
      <c r="C142" s="23">
        <v>1</v>
      </c>
      <c r="D142" t="str">
        <f t="shared" si="14"/>
        <v>Stock</v>
      </c>
      <c r="E142" s="26" t="str">
        <f t="shared" si="15"/>
        <v>2809</v>
      </c>
      <c r="F142" s="3" t="s">
        <v>295</v>
      </c>
      <c r="G142" s="2" t="s">
        <v>2005</v>
      </c>
      <c r="H142" s="2">
        <v>39.5</v>
      </c>
      <c r="J142" s="2">
        <f t="shared" si="16"/>
        <v>39.5</v>
      </c>
      <c r="K142" s="35" t="str">
        <f t="shared" ca="1" si="17"/>
        <v>INSERT INTO ETFValue (DataDate, TimeCategory, ProductType, ProductLink, ProductCode, ProductName, NAV, Price, RecTime) VALUES ('2021/5/14','1', 'Stock', '2809','2809','京城銀','39.5','39.5','15:15:01');</v>
      </c>
    </row>
    <row r="143" spans="1:11">
      <c r="A143" s="21" t="str">
        <f t="shared" ca="1" si="12"/>
        <v>2021/5/14</v>
      </c>
      <c r="B143" s="22" t="str">
        <f t="shared" ca="1" si="13"/>
        <v>15:15:01</v>
      </c>
      <c r="C143" s="23">
        <v>1</v>
      </c>
      <c r="D143" t="str">
        <f t="shared" si="14"/>
        <v>Stock</v>
      </c>
      <c r="E143" s="26" t="str">
        <f t="shared" si="15"/>
        <v>2812</v>
      </c>
      <c r="F143" s="3" t="s">
        <v>296</v>
      </c>
      <c r="G143" s="2" t="s">
        <v>2006</v>
      </c>
      <c r="H143" s="2">
        <v>11.45</v>
      </c>
      <c r="J143" s="2">
        <f t="shared" si="16"/>
        <v>11.45</v>
      </c>
      <c r="K143" s="35" t="str">
        <f t="shared" ca="1" si="17"/>
        <v>INSERT INTO ETFValue (DataDate, TimeCategory, ProductType, ProductLink, ProductCode, ProductName, NAV, Price, RecTime) VALUES ('2021/5/14','1', 'Stock', '2812','2812','台中銀','11.45','11.45','15:15:01');</v>
      </c>
    </row>
    <row r="144" spans="1:11">
      <c r="A144" s="21" t="str">
        <f t="shared" ca="1" si="12"/>
        <v>2021/5/14</v>
      </c>
      <c r="B144" s="22" t="str">
        <f t="shared" ca="1" si="13"/>
        <v>15:15:01</v>
      </c>
      <c r="C144" s="23">
        <v>1</v>
      </c>
      <c r="D144" t="str">
        <f t="shared" si="14"/>
        <v>Stock</v>
      </c>
      <c r="E144" s="26" t="str">
        <f t="shared" si="15"/>
        <v>2823</v>
      </c>
      <c r="F144" s="3" t="s">
        <v>297</v>
      </c>
      <c r="G144" s="2" t="s">
        <v>2007</v>
      </c>
      <c r="H144" s="2">
        <v>23.65</v>
      </c>
      <c r="J144" s="2">
        <f t="shared" si="16"/>
        <v>23.65</v>
      </c>
      <c r="K144" s="35" t="str">
        <f t="shared" ca="1" si="17"/>
        <v>INSERT INTO ETFValue (DataDate, TimeCategory, ProductType, ProductLink, ProductCode, ProductName, NAV, Price, RecTime) VALUES ('2021/5/14','1', 'Stock', '2823','2823','中壽','23.65','23.65','15:15:01');</v>
      </c>
    </row>
    <row r="145" spans="1:11">
      <c r="A145" s="21" t="str">
        <f t="shared" ca="1" si="12"/>
        <v>2021/5/14</v>
      </c>
      <c r="B145" s="22" t="str">
        <f t="shared" ca="1" si="13"/>
        <v>15:15:01</v>
      </c>
      <c r="C145" s="23">
        <v>1</v>
      </c>
      <c r="D145" t="str">
        <f t="shared" si="14"/>
        <v>Stock</v>
      </c>
      <c r="E145" s="26" t="str">
        <f t="shared" si="15"/>
        <v>2834</v>
      </c>
      <c r="F145" s="3" t="s">
        <v>298</v>
      </c>
      <c r="G145" s="2" t="s">
        <v>2008</v>
      </c>
      <c r="H145" s="2">
        <v>9.6300000000000008</v>
      </c>
      <c r="J145" s="2">
        <f t="shared" si="16"/>
        <v>9.6300000000000008</v>
      </c>
      <c r="K145" s="35" t="str">
        <f t="shared" ca="1" si="17"/>
        <v>INSERT INTO ETFValue (DataDate, TimeCategory, ProductType, ProductLink, ProductCode, ProductName, NAV, Price, RecTime) VALUES ('2021/5/14','1', 'Stock', '2834','2834','臺企銀','9.63','9.63','15:15:01');</v>
      </c>
    </row>
    <row r="146" spans="1:11">
      <c r="A146" s="21" t="str">
        <f t="shared" ca="1" si="12"/>
        <v>2021/5/14</v>
      </c>
      <c r="B146" s="22" t="str">
        <f t="shared" ca="1" si="13"/>
        <v>15:15:01</v>
      </c>
      <c r="C146" s="23">
        <v>1</v>
      </c>
      <c r="D146" t="str">
        <f t="shared" si="14"/>
        <v>Stock</v>
      </c>
      <c r="E146" s="26" t="str">
        <f t="shared" si="15"/>
        <v>2836</v>
      </c>
      <c r="F146" s="3" t="s">
        <v>796</v>
      </c>
      <c r="G146" s="2" t="s">
        <v>2009</v>
      </c>
      <c r="H146" s="2">
        <v>10.65</v>
      </c>
      <c r="J146" s="2">
        <f t="shared" si="16"/>
        <v>10.65</v>
      </c>
      <c r="K146" s="35" t="str">
        <f t="shared" ca="1" si="17"/>
        <v>INSERT INTO ETFValue (DataDate, TimeCategory, ProductType, ProductLink, ProductCode, ProductName, NAV, Price, RecTime) VALUES ('2021/5/14','1', 'Stock', '2836','2836','高雄銀','10.65','10.65','15:15:01');</v>
      </c>
    </row>
    <row r="147" spans="1:11">
      <c r="A147" s="21" t="str">
        <f t="shared" ca="1" si="12"/>
        <v>2021/5/14</v>
      </c>
      <c r="B147" s="22" t="str">
        <f t="shared" ca="1" si="13"/>
        <v>15:15:01</v>
      </c>
      <c r="C147" s="23">
        <v>1</v>
      </c>
      <c r="D147" t="str">
        <f t="shared" si="14"/>
        <v>Stock</v>
      </c>
      <c r="E147" s="26" t="str">
        <f t="shared" si="15"/>
        <v>2845</v>
      </c>
      <c r="F147" s="3" t="s">
        <v>299</v>
      </c>
      <c r="G147" s="2" t="s">
        <v>2010</v>
      </c>
      <c r="H147" s="2">
        <v>10.6</v>
      </c>
      <c r="J147" s="2">
        <f t="shared" si="16"/>
        <v>10.6</v>
      </c>
      <c r="K147" s="35" t="str">
        <f t="shared" ca="1" si="17"/>
        <v>INSERT INTO ETFValue (DataDate, TimeCategory, ProductType, ProductLink, ProductCode, ProductName, NAV, Price, RecTime) VALUES ('2021/5/14','1', 'Stock', '2845','2845','遠東銀','10.6','10.6','15:15:01');</v>
      </c>
    </row>
    <row r="148" spans="1:11">
      <c r="A148" s="21" t="str">
        <f t="shared" ca="1" si="12"/>
        <v>2021/5/14</v>
      </c>
      <c r="B148" s="22" t="str">
        <f t="shared" ca="1" si="13"/>
        <v>15:15:01</v>
      </c>
      <c r="C148" s="23">
        <v>1</v>
      </c>
      <c r="D148" t="str">
        <f t="shared" si="14"/>
        <v>Stock</v>
      </c>
      <c r="E148" s="26" t="str">
        <f t="shared" si="15"/>
        <v>2867</v>
      </c>
      <c r="F148" s="3" t="s">
        <v>300</v>
      </c>
      <c r="G148" s="2" t="s">
        <v>2011</v>
      </c>
      <c r="H148" s="2">
        <v>8.9600000000000009</v>
      </c>
      <c r="J148" s="2">
        <f t="shared" si="16"/>
        <v>8.9600000000000009</v>
      </c>
      <c r="K148" s="35" t="str">
        <f t="shared" ca="1" si="17"/>
        <v>INSERT INTO ETFValue (DataDate, TimeCategory, ProductType, ProductLink, ProductCode, ProductName, NAV, Price, RecTime) VALUES ('2021/5/14','1', 'Stock', '2867','2867','三商壽','8.96','8.96','15:15:01');</v>
      </c>
    </row>
    <row r="149" spans="1:11">
      <c r="A149" s="21" t="str">
        <f t="shared" ca="1" si="12"/>
        <v>2021/5/14</v>
      </c>
      <c r="B149" s="22" t="str">
        <f t="shared" ca="1" si="13"/>
        <v>15:15:01</v>
      </c>
      <c r="C149" s="23">
        <v>1</v>
      </c>
      <c r="D149" t="str">
        <f t="shared" si="14"/>
        <v>Stock</v>
      </c>
      <c r="E149" s="26" t="str">
        <f t="shared" si="15"/>
        <v>2880</v>
      </c>
      <c r="F149" s="3" t="s">
        <v>301</v>
      </c>
      <c r="G149" s="2" t="s">
        <v>2012</v>
      </c>
      <c r="H149" s="2">
        <v>18.05</v>
      </c>
      <c r="J149" s="2">
        <f t="shared" si="16"/>
        <v>18.05</v>
      </c>
      <c r="K149" s="35" t="str">
        <f t="shared" ca="1" si="17"/>
        <v>INSERT INTO ETFValue (DataDate, TimeCategory, ProductType, ProductLink, ProductCode, ProductName, NAV, Price, RecTime) VALUES ('2021/5/14','1', 'Stock', '2880','2880','華南金','18.05','18.05','15:15:01');</v>
      </c>
    </row>
    <row r="150" spans="1:11">
      <c r="A150" s="21" t="str">
        <f t="shared" ca="1" si="12"/>
        <v>2021/5/14</v>
      </c>
      <c r="B150" s="22" t="str">
        <f t="shared" ca="1" si="13"/>
        <v>15:15:01</v>
      </c>
      <c r="C150" s="23">
        <v>1</v>
      </c>
      <c r="D150" t="str">
        <f t="shared" si="14"/>
        <v>Stock</v>
      </c>
      <c r="E150" s="26" t="str">
        <f t="shared" si="15"/>
        <v>2881</v>
      </c>
      <c r="F150" s="3" t="s">
        <v>302</v>
      </c>
      <c r="G150" s="2" t="s">
        <v>2013</v>
      </c>
      <c r="H150" s="2">
        <v>69.599999999999994</v>
      </c>
      <c r="J150" s="2">
        <f t="shared" si="16"/>
        <v>69.599999999999994</v>
      </c>
      <c r="K150" s="35" t="str">
        <f t="shared" ca="1" si="17"/>
        <v>INSERT INTO ETFValue (DataDate, TimeCategory, ProductType, ProductLink, ProductCode, ProductName, NAV, Price, RecTime) VALUES ('2021/5/14','1', 'Stock', '2881','2881','富邦金','69.6','69.6','15:15:01');</v>
      </c>
    </row>
    <row r="151" spans="1:11">
      <c r="A151" s="21" t="str">
        <f t="shared" ca="1" si="12"/>
        <v>2021/5/14</v>
      </c>
      <c r="B151" s="22" t="str">
        <f t="shared" ca="1" si="13"/>
        <v>15:15:01</v>
      </c>
      <c r="C151" s="23">
        <v>1</v>
      </c>
      <c r="D151" t="str">
        <f t="shared" si="14"/>
        <v>Stock</v>
      </c>
      <c r="E151" s="26" t="str">
        <f t="shared" si="15"/>
        <v>2882</v>
      </c>
      <c r="F151" s="3" t="s">
        <v>303</v>
      </c>
      <c r="G151" s="2" t="s">
        <v>2014</v>
      </c>
      <c r="H151" s="2">
        <v>51.5</v>
      </c>
      <c r="J151" s="2">
        <f t="shared" si="16"/>
        <v>51.5</v>
      </c>
      <c r="K151" s="35" t="str">
        <f t="shared" ca="1" si="17"/>
        <v>INSERT INTO ETFValue (DataDate, TimeCategory, ProductType, ProductLink, ProductCode, ProductName, NAV, Price, RecTime) VALUES ('2021/5/14','1', 'Stock', '2882','2882','國泰金','51.5','51.5','15:15:01');</v>
      </c>
    </row>
    <row r="152" spans="1:11">
      <c r="A152" s="21" t="str">
        <f t="shared" ca="1" si="12"/>
        <v>2021/5/14</v>
      </c>
      <c r="B152" s="22" t="str">
        <f t="shared" ca="1" si="13"/>
        <v>15:15:01</v>
      </c>
      <c r="C152" s="23">
        <v>1</v>
      </c>
      <c r="D152" t="str">
        <f t="shared" si="14"/>
        <v>Stock</v>
      </c>
      <c r="E152" s="26" t="str">
        <f t="shared" si="15"/>
        <v>2883</v>
      </c>
      <c r="F152" s="3" t="s">
        <v>304</v>
      </c>
      <c r="G152" s="2" t="s">
        <v>2015</v>
      </c>
      <c r="H152" s="2">
        <v>12.1</v>
      </c>
      <c r="J152" s="2">
        <f t="shared" si="16"/>
        <v>12.1</v>
      </c>
      <c r="K152" s="35" t="str">
        <f t="shared" ca="1" si="17"/>
        <v>INSERT INTO ETFValue (DataDate, TimeCategory, ProductType, ProductLink, ProductCode, ProductName, NAV, Price, RecTime) VALUES ('2021/5/14','1', 'Stock', '2883','2883','開發金','12.1','12.1','15:15:01');</v>
      </c>
    </row>
    <row r="153" spans="1:11">
      <c r="A153" s="21" t="str">
        <f t="shared" ca="1" si="12"/>
        <v>2021/5/14</v>
      </c>
      <c r="B153" s="22" t="str">
        <f t="shared" ca="1" si="13"/>
        <v>15:15:01</v>
      </c>
      <c r="C153" s="23">
        <v>1</v>
      </c>
      <c r="D153" t="str">
        <f t="shared" si="14"/>
        <v>Stock</v>
      </c>
      <c r="E153" s="26" t="str">
        <f t="shared" si="15"/>
        <v>2884</v>
      </c>
      <c r="F153" s="3" t="s">
        <v>305</v>
      </c>
      <c r="G153" s="2" t="s">
        <v>2016</v>
      </c>
      <c r="H153" s="2">
        <v>25.55</v>
      </c>
      <c r="J153" s="2">
        <f t="shared" si="16"/>
        <v>25.55</v>
      </c>
      <c r="K153" s="35" t="str">
        <f t="shared" ca="1" si="17"/>
        <v>INSERT INTO ETFValue (DataDate, TimeCategory, ProductType, ProductLink, ProductCode, ProductName, NAV, Price, RecTime) VALUES ('2021/5/14','1', 'Stock', '2884','2884','玉山金','25.55','25.55','15:15:01');</v>
      </c>
    </row>
    <row r="154" spans="1:11">
      <c r="A154" s="21" t="str">
        <f t="shared" ca="1" si="12"/>
        <v>2021/5/14</v>
      </c>
      <c r="B154" s="22" t="str">
        <f t="shared" ca="1" si="13"/>
        <v>15:15:01</v>
      </c>
      <c r="C154" s="23">
        <v>1</v>
      </c>
      <c r="D154" t="str">
        <f t="shared" si="14"/>
        <v>Stock</v>
      </c>
      <c r="E154" s="26" t="str">
        <f t="shared" si="15"/>
        <v>2885</v>
      </c>
      <c r="F154" s="3" t="s">
        <v>306</v>
      </c>
      <c r="G154" s="2" t="s">
        <v>2017</v>
      </c>
      <c r="H154" s="2">
        <v>24.3</v>
      </c>
      <c r="J154" s="2">
        <f t="shared" si="16"/>
        <v>24.3</v>
      </c>
      <c r="K154" s="35" t="str">
        <f t="shared" ca="1" si="17"/>
        <v>INSERT INTO ETFValue (DataDate, TimeCategory, ProductType, ProductLink, ProductCode, ProductName, NAV, Price, RecTime) VALUES ('2021/5/14','1', 'Stock', '2885','2885','元大金','24.3','24.3','15:15:01');</v>
      </c>
    </row>
    <row r="155" spans="1:11">
      <c r="A155" s="21" t="str">
        <f t="shared" ca="1" si="12"/>
        <v>2021/5/14</v>
      </c>
      <c r="B155" s="22" t="str">
        <f t="shared" ca="1" si="13"/>
        <v>15:15:01</v>
      </c>
      <c r="C155" s="23">
        <v>1</v>
      </c>
      <c r="D155" t="str">
        <f t="shared" si="14"/>
        <v>Stock</v>
      </c>
      <c r="E155" s="26" t="str">
        <f t="shared" si="15"/>
        <v>2886</v>
      </c>
      <c r="F155" s="3" t="s">
        <v>307</v>
      </c>
      <c r="G155" s="2" t="s">
        <v>2018</v>
      </c>
      <c r="H155" s="2">
        <v>31.7</v>
      </c>
      <c r="J155" s="2">
        <f t="shared" si="16"/>
        <v>31.7</v>
      </c>
      <c r="K155" s="35" t="str">
        <f t="shared" ca="1" si="17"/>
        <v>INSERT INTO ETFValue (DataDate, TimeCategory, ProductType, ProductLink, ProductCode, ProductName, NAV, Price, RecTime) VALUES ('2021/5/14','1', 'Stock', '2886','2886','兆豐金','31.7','31.7','15:15:01');</v>
      </c>
    </row>
    <row r="156" spans="1:11">
      <c r="A156" s="21" t="str">
        <f t="shared" ca="1" si="12"/>
        <v>2021/5/14</v>
      </c>
      <c r="B156" s="22" t="str">
        <f t="shared" ca="1" si="13"/>
        <v>15:15:01</v>
      </c>
      <c r="C156" s="23">
        <v>1</v>
      </c>
      <c r="D156" t="str">
        <f t="shared" si="14"/>
        <v>Stock</v>
      </c>
      <c r="E156" s="26" t="str">
        <f t="shared" si="15"/>
        <v>2887</v>
      </c>
      <c r="F156" s="3" t="s">
        <v>308</v>
      </c>
      <c r="G156" s="2" t="s">
        <v>2019</v>
      </c>
      <c r="H156" s="2">
        <v>14.2</v>
      </c>
      <c r="J156" s="2">
        <f t="shared" si="16"/>
        <v>14.2</v>
      </c>
      <c r="K156" s="35" t="str">
        <f t="shared" ca="1" si="17"/>
        <v>INSERT INTO ETFValue (DataDate, TimeCategory, ProductType, ProductLink, ProductCode, ProductName, NAV, Price, RecTime) VALUES ('2021/5/14','1', 'Stock', '2887','2887','台新金','14.2','14.2','15:15:01');</v>
      </c>
    </row>
    <row r="157" spans="1:11">
      <c r="A157" s="21" t="str">
        <f t="shared" ca="1" si="12"/>
        <v>2021/5/14</v>
      </c>
      <c r="B157" s="22" t="str">
        <f t="shared" ca="1" si="13"/>
        <v>15:15:01</v>
      </c>
      <c r="C157" s="23">
        <v>1</v>
      </c>
      <c r="D157" t="str">
        <f t="shared" si="14"/>
        <v>Stock</v>
      </c>
      <c r="E157" s="26" t="str">
        <f t="shared" si="15"/>
        <v>2888</v>
      </c>
      <c r="F157" s="3" t="s">
        <v>309</v>
      </c>
      <c r="G157" s="2" t="s">
        <v>2020</v>
      </c>
      <c r="H157" s="2">
        <v>9.2799999999999994</v>
      </c>
      <c r="J157" s="2">
        <f t="shared" si="16"/>
        <v>9.2799999999999994</v>
      </c>
      <c r="K157" s="35" t="str">
        <f t="shared" ca="1" si="17"/>
        <v>INSERT INTO ETFValue (DataDate, TimeCategory, ProductType, ProductLink, ProductCode, ProductName, NAV, Price, RecTime) VALUES ('2021/5/14','1', 'Stock', '2888','2888','新光金','9.28','9.28','15:15:01');</v>
      </c>
    </row>
    <row r="158" spans="1:11">
      <c r="A158" s="21" t="str">
        <f t="shared" ca="1" si="12"/>
        <v>2021/5/14</v>
      </c>
      <c r="B158" s="22" t="str">
        <f t="shared" ca="1" si="13"/>
        <v>15:15:01</v>
      </c>
      <c r="C158" s="23">
        <v>1</v>
      </c>
      <c r="D158" t="str">
        <f t="shared" si="14"/>
        <v>Stock</v>
      </c>
      <c r="E158" s="26" t="str">
        <f t="shared" si="15"/>
        <v>2889</v>
      </c>
      <c r="F158" s="3" t="s">
        <v>310</v>
      </c>
      <c r="G158" s="2" t="s">
        <v>2021</v>
      </c>
      <c r="H158" s="2">
        <v>16.8</v>
      </c>
      <c r="J158" s="2">
        <f t="shared" si="16"/>
        <v>16.8</v>
      </c>
      <c r="K158" s="35" t="str">
        <f t="shared" ca="1" si="17"/>
        <v>INSERT INTO ETFValue (DataDate, TimeCategory, ProductType, ProductLink, ProductCode, ProductName, NAV, Price, RecTime) VALUES ('2021/5/14','1', 'Stock', '2889','2889','國票金','16.8','16.8','15:15:01');</v>
      </c>
    </row>
    <row r="159" spans="1:11">
      <c r="A159" s="21" t="str">
        <f t="shared" ca="1" si="12"/>
        <v>2021/5/14</v>
      </c>
      <c r="B159" s="22" t="str">
        <f t="shared" ca="1" si="13"/>
        <v>15:15:01</v>
      </c>
      <c r="C159" s="23">
        <v>1</v>
      </c>
      <c r="D159" t="str">
        <f t="shared" si="14"/>
        <v>Stock</v>
      </c>
      <c r="E159" s="26" t="str">
        <f t="shared" si="15"/>
        <v>2890</v>
      </c>
      <c r="F159" s="3" t="s">
        <v>311</v>
      </c>
      <c r="G159" s="2" t="s">
        <v>2022</v>
      </c>
      <c r="H159" s="2">
        <v>13.15</v>
      </c>
      <c r="J159" s="2">
        <f t="shared" si="16"/>
        <v>13.15</v>
      </c>
      <c r="K159" s="35" t="str">
        <f t="shared" ca="1" si="17"/>
        <v>INSERT INTO ETFValue (DataDate, TimeCategory, ProductType, ProductLink, ProductCode, ProductName, NAV, Price, RecTime) VALUES ('2021/5/14','1', 'Stock', '2890','2890','永豐金','13.15','13.15','15:15:01');</v>
      </c>
    </row>
    <row r="160" spans="1:11">
      <c r="A160" s="21" t="str">
        <f t="shared" ca="1" si="12"/>
        <v>2021/5/14</v>
      </c>
      <c r="B160" s="22" t="str">
        <f t="shared" ca="1" si="13"/>
        <v>15:15:01</v>
      </c>
      <c r="C160" s="23">
        <v>1</v>
      </c>
      <c r="D160" t="str">
        <f t="shared" si="14"/>
        <v>Stock</v>
      </c>
      <c r="E160" s="26" t="str">
        <f t="shared" si="15"/>
        <v>2891</v>
      </c>
      <c r="F160" s="3" t="s">
        <v>312</v>
      </c>
      <c r="G160" s="2" t="s">
        <v>2023</v>
      </c>
      <c r="H160" s="2">
        <v>22</v>
      </c>
      <c r="J160" s="2">
        <f t="shared" si="16"/>
        <v>22</v>
      </c>
      <c r="K160" s="35" t="str">
        <f t="shared" ca="1" si="17"/>
        <v>INSERT INTO ETFValue (DataDate, TimeCategory, ProductType, ProductLink, ProductCode, ProductName, NAV, Price, RecTime) VALUES ('2021/5/14','1', 'Stock', '2891','2891','中信金','22','22','15:15:01');</v>
      </c>
    </row>
    <row r="161" spans="1:11">
      <c r="A161" s="21" t="str">
        <f t="shared" ca="1" si="12"/>
        <v>2021/5/14</v>
      </c>
      <c r="B161" s="22" t="str">
        <f t="shared" ca="1" si="13"/>
        <v>15:15:01</v>
      </c>
      <c r="C161" s="23">
        <v>1</v>
      </c>
      <c r="D161" t="str">
        <f t="shared" si="14"/>
        <v>Stock</v>
      </c>
      <c r="E161" s="26" t="str">
        <f t="shared" si="15"/>
        <v>2892</v>
      </c>
      <c r="F161" s="3" t="s">
        <v>313</v>
      </c>
      <c r="G161" s="2" t="s">
        <v>2024</v>
      </c>
      <c r="H161" s="2">
        <v>21.7</v>
      </c>
      <c r="J161" s="2">
        <f t="shared" si="16"/>
        <v>21.7</v>
      </c>
      <c r="K161" s="35" t="str">
        <f t="shared" ca="1" si="17"/>
        <v>INSERT INTO ETFValue (DataDate, TimeCategory, ProductType, ProductLink, ProductCode, ProductName, NAV, Price, RecTime) VALUES ('2021/5/14','1', 'Stock', '2892','2892','第一金','21.7','21.7','15:15:01');</v>
      </c>
    </row>
    <row r="162" spans="1:11">
      <c r="A162" s="21" t="str">
        <f t="shared" ca="1" si="12"/>
        <v>2021/5/14</v>
      </c>
      <c r="B162" s="22" t="str">
        <f t="shared" ca="1" si="13"/>
        <v>15:15:01</v>
      </c>
      <c r="C162" s="23">
        <v>1</v>
      </c>
      <c r="D162" t="str">
        <f t="shared" si="14"/>
        <v>Stock</v>
      </c>
      <c r="E162" s="26" t="str">
        <f t="shared" si="15"/>
        <v>2897</v>
      </c>
      <c r="F162" s="3" t="s">
        <v>773</v>
      </c>
      <c r="G162" s="2" t="s">
        <v>2025</v>
      </c>
      <c r="H162" s="2">
        <v>6.88</v>
      </c>
      <c r="J162" s="2">
        <f t="shared" si="16"/>
        <v>6.88</v>
      </c>
      <c r="K162" s="35" t="str">
        <f t="shared" ca="1" si="17"/>
        <v>INSERT INTO ETFValue (DataDate, TimeCategory, ProductType, ProductLink, ProductCode, ProductName, NAV, Price, RecTime) VALUES ('2021/5/14','1', 'Stock', '2897','2897','王道銀行','6.88','6.88','15:15:01');</v>
      </c>
    </row>
    <row r="163" spans="1:11">
      <c r="A163" s="21" t="str">
        <f t="shared" ca="1" si="12"/>
        <v>2021/5/14</v>
      </c>
      <c r="B163" s="22" t="str">
        <f t="shared" ca="1" si="13"/>
        <v>15:15:01</v>
      </c>
      <c r="C163" s="23">
        <v>1</v>
      </c>
      <c r="D163" t="str">
        <f t="shared" si="14"/>
        <v>Stock</v>
      </c>
      <c r="E163" s="26" t="str">
        <f t="shared" si="15"/>
        <v>2903</v>
      </c>
      <c r="F163" s="3" t="s">
        <v>821</v>
      </c>
      <c r="G163" s="2" t="s">
        <v>2026</v>
      </c>
      <c r="H163" s="2">
        <v>22.05</v>
      </c>
      <c r="J163" s="2">
        <f t="shared" si="16"/>
        <v>22.05</v>
      </c>
      <c r="K163" s="35" t="str">
        <f t="shared" ca="1" si="17"/>
        <v>INSERT INTO ETFValue (DataDate, TimeCategory, ProductType, ProductLink, ProductCode, ProductName, NAV, Price, RecTime) VALUES ('2021/5/14','1', 'Stock', '2903','2903','遠百','22.05','22.05','15:15:01');</v>
      </c>
    </row>
    <row r="164" spans="1:11">
      <c r="A164" s="21" t="str">
        <f t="shared" ca="1" si="12"/>
        <v>2021/5/14</v>
      </c>
      <c r="B164" s="22" t="str">
        <f t="shared" ca="1" si="13"/>
        <v>15:15:01</v>
      </c>
      <c r="C164" s="23">
        <v>1</v>
      </c>
      <c r="D164" t="str">
        <f t="shared" si="14"/>
        <v>Stock</v>
      </c>
      <c r="E164" s="26" t="str">
        <f t="shared" si="15"/>
        <v>2905</v>
      </c>
      <c r="F164" s="3" t="s">
        <v>822</v>
      </c>
      <c r="G164" s="2" t="s">
        <v>2027</v>
      </c>
      <c r="H164" s="2">
        <v>20.5</v>
      </c>
      <c r="J164" s="2">
        <f t="shared" si="16"/>
        <v>20.5</v>
      </c>
      <c r="K164" s="35" t="str">
        <f t="shared" ca="1" si="17"/>
        <v>INSERT INTO ETFValue (DataDate, TimeCategory, ProductType, ProductLink, ProductCode, ProductName, NAV, Price, RecTime) VALUES ('2021/5/14','1', 'Stock', '2905','2905','三商','20.5','20.5','15:15:01');</v>
      </c>
    </row>
    <row r="165" spans="1:11">
      <c r="A165" s="21" t="str">
        <f t="shared" ca="1" si="12"/>
        <v>2021/5/14</v>
      </c>
      <c r="B165" s="22" t="str">
        <f t="shared" ca="1" si="13"/>
        <v>15:15:01</v>
      </c>
      <c r="C165" s="23">
        <v>1</v>
      </c>
      <c r="D165" t="str">
        <f t="shared" si="14"/>
        <v>Stock</v>
      </c>
      <c r="E165" s="26" t="str">
        <f t="shared" si="15"/>
        <v>2912</v>
      </c>
      <c r="F165" s="3" t="s">
        <v>314</v>
      </c>
      <c r="G165" s="2" t="s">
        <v>2028</v>
      </c>
      <c r="H165" s="2">
        <v>271.5</v>
      </c>
      <c r="J165" s="2">
        <f t="shared" si="16"/>
        <v>271.5</v>
      </c>
      <c r="K165" s="35" t="str">
        <f t="shared" ca="1" si="17"/>
        <v>INSERT INTO ETFValue (DataDate, TimeCategory, ProductType, ProductLink, ProductCode, ProductName, NAV, Price, RecTime) VALUES ('2021/5/14','1', 'Stock', '2912','2912','統一超','271.5','271.5','15:15:01');</v>
      </c>
    </row>
    <row r="166" spans="1:11">
      <c r="A166" s="21" t="str">
        <f t="shared" ca="1" si="12"/>
        <v>2021/5/14</v>
      </c>
      <c r="B166" s="22" t="str">
        <f t="shared" ca="1" si="13"/>
        <v>15:15:01</v>
      </c>
      <c r="C166" s="23">
        <v>1</v>
      </c>
      <c r="D166" t="str">
        <f t="shared" si="14"/>
        <v>Stock</v>
      </c>
      <c r="E166" s="26" t="str">
        <f t="shared" si="15"/>
        <v>2915</v>
      </c>
      <c r="F166" s="3" t="s">
        <v>315</v>
      </c>
      <c r="G166" s="2" t="s">
        <v>2029</v>
      </c>
      <c r="H166" s="2">
        <v>82.9</v>
      </c>
      <c r="J166" s="2">
        <f t="shared" si="16"/>
        <v>82.9</v>
      </c>
      <c r="K166" s="35" t="str">
        <f t="shared" ca="1" si="17"/>
        <v>INSERT INTO ETFValue (DataDate, TimeCategory, ProductType, ProductLink, ProductCode, ProductName, NAV, Price, RecTime) VALUES ('2021/5/14','1', 'Stock', '2915','2915','潤泰全','82.9','82.9','15:15:01');</v>
      </c>
    </row>
    <row r="167" spans="1:11">
      <c r="A167" s="21" t="str">
        <f t="shared" ca="1" si="12"/>
        <v>2021/5/14</v>
      </c>
      <c r="B167" s="22" t="str">
        <f t="shared" ca="1" si="13"/>
        <v>15:15:01</v>
      </c>
      <c r="C167" s="23">
        <v>1</v>
      </c>
      <c r="D167" t="str">
        <f t="shared" si="14"/>
        <v>Stock</v>
      </c>
      <c r="E167" s="26" t="str">
        <f t="shared" si="15"/>
        <v>3005</v>
      </c>
      <c r="F167" s="3" t="s">
        <v>316</v>
      </c>
      <c r="G167" s="2" t="s">
        <v>2030</v>
      </c>
      <c r="H167" s="2">
        <v>49.5</v>
      </c>
      <c r="J167" s="2">
        <f t="shared" si="16"/>
        <v>49.5</v>
      </c>
      <c r="K167" s="35" t="str">
        <f t="shared" ca="1" si="17"/>
        <v>INSERT INTO ETFValue (DataDate, TimeCategory, ProductType, ProductLink, ProductCode, ProductName, NAV, Price, RecTime) VALUES ('2021/5/14','1', 'Stock', '3005','3005','神基','49.5','49.5','15:15:01');</v>
      </c>
    </row>
    <row r="168" spans="1:11">
      <c r="A168" s="21" t="str">
        <f t="shared" ca="1" si="12"/>
        <v>2021/5/14</v>
      </c>
      <c r="B168" s="22" t="str">
        <f t="shared" ca="1" si="13"/>
        <v>15:15:01</v>
      </c>
      <c r="C168" s="23">
        <v>1</v>
      </c>
      <c r="D168" t="str">
        <f t="shared" si="14"/>
        <v>Stock</v>
      </c>
      <c r="E168" s="26" t="str">
        <f t="shared" si="15"/>
        <v>3006</v>
      </c>
      <c r="F168" s="3" t="s">
        <v>797</v>
      </c>
      <c r="G168" s="2" t="s">
        <v>2031</v>
      </c>
      <c r="H168" s="2">
        <v>108.5</v>
      </c>
      <c r="J168" s="2">
        <f t="shared" si="16"/>
        <v>108.5</v>
      </c>
      <c r="K168" s="35" t="str">
        <f t="shared" ca="1" si="17"/>
        <v>INSERT INTO ETFValue (DataDate, TimeCategory, ProductType, ProductLink, ProductCode, ProductName, NAV, Price, RecTime) VALUES ('2021/5/14','1', 'Stock', '3006','3006','晶豪科','108.5','108.5','15:15:01');</v>
      </c>
    </row>
    <row r="169" spans="1:11">
      <c r="A169" s="21" t="str">
        <f t="shared" ca="1" si="12"/>
        <v>2021/5/14</v>
      </c>
      <c r="B169" s="22" t="str">
        <f t="shared" ca="1" si="13"/>
        <v>15:15:01</v>
      </c>
      <c r="C169" s="23">
        <v>1</v>
      </c>
      <c r="D169" t="str">
        <f t="shared" si="14"/>
        <v>Stock</v>
      </c>
      <c r="E169" s="26" t="str">
        <f t="shared" si="15"/>
        <v>3008</v>
      </c>
      <c r="F169" s="3" t="s">
        <v>317</v>
      </c>
      <c r="G169" s="2" t="s">
        <v>2032</v>
      </c>
      <c r="H169" s="2">
        <v>2850</v>
      </c>
      <c r="J169" s="2">
        <f t="shared" si="16"/>
        <v>2850</v>
      </c>
      <c r="K169" s="35" t="str">
        <f t="shared" ca="1" si="17"/>
        <v>INSERT INTO ETFValue (DataDate, TimeCategory, ProductType, ProductLink, ProductCode, ProductName, NAV, Price, RecTime) VALUES ('2021/5/14','1', 'Stock', '3008','3008','大立光','2850','2850','15:15:01');</v>
      </c>
    </row>
    <row r="170" spans="1:11">
      <c r="A170" s="21" t="str">
        <f t="shared" ca="1" si="12"/>
        <v>2021/5/14</v>
      </c>
      <c r="B170" s="22" t="str">
        <f t="shared" ca="1" si="13"/>
        <v>15:15:01</v>
      </c>
      <c r="C170" s="23">
        <v>1</v>
      </c>
      <c r="D170" t="str">
        <f t="shared" si="14"/>
        <v>Stock</v>
      </c>
      <c r="E170" s="26" t="str">
        <f t="shared" si="15"/>
        <v>3010</v>
      </c>
      <c r="F170" s="3" t="s">
        <v>798</v>
      </c>
      <c r="G170" s="2" t="s">
        <v>2033</v>
      </c>
      <c r="H170" s="2">
        <v>74.900000000000006</v>
      </c>
      <c r="J170" s="2">
        <f t="shared" si="16"/>
        <v>74.900000000000006</v>
      </c>
      <c r="K170" s="35" t="str">
        <f t="shared" ca="1" si="17"/>
        <v>INSERT INTO ETFValue (DataDate, TimeCategory, ProductType, ProductLink, ProductCode, ProductName, NAV, Price, RecTime) VALUES ('2021/5/14','1', 'Stock', '3010','3010','華立','74.9','74.9','15:15:01');</v>
      </c>
    </row>
    <row r="171" spans="1:11">
      <c r="A171" s="21" t="str">
        <f t="shared" ca="1" si="12"/>
        <v>2021/5/14</v>
      </c>
      <c r="B171" s="22" t="str">
        <f t="shared" ca="1" si="13"/>
        <v>15:15:01</v>
      </c>
      <c r="C171" s="23">
        <v>1</v>
      </c>
      <c r="D171" t="str">
        <f t="shared" si="14"/>
        <v>Stock</v>
      </c>
      <c r="E171" s="26" t="str">
        <f t="shared" si="15"/>
        <v>3014</v>
      </c>
      <c r="F171" s="3" t="s">
        <v>799</v>
      </c>
      <c r="G171" s="2" t="s">
        <v>2034</v>
      </c>
      <c r="H171" s="2">
        <v>101</v>
      </c>
      <c r="J171" s="2">
        <f t="shared" si="16"/>
        <v>101</v>
      </c>
      <c r="K171" s="35" t="str">
        <f t="shared" ca="1" si="17"/>
        <v>INSERT INTO ETFValue (DataDate, TimeCategory, ProductType, ProductLink, ProductCode, ProductName, NAV, Price, RecTime) VALUES ('2021/5/14','1', 'Stock', '3014','3014','聯陽','101','101','15:15:01');</v>
      </c>
    </row>
    <row r="172" spans="1:11">
      <c r="A172" s="21" t="str">
        <f t="shared" ca="1" si="12"/>
        <v>2021/5/14</v>
      </c>
      <c r="B172" s="22" t="str">
        <f t="shared" ca="1" si="13"/>
        <v>15:15:01</v>
      </c>
      <c r="C172" s="23">
        <v>1</v>
      </c>
      <c r="D172" t="str">
        <f t="shared" si="14"/>
        <v>Stock</v>
      </c>
      <c r="E172" s="26" t="str">
        <f t="shared" si="15"/>
        <v>3016</v>
      </c>
      <c r="F172" s="3" t="s">
        <v>1032</v>
      </c>
      <c r="G172" s="2" t="s">
        <v>2035</v>
      </c>
      <c r="H172" s="2">
        <v>60.7</v>
      </c>
      <c r="J172" s="2">
        <f t="shared" si="16"/>
        <v>60.7</v>
      </c>
      <c r="K172" s="35" t="str">
        <f t="shared" ca="1" si="17"/>
        <v>INSERT INTO ETFValue (DataDate, TimeCategory, ProductType, ProductLink, ProductCode, ProductName, NAV, Price, RecTime) VALUES ('2021/5/14','1', 'Stock', '3016','3016','嘉晶','60.7','60.7','15:15:01');</v>
      </c>
    </row>
    <row r="173" spans="1:11">
      <c r="A173" s="21" t="str">
        <f t="shared" ca="1" si="12"/>
        <v>2021/5/14</v>
      </c>
      <c r="B173" s="22" t="str">
        <f t="shared" ca="1" si="13"/>
        <v>15:15:01</v>
      </c>
      <c r="C173" s="23">
        <v>1</v>
      </c>
      <c r="D173" t="str">
        <f t="shared" si="14"/>
        <v>Stock</v>
      </c>
      <c r="E173" s="26" t="str">
        <f t="shared" si="15"/>
        <v>3019</v>
      </c>
      <c r="F173" s="3" t="s">
        <v>1033</v>
      </c>
      <c r="G173" s="2" t="s">
        <v>2036</v>
      </c>
      <c r="H173" s="2">
        <v>73.5</v>
      </c>
      <c r="J173" s="2">
        <f t="shared" si="16"/>
        <v>73.5</v>
      </c>
      <c r="K173" s="35" t="str">
        <f t="shared" ca="1" si="17"/>
        <v>INSERT INTO ETFValue (DataDate, TimeCategory, ProductType, ProductLink, ProductCode, ProductName, NAV, Price, RecTime) VALUES ('2021/5/14','1', 'Stock', '3019','3019','亞光','73.5','73.5','15:15:01');</v>
      </c>
    </row>
    <row r="174" spans="1:11">
      <c r="A174" s="21" t="str">
        <f t="shared" ca="1" si="12"/>
        <v>2021/5/14</v>
      </c>
      <c r="B174" s="22" t="str">
        <f t="shared" ca="1" si="13"/>
        <v>15:15:01</v>
      </c>
      <c r="C174" s="23">
        <v>1</v>
      </c>
      <c r="D174" t="str">
        <f t="shared" si="14"/>
        <v>Stock</v>
      </c>
      <c r="E174" s="26" t="str">
        <f t="shared" si="15"/>
        <v>3023</v>
      </c>
      <c r="F174" s="3" t="s">
        <v>774</v>
      </c>
      <c r="G174" s="2" t="s">
        <v>2037</v>
      </c>
      <c r="H174" s="2">
        <v>241.5</v>
      </c>
      <c r="J174" s="2">
        <f t="shared" si="16"/>
        <v>241.5</v>
      </c>
      <c r="K174" s="35" t="str">
        <f t="shared" ca="1" si="17"/>
        <v>INSERT INTO ETFValue (DataDate, TimeCategory, ProductType, ProductLink, ProductCode, ProductName, NAV, Price, RecTime) VALUES ('2021/5/14','1', 'Stock', '3023','3023','信邦','241.5','241.5','15:15:01');</v>
      </c>
    </row>
    <row r="175" spans="1:11">
      <c r="A175" s="21" t="str">
        <f t="shared" ca="1" si="12"/>
        <v>2021/5/14</v>
      </c>
      <c r="B175" s="22" t="str">
        <f t="shared" ca="1" si="13"/>
        <v>15:15:01</v>
      </c>
      <c r="C175" s="23">
        <v>1</v>
      </c>
      <c r="D175" t="str">
        <f t="shared" si="14"/>
        <v>Stock</v>
      </c>
      <c r="E175" s="26" t="str">
        <f t="shared" si="15"/>
        <v>3026</v>
      </c>
      <c r="F175" s="3" t="s">
        <v>1034</v>
      </c>
      <c r="G175" s="2" t="s">
        <v>2038</v>
      </c>
      <c r="H175" s="2">
        <v>121.5</v>
      </c>
      <c r="J175" s="2">
        <f t="shared" si="16"/>
        <v>121.5</v>
      </c>
      <c r="K175" s="35" t="str">
        <f t="shared" ca="1" si="17"/>
        <v>INSERT INTO ETFValue (DataDate, TimeCategory, ProductType, ProductLink, ProductCode, ProductName, NAV, Price, RecTime) VALUES ('2021/5/14','1', 'Stock', '3026','3026','禾伸堂','121.5','121.5','15:15:01');</v>
      </c>
    </row>
    <row r="176" spans="1:11">
      <c r="A176" s="21" t="str">
        <f t="shared" ca="1" si="12"/>
        <v>2021/5/14</v>
      </c>
      <c r="B176" s="22" t="str">
        <f t="shared" ca="1" si="13"/>
        <v>15:15:01</v>
      </c>
      <c r="C176" s="23">
        <v>1</v>
      </c>
      <c r="D176" t="str">
        <f t="shared" si="14"/>
        <v>Stock</v>
      </c>
      <c r="E176" s="26" t="str">
        <f t="shared" si="15"/>
        <v>3033</v>
      </c>
      <c r="F176" s="3" t="s">
        <v>800</v>
      </c>
      <c r="G176" s="2" t="s">
        <v>2039</v>
      </c>
      <c r="H176" s="2">
        <v>21.35</v>
      </c>
      <c r="J176" s="2">
        <f t="shared" si="16"/>
        <v>21.35</v>
      </c>
      <c r="K176" s="35" t="str">
        <f t="shared" ca="1" si="17"/>
        <v>INSERT INTO ETFValue (DataDate, TimeCategory, ProductType, ProductLink, ProductCode, ProductName, NAV, Price, RecTime) VALUES ('2021/5/14','1', 'Stock', '3033','3033','威健','21.35','21.35','15:15:01');</v>
      </c>
    </row>
    <row r="177" spans="1:11">
      <c r="A177" s="21" t="str">
        <f t="shared" ca="1" si="12"/>
        <v>2021/5/14</v>
      </c>
      <c r="B177" s="22" t="str">
        <f t="shared" ca="1" si="13"/>
        <v>15:15:01</v>
      </c>
      <c r="C177" s="23">
        <v>1</v>
      </c>
      <c r="D177" t="str">
        <f t="shared" si="14"/>
        <v>Stock</v>
      </c>
      <c r="E177" s="26" t="str">
        <f t="shared" si="15"/>
        <v>3034</v>
      </c>
      <c r="F177" s="3" t="s">
        <v>318</v>
      </c>
      <c r="G177" s="2" t="s">
        <v>2040</v>
      </c>
      <c r="H177" s="2">
        <v>480</v>
      </c>
      <c r="J177" s="2">
        <f t="shared" si="16"/>
        <v>480</v>
      </c>
      <c r="K177" s="35" t="str">
        <f t="shared" ca="1" si="17"/>
        <v>INSERT INTO ETFValue (DataDate, TimeCategory, ProductType, ProductLink, ProductCode, ProductName, NAV, Price, RecTime) VALUES ('2021/5/14','1', 'Stock', '3034','3034','聯詠','480','480','15:15:01');</v>
      </c>
    </row>
    <row r="178" spans="1:11">
      <c r="A178" s="21" t="str">
        <f t="shared" ca="1" si="12"/>
        <v>2021/5/14</v>
      </c>
      <c r="B178" s="22" t="str">
        <f t="shared" ca="1" si="13"/>
        <v>15:15:01</v>
      </c>
      <c r="C178" s="23">
        <v>1</v>
      </c>
      <c r="D178" t="str">
        <f t="shared" si="14"/>
        <v>Stock</v>
      </c>
      <c r="E178" s="26" t="str">
        <f t="shared" si="15"/>
        <v>3035</v>
      </c>
      <c r="F178" s="3" t="s">
        <v>801</v>
      </c>
      <c r="G178" s="2" t="s">
        <v>2041</v>
      </c>
      <c r="H178" s="2">
        <v>57.6</v>
      </c>
      <c r="J178" s="2">
        <f t="shared" si="16"/>
        <v>57.6</v>
      </c>
      <c r="K178" s="35" t="str">
        <f t="shared" ca="1" si="17"/>
        <v>INSERT INTO ETFValue (DataDate, TimeCategory, ProductType, ProductLink, ProductCode, ProductName, NAV, Price, RecTime) VALUES ('2021/5/14','1', 'Stock', '3035','3035','智原','57.6','57.6','15:15:01');</v>
      </c>
    </row>
    <row r="179" spans="1:11">
      <c r="A179" s="21" t="str">
        <f t="shared" ca="1" si="12"/>
        <v>2021/5/14</v>
      </c>
      <c r="B179" s="22" t="str">
        <f t="shared" ca="1" si="13"/>
        <v>15:15:01</v>
      </c>
      <c r="C179" s="23">
        <v>1</v>
      </c>
      <c r="D179" t="str">
        <f t="shared" si="14"/>
        <v>Stock</v>
      </c>
      <c r="E179" s="26" t="str">
        <f t="shared" si="15"/>
        <v>3036</v>
      </c>
      <c r="F179" s="3" t="s">
        <v>775</v>
      </c>
      <c r="G179" s="2" t="s">
        <v>2042</v>
      </c>
      <c r="H179" s="2">
        <v>50.1</v>
      </c>
      <c r="J179" s="2">
        <f t="shared" si="16"/>
        <v>50.1</v>
      </c>
      <c r="K179" s="35" t="str">
        <f t="shared" ca="1" si="17"/>
        <v>INSERT INTO ETFValue (DataDate, TimeCategory, ProductType, ProductLink, ProductCode, ProductName, NAV, Price, RecTime) VALUES ('2021/5/14','1', 'Stock', '3036','3036','文曄','50.1','50.1','15:15:01');</v>
      </c>
    </row>
    <row r="180" spans="1:11">
      <c r="A180" s="21" t="str">
        <f t="shared" ca="1" si="12"/>
        <v>2021/5/14</v>
      </c>
      <c r="B180" s="22" t="str">
        <f t="shared" ca="1" si="13"/>
        <v>15:15:01</v>
      </c>
      <c r="C180" s="23">
        <v>1</v>
      </c>
      <c r="D180" t="str">
        <f t="shared" si="14"/>
        <v>Stock</v>
      </c>
      <c r="E180" s="26" t="str">
        <f t="shared" si="15"/>
        <v>3037</v>
      </c>
      <c r="F180" s="3" t="s">
        <v>319</v>
      </c>
      <c r="G180" s="2" t="s">
        <v>2043</v>
      </c>
      <c r="H180" s="2">
        <v>95</v>
      </c>
      <c r="J180" s="2">
        <f t="shared" si="16"/>
        <v>95</v>
      </c>
      <c r="K180" s="35" t="str">
        <f t="shared" ca="1" si="17"/>
        <v>INSERT INTO ETFValue (DataDate, TimeCategory, ProductType, ProductLink, ProductCode, ProductName, NAV, Price, RecTime) VALUES ('2021/5/14','1', 'Stock', '3037','3037','欣興','95','95','15:15:01');</v>
      </c>
    </row>
    <row r="181" spans="1:11">
      <c r="A181" s="21" t="str">
        <f t="shared" ca="1" si="12"/>
        <v>2021/5/14</v>
      </c>
      <c r="B181" s="22" t="str">
        <f t="shared" ca="1" si="13"/>
        <v>15:15:01</v>
      </c>
      <c r="C181" s="23">
        <v>1</v>
      </c>
      <c r="D181" t="str">
        <f t="shared" si="14"/>
        <v>Stock</v>
      </c>
      <c r="E181" s="26" t="str">
        <f t="shared" si="15"/>
        <v>3044</v>
      </c>
      <c r="F181" s="3" t="s">
        <v>320</v>
      </c>
      <c r="G181" s="2" t="s">
        <v>2044</v>
      </c>
      <c r="H181" s="2">
        <v>125</v>
      </c>
      <c r="J181" s="2">
        <f t="shared" si="16"/>
        <v>125</v>
      </c>
      <c r="K181" s="35" t="str">
        <f t="shared" ca="1" si="17"/>
        <v>INSERT INTO ETFValue (DataDate, TimeCategory, ProductType, ProductLink, ProductCode, ProductName, NAV, Price, RecTime) VALUES ('2021/5/14','1', 'Stock', '3044','3044','健鼎','125','125','15:15:01');</v>
      </c>
    </row>
    <row r="182" spans="1:11">
      <c r="A182" s="21" t="str">
        <f t="shared" ca="1" si="12"/>
        <v>2021/5/14</v>
      </c>
      <c r="B182" s="22" t="str">
        <f t="shared" ca="1" si="13"/>
        <v>15:15:01</v>
      </c>
      <c r="C182" s="23">
        <v>1</v>
      </c>
      <c r="D182" t="str">
        <f t="shared" si="14"/>
        <v>Stock</v>
      </c>
      <c r="E182" s="26" t="str">
        <f t="shared" si="15"/>
        <v>3045</v>
      </c>
      <c r="F182" s="3" t="s">
        <v>321</v>
      </c>
      <c r="G182" s="2" t="s">
        <v>2045</v>
      </c>
      <c r="H182" s="2">
        <v>99.7</v>
      </c>
      <c r="J182" s="2">
        <f t="shared" si="16"/>
        <v>99.7</v>
      </c>
      <c r="K182" s="35" t="str">
        <f t="shared" ca="1" si="17"/>
        <v>INSERT INTO ETFValue (DataDate, TimeCategory, ProductType, ProductLink, ProductCode, ProductName, NAV, Price, RecTime) VALUES ('2021/5/14','1', 'Stock', '3045','3045','台灣大','99.7','99.7','15:15:01');</v>
      </c>
    </row>
    <row r="183" spans="1:11">
      <c r="A183" s="21" t="str">
        <f t="shared" ca="1" si="12"/>
        <v>2021/5/14</v>
      </c>
      <c r="B183" s="22" t="str">
        <f t="shared" ca="1" si="13"/>
        <v>15:15:01</v>
      </c>
      <c r="C183" s="23">
        <v>1</v>
      </c>
      <c r="D183" t="str">
        <f t="shared" si="14"/>
        <v>Stock</v>
      </c>
      <c r="E183" s="26" t="str">
        <f t="shared" si="15"/>
        <v>3078</v>
      </c>
      <c r="F183" s="3" t="s">
        <v>845</v>
      </c>
      <c r="G183" s="2" t="s">
        <v>2046</v>
      </c>
      <c r="H183" s="2">
        <v>47.85</v>
      </c>
      <c r="J183" s="2">
        <f t="shared" si="16"/>
        <v>47.85</v>
      </c>
      <c r="K183" s="35" t="str">
        <f t="shared" ca="1" si="17"/>
        <v>INSERT INTO ETFValue (DataDate, TimeCategory, ProductType, ProductLink, ProductCode, ProductName, NAV, Price, RecTime) VALUES ('2021/5/14','1', 'Stock', '3078','3078','僑威','47.85','47.85','15:15:01');</v>
      </c>
    </row>
    <row r="184" spans="1:11">
      <c r="A184" s="21" t="str">
        <f t="shared" ca="1" si="12"/>
        <v>2021/5/14</v>
      </c>
      <c r="B184" s="22" t="str">
        <f t="shared" ca="1" si="13"/>
        <v>15:15:01</v>
      </c>
      <c r="C184" s="23">
        <v>1</v>
      </c>
      <c r="D184" t="str">
        <f t="shared" si="14"/>
        <v>Stock</v>
      </c>
      <c r="E184" s="26" t="str">
        <f t="shared" si="15"/>
        <v>3081</v>
      </c>
      <c r="F184" s="3" t="s">
        <v>846</v>
      </c>
      <c r="G184" s="2" t="s">
        <v>2047</v>
      </c>
      <c r="H184" s="2">
        <v>225</v>
      </c>
      <c r="J184" s="2">
        <f t="shared" si="16"/>
        <v>225</v>
      </c>
      <c r="K184" s="35" t="str">
        <f t="shared" ca="1" si="17"/>
        <v>INSERT INTO ETFValue (DataDate, TimeCategory, ProductType, ProductLink, ProductCode, ProductName, NAV, Price, RecTime) VALUES ('2021/5/14','1', 'Stock', '3081','3081','聯亞','225','225','15:15:01');</v>
      </c>
    </row>
    <row r="185" spans="1:11">
      <c r="A185" s="21" t="str">
        <f t="shared" ca="1" si="12"/>
        <v>2021/5/14</v>
      </c>
      <c r="B185" s="22" t="str">
        <f t="shared" ca="1" si="13"/>
        <v>15:15:01</v>
      </c>
      <c r="C185" s="23">
        <v>1</v>
      </c>
      <c r="D185" t="str">
        <f t="shared" si="14"/>
        <v>Stock</v>
      </c>
      <c r="E185" s="26" t="str">
        <f t="shared" si="15"/>
        <v>3083</v>
      </c>
      <c r="F185" s="3" t="s">
        <v>847</v>
      </c>
      <c r="G185" s="2" t="s">
        <v>2048</v>
      </c>
      <c r="H185" s="2">
        <v>48.85</v>
      </c>
      <c r="J185" s="2">
        <f t="shared" si="16"/>
        <v>48.85</v>
      </c>
      <c r="K185" s="35" t="str">
        <f t="shared" ca="1" si="17"/>
        <v>INSERT INTO ETFValue (DataDate, TimeCategory, ProductType, ProductLink, ProductCode, ProductName, NAV, Price, RecTime) VALUES ('2021/5/14','1', 'Stock', '3083','3083','網龍','48.85','48.85','15:15:01');</v>
      </c>
    </row>
    <row r="186" spans="1:11">
      <c r="A186" s="21" t="str">
        <f t="shared" ca="1" si="12"/>
        <v>2021/5/14</v>
      </c>
      <c r="B186" s="22" t="str">
        <f t="shared" ca="1" si="13"/>
        <v>15:15:01</v>
      </c>
      <c r="C186" s="23">
        <v>1</v>
      </c>
      <c r="D186" t="str">
        <f t="shared" si="14"/>
        <v>Stock</v>
      </c>
      <c r="E186" s="26" t="str">
        <f t="shared" si="15"/>
        <v>3088</v>
      </c>
      <c r="F186" s="3" t="s">
        <v>848</v>
      </c>
      <c r="G186" s="2" t="s">
        <v>2049</v>
      </c>
      <c r="H186" s="2">
        <v>54</v>
      </c>
      <c r="J186" s="2">
        <f t="shared" si="16"/>
        <v>54</v>
      </c>
      <c r="K186" s="35" t="str">
        <f t="shared" ca="1" si="17"/>
        <v>INSERT INTO ETFValue (DataDate, TimeCategory, ProductType, ProductLink, ProductCode, ProductName, NAV, Price, RecTime) VALUES ('2021/5/14','1', 'Stock', '3088','3088','艾訊','54','54','15:15:01');</v>
      </c>
    </row>
    <row r="187" spans="1:11">
      <c r="A187" s="21" t="str">
        <f t="shared" ca="1" si="12"/>
        <v>2021/5/14</v>
      </c>
      <c r="B187" s="22" t="str">
        <f t="shared" ca="1" si="13"/>
        <v>15:15:01</v>
      </c>
      <c r="C187" s="23">
        <v>1</v>
      </c>
      <c r="D187" t="str">
        <f t="shared" si="14"/>
        <v>Stock</v>
      </c>
      <c r="E187" s="26" t="str">
        <f t="shared" si="15"/>
        <v>3092</v>
      </c>
      <c r="F187" s="3" t="s">
        <v>849</v>
      </c>
      <c r="G187" s="2" t="s">
        <v>2050</v>
      </c>
      <c r="H187" s="2">
        <v>60</v>
      </c>
      <c r="J187" s="2">
        <f t="shared" si="16"/>
        <v>60</v>
      </c>
      <c r="K187" s="35" t="str">
        <f t="shared" ca="1" si="17"/>
        <v>INSERT INTO ETFValue (DataDate, TimeCategory, ProductType, ProductLink, ProductCode, ProductName, NAV, Price, RecTime) VALUES ('2021/5/14','1', 'Stock', '3092','3092','鴻碩','60','60','15:15:01');</v>
      </c>
    </row>
    <row r="188" spans="1:11">
      <c r="A188" s="21" t="str">
        <f t="shared" ca="1" si="12"/>
        <v>2021/5/14</v>
      </c>
      <c r="B188" s="22" t="str">
        <f t="shared" ca="1" si="13"/>
        <v>15:15:01</v>
      </c>
      <c r="C188" s="23">
        <v>1</v>
      </c>
      <c r="D188" t="str">
        <f t="shared" si="14"/>
        <v>Stock</v>
      </c>
      <c r="E188" s="26" t="str">
        <f t="shared" si="15"/>
        <v>3105</v>
      </c>
      <c r="F188" s="3" t="s">
        <v>429</v>
      </c>
      <c r="G188" s="2" t="s">
        <v>2051</v>
      </c>
      <c r="H188" s="2">
        <v>302.5</v>
      </c>
      <c r="J188" s="2">
        <f t="shared" si="16"/>
        <v>302.5</v>
      </c>
      <c r="K188" s="35" t="str">
        <f t="shared" ca="1" si="17"/>
        <v>INSERT INTO ETFValue (DataDate, TimeCategory, ProductType, ProductLink, ProductCode, ProductName, NAV, Price, RecTime) VALUES ('2021/5/14','1', 'Stock', '3105','3105','穩懋','302.5','302.5','15:15:01');</v>
      </c>
    </row>
    <row r="189" spans="1:11">
      <c r="A189" s="21" t="str">
        <f t="shared" ca="1" si="12"/>
        <v>2021/5/14</v>
      </c>
      <c r="B189" s="22" t="str">
        <f t="shared" ca="1" si="13"/>
        <v>15:15:01</v>
      </c>
      <c r="C189" s="23">
        <v>1</v>
      </c>
      <c r="D189" t="str">
        <f t="shared" si="14"/>
        <v>Stock</v>
      </c>
      <c r="E189" s="26" t="str">
        <f t="shared" si="15"/>
        <v>3131</v>
      </c>
      <c r="F189" s="3" t="s">
        <v>850</v>
      </c>
      <c r="G189" s="2" t="s">
        <v>2052</v>
      </c>
      <c r="H189" s="2">
        <v>289</v>
      </c>
      <c r="J189" s="2">
        <f t="shared" si="16"/>
        <v>289</v>
      </c>
      <c r="K189" s="35" t="str">
        <f t="shared" ca="1" si="17"/>
        <v>INSERT INTO ETFValue (DataDate, TimeCategory, ProductType, ProductLink, ProductCode, ProductName, NAV, Price, RecTime) VALUES ('2021/5/14','1', 'Stock', '3131','3131','弘塑','289','289','15:15:01');</v>
      </c>
    </row>
    <row r="190" spans="1:11">
      <c r="A190" s="21" t="str">
        <f t="shared" ca="1" si="12"/>
        <v>2021/5/14</v>
      </c>
      <c r="B190" s="22" t="str">
        <f t="shared" ca="1" si="13"/>
        <v>15:15:01</v>
      </c>
      <c r="C190" s="23">
        <v>1</v>
      </c>
      <c r="D190" t="str">
        <f t="shared" si="14"/>
        <v>Stock</v>
      </c>
      <c r="E190" s="26" t="str">
        <f t="shared" si="15"/>
        <v>3141</v>
      </c>
      <c r="F190" s="3" t="s">
        <v>851</v>
      </c>
      <c r="G190" s="2" t="s">
        <v>2053</v>
      </c>
      <c r="H190" s="2">
        <v>53.7</v>
      </c>
      <c r="J190" s="2">
        <f t="shared" si="16"/>
        <v>53.7</v>
      </c>
      <c r="K190" s="35" t="str">
        <f t="shared" ca="1" si="17"/>
        <v>INSERT INTO ETFValue (DataDate, TimeCategory, ProductType, ProductLink, ProductCode, ProductName, NAV, Price, RecTime) VALUES ('2021/5/14','1', 'Stock', '3141','3141','晶宏','53.7','53.7','15:15:01');</v>
      </c>
    </row>
    <row r="191" spans="1:11">
      <c r="A191" s="21" t="str">
        <f t="shared" ca="1" si="12"/>
        <v>2021/5/14</v>
      </c>
      <c r="B191" s="22" t="str">
        <f t="shared" ca="1" si="13"/>
        <v>15:15:01</v>
      </c>
      <c r="C191" s="23">
        <v>1</v>
      </c>
      <c r="D191" t="str">
        <f t="shared" si="14"/>
        <v>Stock</v>
      </c>
      <c r="E191" s="26" t="str">
        <f t="shared" si="15"/>
        <v>3144</v>
      </c>
      <c r="F191" s="3" t="s">
        <v>852</v>
      </c>
      <c r="G191" s="2" t="s">
        <v>2054</v>
      </c>
      <c r="H191" s="2">
        <v>36</v>
      </c>
      <c r="J191" s="2">
        <f t="shared" si="16"/>
        <v>36</v>
      </c>
      <c r="K191" s="35" t="str">
        <f t="shared" ca="1" si="17"/>
        <v>INSERT INTO ETFValue (DataDate, TimeCategory, ProductType, ProductLink, ProductCode, ProductName, NAV, Price, RecTime) VALUES ('2021/5/14','1', 'Stock', '3144','3144','新揚科','36','36','15:15:01');</v>
      </c>
    </row>
    <row r="192" spans="1:11">
      <c r="A192" s="21" t="str">
        <f t="shared" ca="1" si="12"/>
        <v>2021/5/14</v>
      </c>
      <c r="B192" s="22" t="str">
        <f t="shared" ca="1" si="13"/>
        <v>15:15:01</v>
      </c>
      <c r="C192" s="23">
        <v>1</v>
      </c>
      <c r="D192" t="str">
        <f t="shared" si="14"/>
        <v>Stock</v>
      </c>
      <c r="E192" s="26" t="str">
        <f t="shared" si="15"/>
        <v>3152</v>
      </c>
      <c r="F192" s="3" t="s">
        <v>853</v>
      </c>
      <c r="G192" s="2" t="s">
        <v>2055</v>
      </c>
      <c r="H192" s="2">
        <v>441.5</v>
      </c>
      <c r="J192" s="2">
        <f t="shared" si="16"/>
        <v>441.5</v>
      </c>
      <c r="K192" s="35" t="str">
        <f t="shared" ca="1" si="17"/>
        <v>INSERT INTO ETFValue (DataDate, TimeCategory, ProductType, ProductLink, ProductCode, ProductName, NAV, Price, RecTime) VALUES ('2021/5/14','1', 'Stock', '3152','3152','璟德','441.5','441.5','15:15:01');</v>
      </c>
    </row>
    <row r="193" spans="1:11">
      <c r="A193" s="21" t="str">
        <f t="shared" ca="1" si="12"/>
        <v>2021/5/14</v>
      </c>
      <c r="B193" s="22" t="str">
        <f t="shared" ca="1" si="13"/>
        <v>15:15:01</v>
      </c>
      <c r="C193" s="23">
        <v>1</v>
      </c>
      <c r="D193" t="str">
        <f t="shared" si="14"/>
        <v>Stock</v>
      </c>
      <c r="E193" s="26" t="str">
        <f t="shared" si="15"/>
        <v>3163</v>
      </c>
      <c r="F193" s="3" t="s">
        <v>854</v>
      </c>
      <c r="G193" s="2" t="s">
        <v>2056</v>
      </c>
      <c r="H193" s="2">
        <v>41.05</v>
      </c>
      <c r="J193" s="2">
        <f t="shared" si="16"/>
        <v>41.05</v>
      </c>
      <c r="K193" s="35" t="str">
        <f t="shared" ca="1" si="17"/>
        <v>INSERT INTO ETFValue (DataDate, TimeCategory, ProductType, ProductLink, ProductCode, ProductName, NAV, Price, RecTime) VALUES ('2021/5/14','1', 'Stock', '3163','3163','波若威','41.05','41.05','15:15:01');</v>
      </c>
    </row>
    <row r="194" spans="1:11">
      <c r="A194" s="21" t="str">
        <f t="shared" ca="1" si="12"/>
        <v>2021/5/14</v>
      </c>
      <c r="B194" s="22" t="str">
        <f t="shared" ca="1" si="13"/>
        <v>15:15:01</v>
      </c>
      <c r="C194" s="23">
        <v>1</v>
      </c>
      <c r="D194" t="str">
        <f t="shared" si="14"/>
        <v>Stock</v>
      </c>
      <c r="E194" s="26" t="str">
        <f t="shared" si="15"/>
        <v>3167</v>
      </c>
      <c r="F194" s="3" t="s">
        <v>776</v>
      </c>
      <c r="G194" s="2" t="s">
        <v>2057</v>
      </c>
      <c r="H194" s="2">
        <v>61.2</v>
      </c>
      <c r="J194" s="2">
        <f t="shared" si="16"/>
        <v>61.2</v>
      </c>
      <c r="K194" s="35" t="str">
        <f t="shared" ca="1" si="17"/>
        <v>INSERT INTO ETFValue (DataDate, TimeCategory, ProductType, ProductLink, ProductCode, ProductName, NAV, Price, RecTime) VALUES ('2021/5/14','1', 'Stock', '3167','3167','大量','61.2','61.2','15:15:01');</v>
      </c>
    </row>
    <row r="195" spans="1:11">
      <c r="A195" s="21" t="str">
        <f t="shared" ca="1" si="12"/>
        <v>2021/5/14</v>
      </c>
      <c r="B195" s="22" t="str">
        <f t="shared" ca="1" si="13"/>
        <v>15:15:01</v>
      </c>
      <c r="C195" s="23">
        <v>1</v>
      </c>
      <c r="D195" t="str">
        <f t="shared" si="14"/>
        <v>Stock</v>
      </c>
      <c r="E195" s="26" t="str">
        <f t="shared" si="15"/>
        <v>3176</v>
      </c>
      <c r="F195" s="3" t="s">
        <v>855</v>
      </c>
      <c r="G195" s="2" t="s">
        <v>2058</v>
      </c>
      <c r="H195" s="2">
        <v>64.7</v>
      </c>
      <c r="J195" s="2">
        <f t="shared" si="16"/>
        <v>64.7</v>
      </c>
      <c r="K195" s="35" t="str">
        <f t="shared" ca="1" si="17"/>
        <v>INSERT INTO ETFValue (DataDate, TimeCategory, ProductType, ProductLink, ProductCode, ProductName, NAV, Price, RecTime) VALUES ('2021/5/14','1', 'Stock', '3176','3176','基亞','64.7','64.7','15:15:01');</v>
      </c>
    </row>
    <row r="196" spans="1:11">
      <c r="A196" s="21" t="str">
        <f t="shared" ca="1" si="12"/>
        <v>2021/5/14</v>
      </c>
      <c r="B196" s="22" t="str">
        <f t="shared" ca="1" si="13"/>
        <v>15:15:01</v>
      </c>
      <c r="C196" s="23">
        <v>1</v>
      </c>
      <c r="D196" t="str">
        <f t="shared" si="14"/>
        <v>Stock</v>
      </c>
      <c r="E196" s="26" t="str">
        <f t="shared" si="15"/>
        <v>3189</v>
      </c>
      <c r="F196" s="3" t="s">
        <v>823</v>
      </c>
      <c r="G196" s="2" t="s">
        <v>2059</v>
      </c>
      <c r="H196" s="2">
        <v>89.2</v>
      </c>
      <c r="J196" s="2">
        <f t="shared" si="16"/>
        <v>89.2</v>
      </c>
      <c r="K196" s="35" t="str">
        <f t="shared" ca="1" si="17"/>
        <v>INSERT INTO ETFValue (DataDate, TimeCategory, ProductType, ProductLink, ProductCode, ProductName, NAV, Price, RecTime) VALUES ('2021/5/14','1', 'Stock', '3189','3189','景碩','89.2','89.2','15:15:01');</v>
      </c>
    </row>
    <row r="197" spans="1:11">
      <c r="A197" s="21" t="str">
        <f t="shared" ca="1" si="12"/>
        <v>2021/5/14</v>
      </c>
      <c r="B197" s="22" t="str">
        <f t="shared" ca="1" si="13"/>
        <v>15:15:01</v>
      </c>
      <c r="C197" s="23">
        <v>1</v>
      </c>
      <c r="D197" t="str">
        <f t="shared" si="14"/>
        <v>Stock</v>
      </c>
      <c r="E197" s="26" t="str">
        <f t="shared" si="15"/>
        <v>3211</v>
      </c>
      <c r="F197" s="3" t="s">
        <v>856</v>
      </c>
      <c r="G197" s="2" t="s">
        <v>2060</v>
      </c>
      <c r="H197" s="2">
        <v>106</v>
      </c>
      <c r="J197" s="2">
        <f t="shared" si="16"/>
        <v>106</v>
      </c>
      <c r="K197" s="35" t="str">
        <f t="shared" ca="1" si="17"/>
        <v>INSERT INTO ETFValue (DataDate, TimeCategory, ProductType, ProductLink, ProductCode, ProductName, NAV, Price, RecTime) VALUES ('2021/5/14','1', 'Stock', '3211','3211','順達','106','106','15:15:01');</v>
      </c>
    </row>
    <row r="198" spans="1:11">
      <c r="A198" s="21" t="str">
        <f t="shared" ca="1" si="12"/>
        <v>2021/5/14</v>
      </c>
      <c r="B198" s="22" t="str">
        <f t="shared" ca="1" si="13"/>
        <v>15:15:01</v>
      </c>
      <c r="C198" s="23">
        <v>1</v>
      </c>
      <c r="D198" t="str">
        <f t="shared" si="14"/>
        <v>Stock</v>
      </c>
      <c r="E198" s="26" t="str">
        <f t="shared" si="15"/>
        <v>3217</v>
      </c>
      <c r="F198" s="3" t="s">
        <v>857</v>
      </c>
      <c r="G198" s="2" t="s">
        <v>2061</v>
      </c>
      <c r="H198" s="2">
        <v>96</v>
      </c>
      <c r="J198" s="2">
        <f t="shared" si="16"/>
        <v>96</v>
      </c>
      <c r="K198" s="35" t="str">
        <f t="shared" ca="1" si="17"/>
        <v>INSERT INTO ETFValue (DataDate, TimeCategory, ProductType, ProductLink, ProductCode, ProductName, NAV, Price, RecTime) VALUES ('2021/5/14','1', 'Stock', '3217','3217','優群','96','96','15:15:01');</v>
      </c>
    </row>
    <row r="199" spans="1:11">
      <c r="A199" s="21" t="str">
        <f t="shared" ref="A199:A262" ca="1" si="18">TEXT($Q$1,"yyyy/m/dd")</f>
        <v>2021/5/14</v>
      </c>
      <c r="B199" s="22" t="str">
        <f t="shared" ref="B199:B262" ca="1" si="19">$Q$2</f>
        <v>15:15:01</v>
      </c>
      <c r="C199" s="23">
        <v>1</v>
      </c>
      <c r="D199" t="str">
        <f t="shared" ref="D199:D262" si="20">IF(LEFT(G199,2)="00","ETF","Stock")</f>
        <v>Stock</v>
      </c>
      <c r="E199" s="26" t="str">
        <f t="shared" ref="E199:E262" si="21">F199</f>
        <v>3218</v>
      </c>
      <c r="F199" s="3" t="s">
        <v>1048</v>
      </c>
      <c r="G199" s="2" t="s">
        <v>2062</v>
      </c>
      <c r="H199" s="2">
        <v>311.5</v>
      </c>
      <c r="J199" s="2">
        <f t="shared" ref="J199:J262" si="22">IF($H199&lt;&gt;"",$H199,$I199)</f>
        <v>311.5</v>
      </c>
      <c r="K199" s="35" t="str">
        <f t="shared" ref="K199:K262" ca="1" si="23">"INSERT INTO ETFValue (DataDate, TimeCategory, ProductType, ProductLink, ProductCode, ProductName, NAV, Price, RecTime) VALUES ("&amp;"'"&amp;TEXT(A199,"yyyy/m/dd")&amp;"','"&amp; C199&amp;"', '"&amp;D199&amp;"', '"&amp;E199&amp;"','"&amp;F199&amp;"','"&amp;G199&amp;"','"&amp;ROUND(J199,4)&amp;"','"&amp;J199&amp;"','"&amp;TEXT($Q$2,"hh:mm:ss")&amp;"');"</f>
        <v>INSERT INTO ETFValue (DataDate, TimeCategory, ProductType, ProductLink, ProductCode, ProductName, NAV, Price, RecTime) VALUES ('2021/5/14','1', 'Stock', '3218','3218','大學光','311.5','311.5','15:15:01');</v>
      </c>
    </row>
    <row r="200" spans="1:11">
      <c r="A200" s="21" t="str">
        <f t="shared" ca="1" si="18"/>
        <v>2021/5/14</v>
      </c>
      <c r="B200" s="22" t="str">
        <f t="shared" ca="1" si="19"/>
        <v>15:15:01</v>
      </c>
      <c r="C200" s="23">
        <v>1</v>
      </c>
      <c r="D200" t="str">
        <f t="shared" si="20"/>
        <v>Stock</v>
      </c>
      <c r="E200" s="26" t="str">
        <f t="shared" si="21"/>
        <v>3224</v>
      </c>
      <c r="F200" s="3" t="s">
        <v>858</v>
      </c>
      <c r="G200" s="2" t="s">
        <v>2063</v>
      </c>
      <c r="H200" s="2">
        <v>43.8</v>
      </c>
      <c r="J200" s="2">
        <f t="shared" si="22"/>
        <v>43.8</v>
      </c>
      <c r="K200" s="35" t="str">
        <f t="shared" ca="1" si="23"/>
        <v>INSERT INTO ETFValue (DataDate, TimeCategory, ProductType, ProductLink, ProductCode, ProductName, NAV, Price, RecTime) VALUES ('2021/5/14','1', 'Stock', '3224','3224','三顧','43.8','43.8','15:15:01');</v>
      </c>
    </row>
    <row r="201" spans="1:11">
      <c r="A201" s="21" t="str">
        <f t="shared" ca="1" si="18"/>
        <v>2021/5/14</v>
      </c>
      <c r="B201" s="22" t="str">
        <f t="shared" ca="1" si="19"/>
        <v>15:15:01</v>
      </c>
      <c r="C201" s="23">
        <v>1</v>
      </c>
      <c r="D201" t="str">
        <f t="shared" si="20"/>
        <v>Stock</v>
      </c>
      <c r="E201" s="26" t="str">
        <f t="shared" si="21"/>
        <v>3227</v>
      </c>
      <c r="F201" s="3" t="s">
        <v>859</v>
      </c>
      <c r="G201" s="2" t="s">
        <v>2064</v>
      </c>
      <c r="H201" s="2">
        <v>173</v>
      </c>
      <c r="J201" s="2">
        <f t="shared" si="22"/>
        <v>173</v>
      </c>
      <c r="K201" s="35" t="str">
        <f t="shared" ca="1" si="23"/>
        <v>INSERT INTO ETFValue (DataDate, TimeCategory, ProductType, ProductLink, ProductCode, ProductName, NAV, Price, RecTime) VALUES ('2021/5/14','1', 'Stock', '3227','3227','原相','173','173','15:15:01');</v>
      </c>
    </row>
    <row r="202" spans="1:11">
      <c r="A202" s="21" t="str">
        <f t="shared" ca="1" si="18"/>
        <v>2021/5/14</v>
      </c>
      <c r="B202" s="22" t="str">
        <f t="shared" ca="1" si="19"/>
        <v>15:15:01</v>
      </c>
      <c r="C202" s="23">
        <v>1</v>
      </c>
      <c r="D202" t="str">
        <f t="shared" si="20"/>
        <v>Stock</v>
      </c>
      <c r="E202" s="26" t="str">
        <f t="shared" si="21"/>
        <v>3231</v>
      </c>
      <c r="F202" s="3" t="s">
        <v>322</v>
      </c>
      <c r="G202" s="2" t="s">
        <v>2065</v>
      </c>
      <c r="H202" s="2">
        <v>29.55</v>
      </c>
      <c r="J202" s="2">
        <f t="shared" si="22"/>
        <v>29.55</v>
      </c>
      <c r="K202" s="35" t="str">
        <f t="shared" ca="1" si="23"/>
        <v>INSERT INTO ETFValue (DataDate, TimeCategory, ProductType, ProductLink, ProductCode, ProductName, NAV, Price, RecTime) VALUES ('2021/5/14','1', 'Stock', '3231','3231','緯創','29.55','29.55','15:15:01');</v>
      </c>
    </row>
    <row r="203" spans="1:11">
      <c r="A203" s="21" t="str">
        <f t="shared" ca="1" si="18"/>
        <v>2021/5/14</v>
      </c>
      <c r="B203" s="22" t="str">
        <f t="shared" ca="1" si="19"/>
        <v>15:15:01</v>
      </c>
      <c r="C203" s="23">
        <v>1</v>
      </c>
      <c r="D203" t="str">
        <f t="shared" si="20"/>
        <v>Stock</v>
      </c>
      <c r="E203" s="26" t="str">
        <f t="shared" si="21"/>
        <v>3234</v>
      </c>
      <c r="F203" s="3" t="s">
        <v>860</v>
      </c>
      <c r="G203" s="2" t="s">
        <v>2066</v>
      </c>
      <c r="H203" s="2">
        <v>27.75</v>
      </c>
      <c r="J203" s="2">
        <f t="shared" si="22"/>
        <v>27.75</v>
      </c>
      <c r="K203" s="35" t="str">
        <f t="shared" ca="1" si="23"/>
        <v>INSERT INTO ETFValue (DataDate, TimeCategory, ProductType, ProductLink, ProductCode, ProductName, NAV, Price, RecTime) VALUES ('2021/5/14','1', 'Stock', '3234','3234','光環','27.75','27.75','15:15:01');</v>
      </c>
    </row>
    <row r="204" spans="1:11">
      <c r="A204" s="21" t="str">
        <f t="shared" ca="1" si="18"/>
        <v>2021/5/14</v>
      </c>
      <c r="B204" s="22" t="str">
        <f t="shared" ca="1" si="19"/>
        <v>15:15:01</v>
      </c>
      <c r="C204" s="23">
        <v>1</v>
      </c>
      <c r="D204" t="str">
        <f t="shared" si="20"/>
        <v>Stock</v>
      </c>
      <c r="E204" s="26" t="str">
        <f t="shared" si="21"/>
        <v>3260</v>
      </c>
      <c r="F204" s="3" t="s">
        <v>861</v>
      </c>
      <c r="G204" s="2" t="s">
        <v>2067</v>
      </c>
      <c r="H204" s="2">
        <v>86</v>
      </c>
      <c r="J204" s="2">
        <f t="shared" si="22"/>
        <v>86</v>
      </c>
      <c r="K204" s="35" t="str">
        <f t="shared" ca="1" si="23"/>
        <v>INSERT INTO ETFValue (DataDate, TimeCategory, ProductType, ProductLink, ProductCode, ProductName, NAV, Price, RecTime) VALUES ('2021/5/14','1', 'Stock', '3260','3260','威剛','86','86','15:15:01');</v>
      </c>
    </row>
    <row r="205" spans="1:11">
      <c r="A205" s="21" t="str">
        <f t="shared" ca="1" si="18"/>
        <v>2021/5/14</v>
      </c>
      <c r="B205" s="22" t="str">
        <f t="shared" ca="1" si="19"/>
        <v>15:15:01</v>
      </c>
      <c r="C205" s="23">
        <v>1</v>
      </c>
      <c r="D205" t="str">
        <f t="shared" si="20"/>
        <v>Stock</v>
      </c>
      <c r="E205" s="26" t="str">
        <f t="shared" si="21"/>
        <v>3264</v>
      </c>
      <c r="F205" s="3" t="s">
        <v>862</v>
      </c>
      <c r="G205" s="2" t="s">
        <v>2068</v>
      </c>
      <c r="H205" s="2">
        <v>38.549999999999997</v>
      </c>
      <c r="J205" s="2">
        <f t="shared" si="22"/>
        <v>38.549999999999997</v>
      </c>
      <c r="K205" s="35" t="str">
        <f t="shared" ca="1" si="23"/>
        <v>INSERT INTO ETFValue (DataDate, TimeCategory, ProductType, ProductLink, ProductCode, ProductName, NAV, Price, RecTime) VALUES ('2021/5/14','1', 'Stock', '3264','3264','欣銓','38.55','38.55','15:15:01');</v>
      </c>
    </row>
    <row r="206" spans="1:11">
      <c r="A206" s="21" t="str">
        <f t="shared" ca="1" si="18"/>
        <v>2021/5/14</v>
      </c>
      <c r="B206" s="22" t="str">
        <f t="shared" ca="1" si="19"/>
        <v>15:15:01</v>
      </c>
      <c r="C206" s="23">
        <v>1</v>
      </c>
      <c r="D206" t="str">
        <f t="shared" si="20"/>
        <v>Stock</v>
      </c>
      <c r="E206" s="26" t="str">
        <f t="shared" si="21"/>
        <v>3265</v>
      </c>
      <c r="F206" s="3" t="s">
        <v>863</v>
      </c>
      <c r="G206" s="2" t="s">
        <v>2069</v>
      </c>
      <c r="H206" s="2">
        <v>26.15</v>
      </c>
      <c r="J206" s="2">
        <f t="shared" si="22"/>
        <v>26.15</v>
      </c>
      <c r="K206" s="35" t="str">
        <f t="shared" ca="1" si="23"/>
        <v>INSERT INTO ETFValue (DataDate, TimeCategory, ProductType, ProductLink, ProductCode, ProductName, NAV, Price, RecTime) VALUES ('2021/5/14','1', 'Stock', '3265','3265','台星科','26.15','26.15','15:15:01');</v>
      </c>
    </row>
    <row r="207" spans="1:11">
      <c r="A207" s="21" t="str">
        <f t="shared" ca="1" si="18"/>
        <v>2021/5/14</v>
      </c>
      <c r="B207" s="22" t="str">
        <f t="shared" ca="1" si="19"/>
        <v>15:15:01</v>
      </c>
      <c r="C207" s="23">
        <v>1</v>
      </c>
      <c r="D207" t="str">
        <f t="shared" si="20"/>
        <v>Stock</v>
      </c>
      <c r="E207" s="26" t="str">
        <f t="shared" si="21"/>
        <v>3289</v>
      </c>
      <c r="F207" s="3" t="s">
        <v>864</v>
      </c>
      <c r="G207" s="2" t="s">
        <v>2070</v>
      </c>
      <c r="H207" s="2">
        <v>45.15</v>
      </c>
      <c r="J207" s="2">
        <f t="shared" si="22"/>
        <v>45.15</v>
      </c>
      <c r="K207" s="35" t="str">
        <f t="shared" ca="1" si="23"/>
        <v>INSERT INTO ETFValue (DataDate, TimeCategory, ProductType, ProductLink, ProductCode, ProductName, NAV, Price, RecTime) VALUES ('2021/5/14','1', 'Stock', '3289','3289','宜特','45.15','45.15','15:15:01');</v>
      </c>
    </row>
    <row r="208" spans="1:11">
      <c r="A208" s="21" t="str">
        <f t="shared" ca="1" si="18"/>
        <v>2021/5/14</v>
      </c>
      <c r="B208" s="22" t="str">
        <f t="shared" ca="1" si="19"/>
        <v>15:15:01</v>
      </c>
      <c r="C208" s="23">
        <v>1</v>
      </c>
      <c r="D208" t="str">
        <f t="shared" si="20"/>
        <v>Stock</v>
      </c>
      <c r="E208" s="26" t="str">
        <f t="shared" si="21"/>
        <v>3293</v>
      </c>
      <c r="F208" s="3" t="s">
        <v>865</v>
      </c>
      <c r="G208" s="2" t="s">
        <v>2071</v>
      </c>
      <c r="H208" s="2">
        <v>737</v>
      </c>
      <c r="J208" s="2">
        <f t="shared" si="22"/>
        <v>737</v>
      </c>
      <c r="K208" s="35" t="str">
        <f t="shared" ca="1" si="23"/>
        <v>INSERT INTO ETFValue (DataDate, TimeCategory, ProductType, ProductLink, ProductCode, ProductName, NAV, Price, RecTime) VALUES ('2021/5/14','1', 'Stock', '3293','3293','鈊象','737','737','15:15:01');</v>
      </c>
    </row>
    <row r="209" spans="1:11">
      <c r="A209" s="21" t="str">
        <f t="shared" ca="1" si="18"/>
        <v>2021/5/14</v>
      </c>
      <c r="B209" s="22" t="str">
        <f t="shared" ca="1" si="19"/>
        <v>15:15:01</v>
      </c>
      <c r="C209" s="23">
        <v>1</v>
      </c>
      <c r="D209" t="str">
        <f t="shared" si="20"/>
        <v>Stock</v>
      </c>
      <c r="E209" s="26" t="str">
        <f t="shared" si="21"/>
        <v>3303</v>
      </c>
      <c r="F209" s="3" t="s">
        <v>1049</v>
      </c>
      <c r="G209" s="2" t="s">
        <v>2072</v>
      </c>
      <c r="H209" s="2">
        <v>22.15</v>
      </c>
      <c r="J209" s="2">
        <f t="shared" si="22"/>
        <v>22.15</v>
      </c>
      <c r="K209" s="35" t="str">
        <f t="shared" ca="1" si="23"/>
        <v>INSERT INTO ETFValue (DataDate, TimeCategory, ProductType, ProductLink, ProductCode, ProductName, NAV, Price, RecTime) VALUES ('2021/5/14','1', 'Stock', '3303','3303','岱稜','22.15','22.15','15:15:01');</v>
      </c>
    </row>
    <row r="210" spans="1:11">
      <c r="A210" s="21" t="str">
        <f t="shared" ca="1" si="18"/>
        <v>2021/5/14</v>
      </c>
      <c r="B210" s="22" t="str">
        <f t="shared" ca="1" si="19"/>
        <v>15:15:01</v>
      </c>
      <c r="C210" s="23">
        <v>1</v>
      </c>
      <c r="D210" t="str">
        <f t="shared" si="20"/>
        <v>Stock</v>
      </c>
      <c r="E210" s="26" t="str">
        <f t="shared" si="21"/>
        <v>3323</v>
      </c>
      <c r="F210" s="3" t="s">
        <v>866</v>
      </c>
      <c r="G210" s="2" t="s">
        <v>2073</v>
      </c>
      <c r="H210" s="2">
        <v>41.65</v>
      </c>
      <c r="J210" s="2">
        <f t="shared" si="22"/>
        <v>41.65</v>
      </c>
      <c r="K210" s="35" t="str">
        <f t="shared" ca="1" si="23"/>
        <v>INSERT INTO ETFValue (DataDate, TimeCategory, ProductType, ProductLink, ProductCode, ProductName, NAV, Price, RecTime) VALUES ('2021/5/14','1', 'Stock', '3323','3323','加百裕','41.65','41.65','15:15:01');</v>
      </c>
    </row>
    <row r="211" spans="1:11">
      <c r="A211" s="21" t="str">
        <f t="shared" ca="1" si="18"/>
        <v>2021/5/14</v>
      </c>
      <c r="B211" s="22" t="str">
        <f t="shared" ca="1" si="19"/>
        <v>15:15:01</v>
      </c>
      <c r="C211" s="23">
        <v>1</v>
      </c>
      <c r="D211" t="str">
        <f t="shared" si="20"/>
        <v>Stock</v>
      </c>
      <c r="E211" s="26" t="str">
        <f t="shared" si="21"/>
        <v>3324</v>
      </c>
      <c r="F211" s="3" t="s">
        <v>867</v>
      </c>
      <c r="G211" s="2" t="s">
        <v>2074</v>
      </c>
      <c r="H211" s="2">
        <v>149.5</v>
      </c>
      <c r="J211" s="2">
        <f t="shared" si="22"/>
        <v>149.5</v>
      </c>
      <c r="K211" s="35" t="str">
        <f t="shared" ca="1" si="23"/>
        <v>INSERT INTO ETFValue (DataDate, TimeCategory, ProductType, ProductLink, ProductCode, ProductName, NAV, Price, RecTime) VALUES ('2021/5/14','1', 'Stock', '3324','3324','雙鴻','149.5','149.5','15:15:01');</v>
      </c>
    </row>
    <row r="212" spans="1:11">
      <c r="A212" s="21" t="str">
        <f t="shared" ca="1" si="18"/>
        <v>2021/5/14</v>
      </c>
      <c r="B212" s="22" t="str">
        <f t="shared" ca="1" si="19"/>
        <v>15:15:01</v>
      </c>
      <c r="C212" s="23">
        <v>1</v>
      </c>
      <c r="D212" t="str">
        <f t="shared" si="20"/>
        <v>Stock</v>
      </c>
      <c r="E212" s="26" t="str">
        <f t="shared" si="21"/>
        <v>3362</v>
      </c>
      <c r="F212" s="3" t="s">
        <v>868</v>
      </c>
      <c r="G212" s="2" t="s">
        <v>2075</v>
      </c>
      <c r="H212" s="2">
        <v>78.2</v>
      </c>
      <c r="J212" s="2">
        <f t="shared" si="22"/>
        <v>78.2</v>
      </c>
      <c r="K212" s="35" t="str">
        <f t="shared" ca="1" si="23"/>
        <v>INSERT INTO ETFValue (DataDate, TimeCategory, ProductType, ProductLink, ProductCode, ProductName, NAV, Price, RecTime) VALUES ('2021/5/14','1', 'Stock', '3362','3362','先進光','78.2','78.2','15:15:01');</v>
      </c>
    </row>
    <row r="213" spans="1:11">
      <c r="A213" s="21" t="str">
        <f t="shared" ca="1" si="18"/>
        <v>2021/5/14</v>
      </c>
      <c r="B213" s="22" t="str">
        <f t="shared" ca="1" si="19"/>
        <v>15:15:01</v>
      </c>
      <c r="C213" s="23">
        <v>1</v>
      </c>
      <c r="D213" t="str">
        <f t="shared" si="20"/>
        <v>Stock</v>
      </c>
      <c r="E213" s="26" t="str">
        <f t="shared" si="21"/>
        <v>3363</v>
      </c>
      <c r="F213" s="3" t="s">
        <v>869</v>
      </c>
      <c r="G213" s="2" t="s">
        <v>2076</v>
      </c>
      <c r="H213" s="2">
        <v>24.45</v>
      </c>
      <c r="J213" s="2">
        <f t="shared" si="22"/>
        <v>24.45</v>
      </c>
      <c r="K213" s="35" t="str">
        <f t="shared" ca="1" si="23"/>
        <v>INSERT INTO ETFValue (DataDate, TimeCategory, ProductType, ProductLink, ProductCode, ProductName, NAV, Price, RecTime) VALUES ('2021/5/14','1', 'Stock', '3363','3363','上詮','24.45','24.45','15:15:01');</v>
      </c>
    </row>
    <row r="214" spans="1:11">
      <c r="A214" s="21" t="str">
        <f t="shared" ca="1" si="18"/>
        <v>2021/5/14</v>
      </c>
      <c r="B214" s="22" t="str">
        <f t="shared" ca="1" si="19"/>
        <v>15:15:01</v>
      </c>
      <c r="C214" s="23">
        <v>1</v>
      </c>
      <c r="D214" t="str">
        <f t="shared" si="20"/>
        <v>Stock</v>
      </c>
      <c r="E214" s="26" t="str">
        <f t="shared" si="21"/>
        <v>3374</v>
      </c>
      <c r="F214" s="3" t="s">
        <v>870</v>
      </c>
      <c r="G214" s="2" t="s">
        <v>2077</v>
      </c>
      <c r="H214" s="2">
        <v>127</v>
      </c>
      <c r="J214" s="2">
        <f t="shared" si="22"/>
        <v>127</v>
      </c>
      <c r="K214" s="35" t="str">
        <f t="shared" ca="1" si="23"/>
        <v>INSERT INTO ETFValue (DataDate, TimeCategory, ProductType, ProductLink, ProductCode, ProductName, NAV, Price, RecTime) VALUES ('2021/5/14','1', 'Stock', '3374','3374','精材','127','127','15:15:01');</v>
      </c>
    </row>
    <row r="215" spans="1:11">
      <c r="A215" s="21" t="str">
        <f t="shared" ca="1" si="18"/>
        <v>2021/5/14</v>
      </c>
      <c r="B215" s="22" t="str">
        <f t="shared" ca="1" si="19"/>
        <v>15:15:01</v>
      </c>
      <c r="C215" s="23">
        <v>1</v>
      </c>
      <c r="D215" t="str">
        <f t="shared" si="20"/>
        <v>Stock</v>
      </c>
      <c r="E215" s="26" t="str">
        <f t="shared" si="21"/>
        <v>3376</v>
      </c>
      <c r="F215" s="3" t="s">
        <v>1035</v>
      </c>
      <c r="G215" s="2" t="s">
        <v>2078</v>
      </c>
      <c r="H215" s="2">
        <v>102</v>
      </c>
      <c r="J215" s="2">
        <f t="shared" si="22"/>
        <v>102</v>
      </c>
      <c r="K215" s="35" t="str">
        <f t="shared" ca="1" si="23"/>
        <v>INSERT INTO ETFValue (DataDate, TimeCategory, ProductType, ProductLink, ProductCode, ProductName, NAV, Price, RecTime) VALUES ('2021/5/14','1', 'Stock', '3376','3376','新日興','102','102','15:15:01');</v>
      </c>
    </row>
    <row r="216" spans="1:11">
      <c r="A216" s="21" t="str">
        <f t="shared" ca="1" si="18"/>
        <v>2021/5/14</v>
      </c>
      <c r="B216" s="22" t="str">
        <f t="shared" ca="1" si="19"/>
        <v>15:15:01</v>
      </c>
      <c r="C216" s="23">
        <v>1</v>
      </c>
      <c r="D216" t="str">
        <f t="shared" si="20"/>
        <v>Stock</v>
      </c>
      <c r="E216" s="26" t="str">
        <f t="shared" si="21"/>
        <v>3388</v>
      </c>
      <c r="F216" s="3" t="s">
        <v>871</v>
      </c>
      <c r="G216" s="2" t="s">
        <v>2079</v>
      </c>
      <c r="H216" s="2">
        <v>73.7</v>
      </c>
      <c r="J216" s="2">
        <f t="shared" si="22"/>
        <v>73.7</v>
      </c>
      <c r="K216" s="35" t="str">
        <f t="shared" ca="1" si="23"/>
        <v>INSERT INTO ETFValue (DataDate, TimeCategory, ProductType, ProductLink, ProductCode, ProductName, NAV, Price, RecTime) VALUES ('2021/5/14','1', 'Stock', '3388','3388','崇越電','73.7','73.7','15:15:01');</v>
      </c>
    </row>
    <row r="217" spans="1:11">
      <c r="A217" s="21" t="str">
        <f t="shared" ca="1" si="18"/>
        <v>2021/5/14</v>
      </c>
      <c r="B217" s="22" t="str">
        <f t="shared" ca="1" si="19"/>
        <v>15:15:01</v>
      </c>
      <c r="C217" s="23">
        <v>1</v>
      </c>
      <c r="D217" t="str">
        <f t="shared" si="20"/>
        <v>Stock</v>
      </c>
      <c r="E217" s="26" t="str">
        <f t="shared" si="21"/>
        <v>3402</v>
      </c>
      <c r="F217" s="3" t="s">
        <v>1065</v>
      </c>
      <c r="G217" s="2" t="s">
        <v>2080</v>
      </c>
      <c r="H217" s="2">
        <v>39.799999999999997</v>
      </c>
      <c r="J217" s="2">
        <f t="shared" si="22"/>
        <v>39.799999999999997</v>
      </c>
      <c r="K217" s="35" t="str">
        <f t="shared" ca="1" si="23"/>
        <v>INSERT INTO ETFValue (DataDate, TimeCategory, ProductType, ProductLink, ProductCode, ProductName, NAV, Price, RecTime) VALUES ('2021/5/14','1', 'Stock', '3402','3402','漢科','39.8','39.8','15:15:01');</v>
      </c>
    </row>
    <row r="218" spans="1:11">
      <c r="A218" s="21" t="str">
        <f t="shared" ca="1" si="18"/>
        <v>2021/5/14</v>
      </c>
      <c r="B218" s="22" t="str">
        <f t="shared" ca="1" si="19"/>
        <v>15:15:01</v>
      </c>
      <c r="C218" s="23">
        <v>1</v>
      </c>
      <c r="D218" t="str">
        <f t="shared" si="20"/>
        <v>Stock</v>
      </c>
      <c r="E218" s="26" t="str">
        <f t="shared" si="21"/>
        <v>3406</v>
      </c>
      <c r="F218" s="3" t="s">
        <v>323</v>
      </c>
      <c r="G218" s="2" t="s">
        <v>2081</v>
      </c>
      <c r="H218" s="2">
        <v>409.5</v>
      </c>
      <c r="J218" s="2">
        <f t="shared" si="22"/>
        <v>409.5</v>
      </c>
      <c r="K218" s="35" t="str">
        <f t="shared" ca="1" si="23"/>
        <v>INSERT INTO ETFValue (DataDate, TimeCategory, ProductType, ProductLink, ProductCode, ProductName, NAV, Price, RecTime) VALUES ('2021/5/14','1', 'Stock', '3406','3406','玉晶光','409.5','409.5','15:15:01');</v>
      </c>
    </row>
    <row r="219" spans="1:11">
      <c r="A219" s="21" t="str">
        <f t="shared" ca="1" si="18"/>
        <v>2021/5/14</v>
      </c>
      <c r="B219" s="22" t="str">
        <f t="shared" ca="1" si="19"/>
        <v>15:15:01</v>
      </c>
      <c r="C219" s="23">
        <v>1</v>
      </c>
      <c r="D219" t="str">
        <f t="shared" si="20"/>
        <v>Stock</v>
      </c>
      <c r="E219" s="26" t="str">
        <f t="shared" si="21"/>
        <v>3413</v>
      </c>
      <c r="F219" s="3" t="s">
        <v>777</v>
      </c>
      <c r="G219" s="2" t="s">
        <v>2082</v>
      </c>
      <c r="H219" s="2">
        <v>204</v>
      </c>
      <c r="J219" s="2">
        <f t="shared" si="22"/>
        <v>204</v>
      </c>
      <c r="K219" s="35" t="str">
        <f t="shared" ca="1" si="23"/>
        <v>INSERT INTO ETFValue (DataDate, TimeCategory, ProductType, ProductLink, ProductCode, ProductName, NAV, Price, RecTime) VALUES ('2021/5/14','1', 'Stock', '3413','3413','京鼎','204','204','15:15:01');</v>
      </c>
    </row>
    <row r="220" spans="1:11">
      <c r="A220" s="21" t="str">
        <f t="shared" ca="1" si="18"/>
        <v>2021/5/14</v>
      </c>
      <c r="B220" s="22" t="str">
        <f t="shared" ca="1" si="19"/>
        <v>15:15:01</v>
      </c>
      <c r="C220" s="23">
        <v>1</v>
      </c>
      <c r="D220" t="str">
        <f t="shared" si="20"/>
        <v>Stock</v>
      </c>
      <c r="E220" s="26" t="str">
        <f t="shared" si="21"/>
        <v>3443</v>
      </c>
      <c r="F220" s="3" t="s">
        <v>324</v>
      </c>
      <c r="G220" s="2" t="s">
        <v>2083</v>
      </c>
      <c r="H220" s="2">
        <v>331</v>
      </c>
      <c r="J220" s="2">
        <f t="shared" si="22"/>
        <v>331</v>
      </c>
      <c r="K220" s="35" t="str">
        <f t="shared" ca="1" si="23"/>
        <v>INSERT INTO ETFValue (DataDate, TimeCategory, ProductType, ProductLink, ProductCode, ProductName, NAV, Price, RecTime) VALUES ('2021/5/14','1', 'Stock', '3443','3443','創意','331','331','15:15:01');</v>
      </c>
    </row>
    <row r="221" spans="1:11">
      <c r="A221" s="21" t="str">
        <f t="shared" ca="1" si="18"/>
        <v>2021/5/14</v>
      </c>
      <c r="B221" s="22" t="str">
        <f t="shared" ca="1" si="19"/>
        <v>15:15:01</v>
      </c>
      <c r="C221" s="23">
        <v>1</v>
      </c>
      <c r="D221" t="str">
        <f t="shared" si="20"/>
        <v>Stock</v>
      </c>
      <c r="E221" s="26" t="str">
        <f t="shared" si="21"/>
        <v>3455</v>
      </c>
      <c r="F221" s="3" t="s">
        <v>872</v>
      </c>
      <c r="G221" s="2" t="s">
        <v>2084</v>
      </c>
      <c r="H221" s="2">
        <v>55.4</v>
      </c>
      <c r="J221" s="2">
        <f t="shared" si="22"/>
        <v>55.4</v>
      </c>
      <c r="K221" s="35" t="str">
        <f t="shared" ca="1" si="23"/>
        <v>INSERT INTO ETFValue (DataDate, TimeCategory, ProductType, ProductLink, ProductCode, ProductName, NAV, Price, RecTime) VALUES ('2021/5/14','1', 'Stock', '3455','3455','由田','55.4','55.4','15:15:01');</v>
      </c>
    </row>
    <row r="222" spans="1:11">
      <c r="A222" s="21" t="str">
        <f t="shared" ca="1" si="18"/>
        <v>2021/5/14</v>
      </c>
      <c r="B222" s="22" t="str">
        <f t="shared" ca="1" si="19"/>
        <v>15:15:01</v>
      </c>
      <c r="C222" s="23">
        <v>1</v>
      </c>
      <c r="D222" t="str">
        <f t="shared" si="20"/>
        <v>Stock</v>
      </c>
      <c r="E222" s="26" t="str">
        <f t="shared" si="21"/>
        <v>3479</v>
      </c>
      <c r="F222" s="3" t="s">
        <v>1066</v>
      </c>
      <c r="G222" s="2" t="s">
        <v>2085</v>
      </c>
      <c r="H222" s="2">
        <v>50.2</v>
      </c>
      <c r="J222" s="2">
        <f t="shared" si="22"/>
        <v>50.2</v>
      </c>
      <c r="K222" s="35" t="str">
        <f t="shared" ca="1" si="23"/>
        <v>INSERT INTO ETFValue (DataDate, TimeCategory, ProductType, ProductLink, ProductCode, ProductName, NAV, Price, RecTime) VALUES ('2021/5/14','1', 'Stock', '3479','3479','安勤','50.2','50.2','15:15:01');</v>
      </c>
    </row>
    <row r="223" spans="1:11">
      <c r="A223" s="21" t="str">
        <f t="shared" ca="1" si="18"/>
        <v>2021/5/14</v>
      </c>
      <c r="B223" s="22" t="str">
        <f t="shared" ca="1" si="19"/>
        <v>15:15:01</v>
      </c>
      <c r="C223" s="23">
        <v>1</v>
      </c>
      <c r="D223" t="str">
        <f t="shared" si="20"/>
        <v>Stock</v>
      </c>
      <c r="E223" s="26" t="str">
        <f t="shared" si="21"/>
        <v>3481</v>
      </c>
      <c r="F223" s="3" t="s">
        <v>325</v>
      </c>
      <c r="G223" s="2" t="s">
        <v>2086</v>
      </c>
      <c r="H223" s="2">
        <v>20.9</v>
      </c>
      <c r="J223" s="2">
        <f t="shared" si="22"/>
        <v>20.9</v>
      </c>
      <c r="K223" s="35" t="str">
        <f t="shared" ca="1" si="23"/>
        <v>INSERT INTO ETFValue (DataDate, TimeCategory, ProductType, ProductLink, ProductCode, ProductName, NAV, Price, RecTime) VALUES ('2021/5/14','1', 'Stock', '3481','3481','群創','20.9','20.9','15:15:01');</v>
      </c>
    </row>
    <row r="224" spans="1:11">
      <c r="A224" s="21" t="str">
        <f t="shared" ca="1" si="18"/>
        <v>2021/5/14</v>
      </c>
      <c r="B224" s="22" t="str">
        <f t="shared" ca="1" si="19"/>
        <v>15:15:01</v>
      </c>
      <c r="C224" s="23">
        <v>1</v>
      </c>
      <c r="D224" t="str">
        <f t="shared" si="20"/>
        <v>Stock</v>
      </c>
      <c r="E224" s="26" t="str">
        <f t="shared" si="21"/>
        <v>3489</v>
      </c>
      <c r="F224" s="3" t="s">
        <v>1050</v>
      </c>
      <c r="G224" s="2" t="s">
        <v>2087</v>
      </c>
      <c r="H224" s="2">
        <v>11.5</v>
      </c>
      <c r="J224" s="2">
        <f t="shared" si="22"/>
        <v>11.5</v>
      </c>
      <c r="K224" s="35" t="str">
        <f t="shared" ca="1" si="23"/>
        <v>INSERT INTO ETFValue (DataDate, TimeCategory, ProductType, ProductLink, ProductCode, ProductName, NAV, Price, RecTime) VALUES ('2021/5/14','1', 'Stock', '3489','3489','森寶','11.5','11.5','15:15:01');</v>
      </c>
    </row>
    <row r="225" spans="1:11">
      <c r="A225" s="21" t="str">
        <f t="shared" ca="1" si="18"/>
        <v>2021/5/14</v>
      </c>
      <c r="B225" s="22" t="str">
        <f t="shared" ca="1" si="19"/>
        <v>15:15:01</v>
      </c>
      <c r="C225" s="23">
        <v>1</v>
      </c>
      <c r="D225" t="str">
        <f t="shared" si="20"/>
        <v>Stock</v>
      </c>
      <c r="E225" s="26" t="str">
        <f t="shared" si="21"/>
        <v>3491</v>
      </c>
      <c r="F225" s="3" t="s">
        <v>873</v>
      </c>
      <c r="G225" s="2" t="s">
        <v>2088</v>
      </c>
      <c r="H225" s="2">
        <v>63.1</v>
      </c>
      <c r="J225" s="2">
        <f t="shared" si="22"/>
        <v>63.1</v>
      </c>
      <c r="K225" s="35" t="str">
        <f t="shared" ca="1" si="23"/>
        <v>INSERT INTO ETFValue (DataDate, TimeCategory, ProductType, ProductLink, ProductCode, ProductName, NAV, Price, RecTime) VALUES ('2021/5/14','1', 'Stock', '3491','3491','昇達科','63.1','63.1','15:15:01');</v>
      </c>
    </row>
    <row r="226" spans="1:11">
      <c r="A226" s="21" t="str">
        <f t="shared" ca="1" si="18"/>
        <v>2021/5/14</v>
      </c>
      <c r="B226" s="22" t="str">
        <f t="shared" ca="1" si="19"/>
        <v>15:15:01</v>
      </c>
      <c r="C226" s="23">
        <v>1</v>
      </c>
      <c r="D226" t="str">
        <f t="shared" si="20"/>
        <v>Stock</v>
      </c>
      <c r="E226" s="26" t="str">
        <f t="shared" si="21"/>
        <v>3504</v>
      </c>
      <c r="F226" s="3" t="s">
        <v>778</v>
      </c>
      <c r="G226" s="2" t="s">
        <v>2089</v>
      </c>
      <c r="H226" s="2">
        <v>67.400000000000006</v>
      </c>
      <c r="J226" s="2">
        <f t="shared" si="22"/>
        <v>67.400000000000006</v>
      </c>
      <c r="K226" s="35" t="str">
        <f t="shared" ca="1" si="23"/>
        <v>INSERT INTO ETFValue (DataDate, TimeCategory, ProductType, ProductLink, ProductCode, ProductName, NAV, Price, RecTime) VALUES ('2021/5/14','1', 'Stock', '3504','3504','揚明光','67.4','67.4','15:15:01');</v>
      </c>
    </row>
    <row r="227" spans="1:11">
      <c r="A227" s="21" t="str">
        <f t="shared" ca="1" si="18"/>
        <v>2021/5/14</v>
      </c>
      <c r="B227" s="22" t="str">
        <f t="shared" ca="1" si="19"/>
        <v>15:15:01</v>
      </c>
      <c r="C227" s="23">
        <v>1</v>
      </c>
      <c r="D227" t="str">
        <f t="shared" si="20"/>
        <v>Stock</v>
      </c>
      <c r="E227" s="26" t="str">
        <f t="shared" si="21"/>
        <v>3508</v>
      </c>
      <c r="F227" s="3" t="s">
        <v>874</v>
      </c>
      <c r="G227" s="2" t="s">
        <v>2090</v>
      </c>
      <c r="H227" s="2">
        <v>20</v>
      </c>
      <c r="J227" s="2">
        <f t="shared" si="22"/>
        <v>20</v>
      </c>
      <c r="K227" s="35" t="str">
        <f t="shared" ca="1" si="23"/>
        <v>INSERT INTO ETFValue (DataDate, TimeCategory, ProductType, ProductLink, ProductCode, ProductName, NAV, Price, RecTime) VALUES ('2021/5/14','1', 'Stock', '3508','3508','位速','20','20','15:15:01');</v>
      </c>
    </row>
    <row r="228" spans="1:11">
      <c r="A228" s="21" t="str">
        <f t="shared" ca="1" si="18"/>
        <v>2021/5/14</v>
      </c>
      <c r="B228" s="22" t="str">
        <f t="shared" ca="1" si="19"/>
        <v>15:15:01</v>
      </c>
      <c r="C228" s="23">
        <v>1</v>
      </c>
      <c r="D228" t="str">
        <f t="shared" si="20"/>
        <v>Stock</v>
      </c>
      <c r="E228" s="26" t="str">
        <f t="shared" si="21"/>
        <v>3527</v>
      </c>
      <c r="F228" s="3" t="s">
        <v>875</v>
      </c>
      <c r="G228" s="2" t="s">
        <v>2091</v>
      </c>
      <c r="H228" s="2">
        <v>88.8</v>
      </c>
      <c r="J228" s="2">
        <f t="shared" si="22"/>
        <v>88.8</v>
      </c>
      <c r="K228" s="35" t="str">
        <f t="shared" ca="1" si="23"/>
        <v>INSERT INTO ETFValue (DataDate, TimeCategory, ProductType, ProductLink, ProductCode, ProductName, NAV, Price, RecTime) VALUES ('2021/5/14','1', 'Stock', '3527','3527','聚積','88.8','88.8','15:15:01');</v>
      </c>
    </row>
    <row r="229" spans="1:11">
      <c r="A229" s="21" t="str">
        <f t="shared" ca="1" si="18"/>
        <v>2021/5/14</v>
      </c>
      <c r="B229" s="22" t="str">
        <f t="shared" ca="1" si="19"/>
        <v>15:15:01</v>
      </c>
      <c r="C229" s="23">
        <v>1</v>
      </c>
      <c r="D229" t="str">
        <f t="shared" si="20"/>
        <v>Stock</v>
      </c>
      <c r="E229" s="26" t="str">
        <f t="shared" si="21"/>
        <v>3529</v>
      </c>
      <c r="F229" s="3" t="s">
        <v>876</v>
      </c>
      <c r="G229" s="2" t="s">
        <v>2092</v>
      </c>
      <c r="H229" s="2">
        <v>851</v>
      </c>
      <c r="J229" s="2">
        <f t="shared" si="22"/>
        <v>851</v>
      </c>
      <c r="K229" s="35" t="str">
        <f t="shared" ca="1" si="23"/>
        <v>INSERT INTO ETFValue (DataDate, TimeCategory, ProductType, ProductLink, ProductCode, ProductName, NAV, Price, RecTime) VALUES ('2021/5/14','1', 'Stock', '3529','3529','力旺','851','851','15:15:01');</v>
      </c>
    </row>
    <row r="230" spans="1:11">
      <c r="A230" s="21" t="str">
        <f t="shared" ca="1" si="18"/>
        <v>2021/5/14</v>
      </c>
      <c r="B230" s="22" t="str">
        <f t="shared" ca="1" si="19"/>
        <v>15:15:01</v>
      </c>
      <c r="C230" s="23">
        <v>1</v>
      </c>
      <c r="D230" t="str">
        <f t="shared" si="20"/>
        <v>Stock</v>
      </c>
      <c r="E230" s="26" t="str">
        <f t="shared" si="21"/>
        <v>3532</v>
      </c>
      <c r="F230" s="3" t="s">
        <v>326</v>
      </c>
      <c r="G230" s="2" t="s">
        <v>2093</v>
      </c>
      <c r="H230" s="2">
        <v>149</v>
      </c>
      <c r="J230" s="2">
        <f t="shared" si="22"/>
        <v>149</v>
      </c>
      <c r="K230" s="35" t="str">
        <f t="shared" ca="1" si="23"/>
        <v>INSERT INTO ETFValue (DataDate, TimeCategory, ProductType, ProductLink, ProductCode, ProductName, NAV, Price, RecTime) VALUES ('2021/5/14','1', 'Stock', '3532','3532','台勝科','149','149','15:15:01');</v>
      </c>
    </row>
    <row r="231" spans="1:11">
      <c r="A231" s="21" t="str">
        <f t="shared" ca="1" si="18"/>
        <v>2021/5/14</v>
      </c>
      <c r="B231" s="22" t="str">
        <f t="shared" ca="1" si="19"/>
        <v>15:15:01</v>
      </c>
      <c r="C231" s="23">
        <v>1</v>
      </c>
      <c r="D231" t="str">
        <f t="shared" si="20"/>
        <v>Stock</v>
      </c>
      <c r="E231" s="26" t="str">
        <f t="shared" si="21"/>
        <v>3533</v>
      </c>
      <c r="F231" s="3" t="s">
        <v>1036</v>
      </c>
      <c r="G231" s="2" t="s">
        <v>2094</v>
      </c>
      <c r="H231" s="2">
        <v>513</v>
      </c>
      <c r="J231" s="2">
        <f t="shared" si="22"/>
        <v>513</v>
      </c>
      <c r="K231" s="35" t="str">
        <f t="shared" ca="1" si="23"/>
        <v>INSERT INTO ETFValue (DataDate, TimeCategory, ProductType, ProductLink, ProductCode, ProductName, NAV, Price, RecTime) VALUES ('2021/5/14','1', 'Stock', '3533','3533','嘉澤','513','513','15:15:01');</v>
      </c>
    </row>
    <row r="232" spans="1:11">
      <c r="A232" s="21" t="str">
        <f t="shared" ca="1" si="18"/>
        <v>2021/5/14</v>
      </c>
      <c r="B232" s="22" t="str">
        <f t="shared" ca="1" si="19"/>
        <v>15:15:01</v>
      </c>
      <c r="C232" s="23">
        <v>1</v>
      </c>
      <c r="D232" t="str">
        <f t="shared" si="20"/>
        <v>Stock</v>
      </c>
      <c r="E232" s="26" t="str">
        <f t="shared" si="21"/>
        <v>3541</v>
      </c>
      <c r="F232" s="3" t="s">
        <v>877</v>
      </c>
      <c r="G232" s="2" t="s">
        <v>2095</v>
      </c>
      <c r="H232" s="2">
        <v>44.5</v>
      </c>
      <c r="J232" s="2">
        <f t="shared" si="22"/>
        <v>44.5</v>
      </c>
      <c r="K232" s="35" t="str">
        <f t="shared" ca="1" si="23"/>
        <v>INSERT INTO ETFValue (DataDate, TimeCategory, ProductType, ProductLink, ProductCode, ProductName, NAV, Price, RecTime) VALUES ('2021/5/14','1', 'Stock', '3541','3541','西柏','44.5','44.5','15:15:01');</v>
      </c>
    </row>
    <row r="233" spans="1:11">
      <c r="A233" s="21" t="str">
        <f t="shared" ca="1" si="18"/>
        <v>2021/5/14</v>
      </c>
      <c r="B233" s="22" t="str">
        <f t="shared" ca="1" si="19"/>
        <v>15:15:01</v>
      </c>
      <c r="C233" s="23">
        <v>1</v>
      </c>
      <c r="D233" t="str">
        <f t="shared" si="20"/>
        <v>Stock</v>
      </c>
      <c r="E233" s="26" t="str">
        <f t="shared" si="21"/>
        <v>3546</v>
      </c>
      <c r="F233" s="3" t="s">
        <v>878</v>
      </c>
      <c r="G233" s="2" t="s">
        <v>2096</v>
      </c>
      <c r="H233" s="2">
        <v>81</v>
      </c>
      <c r="J233" s="2">
        <f t="shared" si="22"/>
        <v>81</v>
      </c>
      <c r="K233" s="35" t="str">
        <f t="shared" ca="1" si="23"/>
        <v>INSERT INTO ETFValue (DataDate, TimeCategory, ProductType, ProductLink, ProductCode, ProductName, NAV, Price, RecTime) VALUES ('2021/5/14','1', 'Stock', '3546','3546','宇峻','81','81','15:15:01');</v>
      </c>
    </row>
    <row r="234" spans="1:11">
      <c r="A234" s="21" t="str">
        <f t="shared" ca="1" si="18"/>
        <v>2021/5/14</v>
      </c>
      <c r="B234" s="22" t="str">
        <f t="shared" ca="1" si="19"/>
        <v>15:15:01</v>
      </c>
      <c r="C234" s="23">
        <v>1</v>
      </c>
      <c r="D234" t="str">
        <f t="shared" si="20"/>
        <v>Stock</v>
      </c>
      <c r="E234" s="26" t="str">
        <f t="shared" si="21"/>
        <v>3548</v>
      </c>
      <c r="F234" s="3" t="s">
        <v>879</v>
      </c>
      <c r="G234" s="2" t="s">
        <v>2097</v>
      </c>
      <c r="H234" s="2">
        <v>66.599999999999994</v>
      </c>
      <c r="J234" s="2">
        <f t="shared" si="22"/>
        <v>66.599999999999994</v>
      </c>
      <c r="K234" s="35" t="str">
        <f t="shared" ca="1" si="23"/>
        <v>INSERT INTO ETFValue (DataDate, TimeCategory, ProductType, ProductLink, ProductCode, ProductName, NAV, Price, RecTime) VALUES ('2021/5/14','1', 'Stock', '3548','3548','兆利','66.6','66.6','15:15:01');</v>
      </c>
    </row>
    <row r="235" spans="1:11">
      <c r="A235" s="21" t="str">
        <f t="shared" ca="1" si="18"/>
        <v>2021/5/14</v>
      </c>
      <c r="B235" s="22" t="str">
        <f t="shared" ca="1" si="19"/>
        <v>15:15:01</v>
      </c>
      <c r="C235" s="23">
        <v>1</v>
      </c>
      <c r="D235" t="str">
        <f t="shared" si="20"/>
        <v>Stock</v>
      </c>
      <c r="E235" s="26" t="str">
        <f t="shared" si="21"/>
        <v>3551</v>
      </c>
      <c r="F235" s="3" t="s">
        <v>1067</v>
      </c>
      <c r="G235" s="2" t="s">
        <v>2098</v>
      </c>
      <c r="H235" s="2">
        <v>48.9</v>
      </c>
      <c r="J235" s="2">
        <f t="shared" si="22"/>
        <v>48.9</v>
      </c>
      <c r="K235" s="35" t="str">
        <f t="shared" ca="1" si="23"/>
        <v>INSERT INTO ETFValue (DataDate, TimeCategory, ProductType, ProductLink, ProductCode, ProductName, NAV, Price, RecTime) VALUES ('2021/5/14','1', 'Stock', '3551','3551','世禾','48.9','48.9','15:15:01');</v>
      </c>
    </row>
    <row r="236" spans="1:11">
      <c r="A236" s="21" t="str">
        <f t="shared" ca="1" si="18"/>
        <v>2021/5/14</v>
      </c>
      <c r="B236" s="22" t="str">
        <f t="shared" ca="1" si="19"/>
        <v>15:15:01</v>
      </c>
      <c r="C236" s="23">
        <v>1</v>
      </c>
      <c r="D236" t="str">
        <f t="shared" si="20"/>
        <v>Stock</v>
      </c>
      <c r="E236" s="26" t="str">
        <f t="shared" si="21"/>
        <v>3552</v>
      </c>
      <c r="F236" s="3" t="s">
        <v>880</v>
      </c>
      <c r="G236" s="2" t="s">
        <v>2099</v>
      </c>
      <c r="H236" s="2">
        <v>171</v>
      </c>
      <c r="J236" s="2">
        <f t="shared" si="22"/>
        <v>171</v>
      </c>
      <c r="K236" s="35" t="str">
        <f t="shared" ca="1" si="23"/>
        <v>INSERT INTO ETFValue (DataDate, TimeCategory, ProductType, ProductLink, ProductCode, ProductName, NAV, Price, RecTime) VALUES ('2021/5/14','1', 'Stock', '3552','3552','同致','171','171','15:15:01');</v>
      </c>
    </row>
    <row r="237" spans="1:11">
      <c r="A237" s="21" t="str">
        <f t="shared" ca="1" si="18"/>
        <v>2021/5/14</v>
      </c>
      <c r="B237" s="22" t="str">
        <f t="shared" ca="1" si="19"/>
        <v>15:15:01</v>
      </c>
      <c r="C237" s="23">
        <v>1</v>
      </c>
      <c r="D237" t="str">
        <f t="shared" si="20"/>
        <v>Stock</v>
      </c>
      <c r="E237" s="26" t="str">
        <f t="shared" si="21"/>
        <v>3556</v>
      </c>
      <c r="F237" s="3" t="s">
        <v>881</v>
      </c>
      <c r="G237" s="2" t="s">
        <v>2100</v>
      </c>
      <c r="H237" s="2">
        <v>57.9</v>
      </c>
      <c r="J237" s="2">
        <f t="shared" si="22"/>
        <v>57.9</v>
      </c>
      <c r="K237" s="35" t="str">
        <f t="shared" ca="1" si="23"/>
        <v>INSERT INTO ETFValue (DataDate, TimeCategory, ProductType, ProductLink, ProductCode, ProductName, NAV, Price, RecTime) VALUES ('2021/5/14','1', 'Stock', '3556','3556','禾瑞亞','57.9','57.9','15:15:01');</v>
      </c>
    </row>
    <row r="238" spans="1:11">
      <c r="A238" s="21" t="str">
        <f t="shared" ca="1" si="18"/>
        <v>2021/5/14</v>
      </c>
      <c r="B238" s="22" t="str">
        <f t="shared" ca="1" si="19"/>
        <v>15:15:01</v>
      </c>
      <c r="C238" s="23">
        <v>1</v>
      </c>
      <c r="D238" t="str">
        <f t="shared" si="20"/>
        <v>Stock</v>
      </c>
      <c r="E238" s="26" t="str">
        <f t="shared" si="21"/>
        <v>3558</v>
      </c>
      <c r="F238" s="3" t="s">
        <v>882</v>
      </c>
      <c r="G238" s="2" t="s">
        <v>2101</v>
      </c>
      <c r="H238" s="2">
        <v>88.5</v>
      </c>
      <c r="J238" s="2">
        <f t="shared" si="22"/>
        <v>88.5</v>
      </c>
      <c r="K238" s="35" t="str">
        <f t="shared" ca="1" si="23"/>
        <v>INSERT INTO ETFValue (DataDate, TimeCategory, ProductType, ProductLink, ProductCode, ProductName, NAV, Price, RecTime) VALUES ('2021/5/14','1', 'Stock', '3558','3558','神準','88.5','88.5','15:15:01');</v>
      </c>
    </row>
    <row r="239" spans="1:11">
      <c r="A239" s="21" t="str">
        <f t="shared" ca="1" si="18"/>
        <v>2021/5/14</v>
      </c>
      <c r="B239" s="22" t="str">
        <f t="shared" ca="1" si="19"/>
        <v>15:15:01</v>
      </c>
      <c r="C239" s="23">
        <v>1</v>
      </c>
      <c r="D239" t="str">
        <f t="shared" si="20"/>
        <v>Stock</v>
      </c>
      <c r="E239" s="26" t="str">
        <f t="shared" si="21"/>
        <v>3563</v>
      </c>
      <c r="F239" s="3" t="s">
        <v>779</v>
      </c>
      <c r="G239" s="2" t="s">
        <v>2102</v>
      </c>
      <c r="H239" s="2">
        <v>226.5</v>
      </c>
      <c r="J239" s="2">
        <f t="shared" si="22"/>
        <v>226.5</v>
      </c>
      <c r="K239" s="35" t="str">
        <f t="shared" ca="1" si="23"/>
        <v>INSERT INTO ETFValue (DataDate, TimeCategory, ProductType, ProductLink, ProductCode, ProductName, NAV, Price, RecTime) VALUES ('2021/5/14','1', 'Stock', '3563','3563','牧德','226.5','226.5','15:15:01');</v>
      </c>
    </row>
    <row r="240" spans="1:11">
      <c r="A240" s="21" t="str">
        <f t="shared" ca="1" si="18"/>
        <v>2021/5/14</v>
      </c>
      <c r="B240" s="22" t="str">
        <f t="shared" ca="1" si="19"/>
        <v>15:15:01</v>
      </c>
      <c r="C240" s="23">
        <v>1</v>
      </c>
      <c r="D240" t="str">
        <f t="shared" si="20"/>
        <v>Stock</v>
      </c>
      <c r="E240" s="26" t="str">
        <f t="shared" si="21"/>
        <v>3587</v>
      </c>
      <c r="F240" s="3" t="s">
        <v>883</v>
      </c>
      <c r="G240" s="2" t="s">
        <v>2103</v>
      </c>
      <c r="H240" s="2">
        <v>110</v>
      </c>
      <c r="J240" s="2">
        <f t="shared" si="22"/>
        <v>110</v>
      </c>
      <c r="K240" s="35" t="str">
        <f t="shared" ca="1" si="23"/>
        <v>INSERT INTO ETFValue (DataDate, TimeCategory, ProductType, ProductLink, ProductCode, ProductName, NAV, Price, RecTime) VALUES ('2021/5/14','1', 'Stock', '3587','3587','閎康','110','110','15:15:01');</v>
      </c>
    </row>
    <row r="241" spans="1:11">
      <c r="A241" s="21" t="str">
        <f t="shared" ca="1" si="18"/>
        <v>2021/5/14</v>
      </c>
      <c r="B241" s="22" t="str">
        <f t="shared" ca="1" si="19"/>
        <v>15:15:01</v>
      </c>
      <c r="C241" s="23">
        <v>1</v>
      </c>
      <c r="D241" t="str">
        <f t="shared" si="20"/>
        <v>Stock</v>
      </c>
      <c r="E241" s="26" t="str">
        <f t="shared" si="21"/>
        <v>3596</v>
      </c>
      <c r="F241" s="3" t="s">
        <v>802</v>
      </c>
      <c r="G241" s="2" t="s">
        <v>2104</v>
      </c>
      <c r="H241" s="2">
        <v>89.6</v>
      </c>
      <c r="J241" s="2">
        <f t="shared" si="22"/>
        <v>89.6</v>
      </c>
      <c r="K241" s="35" t="str">
        <f t="shared" ca="1" si="23"/>
        <v>INSERT INTO ETFValue (DataDate, TimeCategory, ProductType, ProductLink, ProductCode, ProductName, NAV, Price, RecTime) VALUES ('2021/5/14','1', 'Stock', '3596','3596','智易','89.6','89.6','15:15:01');</v>
      </c>
    </row>
    <row r="242" spans="1:11">
      <c r="A242" s="21" t="str">
        <f t="shared" ca="1" si="18"/>
        <v>2021/5/14</v>
      </c>
      <c r="B242" s="22" t="str">
        <f t="shared" ca="1" si="19"/>
        <v>15:15:01</v>
      </c>
      <c r="C242" s="23">
        <v>1</v>
      </c>
      <c r="D242" t="str">
        <f t="shared" si="20"/>
        <v>Stock</v>
      </c>
      <c r="E242" s="26" t="str">
        <f t="shared" si="21"/>
        <v>3611</v>
      </c>
      <c r="F242" s="3" t="s">
        <v>884</v>
      </c>
      <c r="G242" s="2" t="s">
        <v>2105</v>
      </c>
      <c r="H242" s="2">
        <v>203</v>
      </c>
      <c r="J242" s="2">
        <f t="shared" si="22"/>
        <v>203</v>
      </c>
      <c r="K242" s="35" t="str">
        <f t="shared" ca="1" si="23"/>
        <v>INSERT INTO ETFValue (DataDate, TimeCategory, ProductType, ProductLink, ProductCode, ProductName, NAV, Price, RecTime) VALUES ('2021/5/14','1', 'Stock', '3611','3611','鼎翰','203','203','15:15:01');</v>
      </c>
    </row>
    <row r="243" spans="1:11">
      <c r="A243" s="21" t="str">
        <f t="shared" ca="1" si="18"/>
        <v>2021/5/14</v>
      </c>
      <c r="B243" s="22" t="str">
        <f t="shared" ca="1" si="19"/>
        <v>15:15:01</v>
      </c>
      <c r="C243" s="23">
        <v>1</v>
      </c>
      <c r="D243" t="str">
        <f t="shared" si="20"/>
        <v>Stock</v>
      </c>
      <c r="E243" s="26" t="str">
        <f t="shared" si="21"/>
        <v>3624</v>
      </c>
      <c r="F243" s="3" t="s">
        <v>885</v>
      </c>
      <c r="G243" s="2" t="s">
        <v>2106</v>
      </c>
      <c r="H243" s="2">
        <v>29.45</v>
      </c>
      <c r="J243" s="2">
        <f t="shared" si="22"/>
        <v>29.45</v>
      </c>
      <c r="K243" s="35" t="str">
        <f t="shared" ca="1" si="23"/>
        <v>INSERT INTO ETFValue (DataDate, TimeCategory, ProductType, ProductLink, ProductCode, ProductName, NAV, Price, RecTime) VALUES ('2021/5/14','1', 'Stock', '3624','3624','光頡','29.45','29.45','15:15:01');</v>
      </c>
    </row>
    <row r="244" spans="1:11">
      <c r="A244" s="21" t="str">
        <f t="shared" ca="1" si="18"/>
        <v>2021/5/14</v>
      </c>
      <c r="B244" s="22" t="str">
        <f t="shared" ca="1" si="19"/>
        <v>15:15:01</v>
      </c>
      <c r="C244" s="23">
        <v>1</v>
      </c>
      <c r="D244" t="str">
        <f t="shared" si="20"/>
        <v>Stock</v>
      </c>
      <c r="E244" s="26" t="str">
        <f t="shared" si="21"/>
        <v>3630</v>
      </c>
      <c r="F244" s="3" t="s">
        <v>886</v>
      </c>
      <c r="G244" s="2" t="s">
        <v>2107</v>
      </c>
      <c r="H244" s="2">
        <v>42.2</v>
      </c>
      <c r="J244" s="2">
        <f t="shared" si="22"/>
        <v>42.2</v>
      </c>
      <c r="K244" s="35" t="str">
        <f t="shared" ca="1" si="23"/>
        <v>INSERT INTO ETFValue (DataDate, TimeCategory, ProductType, ProductLink, ProductCode, ProductName, NAV, Price, RecTime) VALUES ('2021/5/14','1', 'Stock', '3630','3630','新鉅科','42.2','42.2','15:15:01');</v>
      </c>
    </row>
    <row r="245" spans="1:11">
      <c r="A245" s="21" t="str">
        <f t="shared" ca="1" si="18"/>
        <v>2021/5/14</v>
      </c>
      <c r="B245" s="22" t="str">
        <f t="shared" ca="1" si="19"/>
        <v>15:15:01</v>
      </c>
      <c r="C245" s="23">
        <v>1</v>
      </c>
      <c r="D245" t="str">
        <f t="shared" si="20"/>
        <v>Stock</v>
      </c>
      <c r="E245" s="26" t="str">
        <f t="shared" si="21"/>
        <v>3665</v>
      </c>
      <c r="F245" s="3" t="s">
        <v>780</v>
      </c>
      <c r="G245" s="2" t="s">
        <v>2108</v>
      </c>
      <c r="H245" s="2">
        <v>237</v>
      </c>
      <c r="J245" s="2">
        <f t="shared" si="22"/>
        <v>237</v>
      </c>
      <c r="K245" s="35" t="str">
        <f t="shared" ca="1" si="23"/>
        <v>INSERT INTO ETFValue (DataDate, TimeCategory, ProductType, ProductLink, ProductCode, ProductName, NAV, Price, RecTime) VALUES ('2021/5/14','1', 'Stock', '3665','3665','貿聯-KY','237','237','15:15:01');</v>
      </c>
    </row>
    <row r="246" spans="1:11">
      <c r="A246" s="21" t="str">
        <f t="shared" ca="1" si="18"/>
        <v>2021/5/14</v>
      </c>
      <c r="B246" s="22" t="str">
        <f t="shared" ca="1" si="19"/>
        <v>15:15:01</v>
      </c>
      <c r="C246" s="23">
        <v>1</v>
      </c>
      <c r="D246" t="str">
        <f t="shared" si="20"/>
        <v>Stock</v>
      </c>
      <c r="E246" s="26" t="str">
        <f t="shared" si="21"/>
        <v>3673</v>
      </c>
      <c r="F246" s="3" t="s">
        <v>763</v>
      </c>
      <c r="G246" s="2" t="s">
        <v>2109</v>
      </c>
      <c r="H246" s="2">
        <v>48.2</v>
      </c>
      <c r="J246" s="2">
        <f t="shared" si="22"/>
        <v>48.2</v>
      </c>
      <c r="K246" s="35" t="str">
        <f t="shared" ca="1" si="23"/>
        <v>INSERT INTO ETFValue (DataDate, TimeCategory, ProductType, ProductLink, ProductCode, ProductName, NAV, Price, RecTime) VALUES ('2021/5/14','1', 'Stock', '3673','3673','TPK-KY','48.2','48.2','15:15:01');</v>
      </c>
    </row>
    <row r="247" spans="1:11">
      <c r="A247" s="21" t="str">
        <f t="shared" ca="1" si="18"/>
        <v>2021/5/14</v>
      </c>
      <c r="B247" s="22" t="str">
        <f t="shared" ca="1" si="19"/>
        <v>15:15:01</v>
      </c>
      <c r="C247" s="23">
        <v>1</v>
      </c>
      <c r="D247" t="str">
        <f t="shared" si="20"/>
        <v>Stock</v>
      </c>
      <c r="E247" s="26" t="str">
        <f t="shared" si="21"/>
        <v>3680</v>
      </c>
      <c r="F247" s="3" t="s">
        <v>887</v>
      </c>
      <c r="G247" s="2" t="s">
        <v>2110</v>
      </c>
      <c r="H247" s="2">
        <v>234</v>
      </c>
      <c r="J247" s="2">
        <f t="shared" si="22"/>
        <v>234</v>
      </c>
      <c r="K247" s="35" t="str">
        <f t="shared" ca="1" si="23"/>
        <v>INSERT INTO ETFValue (DataDate, TimeCategory, ProductType, ProductLink, ProductCode, ProductName, NAV, Price, RecTime) VALUES ('2021/5/14','1', 'Stock', '3680','3680','家登','234','234','15:15:01');</v>
      </c>
    </row>
    <row r="248" spans="1:11">
      <c r="A248" s="21" t="str">
        <f t="shared" ca="1" si="18"/>
        <v>2021/5/14</v>
      </c>
      <c r="B248" s="22" t="str">
        <f t="shared" ca="1" si="19"/>
        <v>15:15:01</v>
      </c>
      <c r="C248" s="23">
        <v>1</v>
      </c>
      <c r="D248" t="str">
        <f t="shared" si="20"/>
        <v>Stock</v>
      </c>
      <c r="E248" s="26" t="str">
        <f t="shared" si="21"/>
        <v>3682</v>
      </c>
      <c r="F248" s="3" t="s">
        <v>327</v>
      </c>
      <c r="G248" s="2" t="s">
        <v>2111</v>
      </c>
      <c r="H248" s="2">
        <v>8.3000000000000007</v>
      </c>
      <c r="J248" s="2">
        <f t="shared" si="22"/>
        <v>8.3000000000000007</v>
      </c>
      <c r="K248" s="35" t="str">
        <f t="shared" ca="1" si="23"/>
        <v>INSERT INTO ETFValue (DataDate, TimeCategory, ProductType, ProductLink, ProductCode, ProductName, NAV, Price, RecTime) VALUES ('2021/5/14','1', 'Stock', '3682','3682','亞太電','8.3','8.3','15:15:01');</v>
      </c>
    </row>
    <row r="249" spans="1:11">
      <c r="A249" s="21" t="str">
        <f t="shared" ca="1" si="18"/>
        <v>2021/5/14</v>
      </c>
      <c r="B249" s="22" t="str">
        <f t="shared" ca="1" si="19"/>
        <v>15:15:01</v>
      </c>
      <c r="C249" s="23">
        <v>1</v>
      </c>
      <c r="D249" t="str">
        <f t="shared" si="20"/>
        <v>Stock</v>
      </c>
      <c r="E249" s="26" t="str">
        <f t="shared" si="21"/>
        <v>3691</v>
      </c>
      <c r="F249" s="3" t="s">
        <v>888</v>
      </c>
      <c r="G249" s="2" t="s">
        <v>2112</v>
      </c>
      <c r="H249" s="2">
        <v>144</v>
      </c>
      <c r="J249" s="2">
        <f t="shared" si="22"/>
        <v>144</v>
      </c>
      <c r="K249" s="35" t="str">
        <f t="shared" ca="1" si="23"/>
        <v>INSERT INTO ETFValue (DataDate, TimeCategory, ProductType, ProductLink, ProductCode, ProductName, NAV, Price, RecTime) VALUES ('2021/5/14','1', 'Stock', '3691','3691','碩禾','144','144','15:15:01');</v>
      </c>
    </row>
    <row r="250" spans="1:11">
      <c r="A250" s="21" t="str">
        <f t="shared" ca="1" si="18"/>
        <v>2021/5/14</v>
      </c>
      <c r="B250" s="22" t="str">
        <f t="shared" ca="1" si="19"/>
        <v>15:15:01</v>
      </c>
      <c r="C250" s="23">
        <v>1</v>
      </c>
      <c r="D250" t="str">
        <f t="shared" si="20"/>
        <v>Stock</v>
      </c>
      <c r="E250" s="26" t="str">
        <f t="shared" si="21"/>
        <v>3698</v>
      </c>
      <c r="F250" s="3" t="s">
        <v>824</v>
      </c>
      <c r="G250" s="2" t="s">
        <v>2472</v>
      </c>
      <c r="J250" s="2">
        <f t="shared" si="22"/>
        <v>0</v>
      </c>
      <c r="K250" s="35" t="str">
        <f t="shared" ca="1" si="23"/>
        <v>INSERT INTO ETFValue (DataDate, TimeCategory, ProductType, ProductLink, ProductCode, ProductName, NAV, Price, RecTime) VALUES ('2021/5/14','1', 'Stock', '3698','3698','隆達(下市)','0','0','15:15:01');</v>
      </c>
    </row>
    <row r="251" spans="1:11">
      <c r="A251" s="21" t="str">
        <f t="shared" ca="1" si="18"/>
        <v>2021/5/14</v>
      </c>
      <c r="B251" s="22" t="str">
        <f t="shared" ca="1" si="19"/>
        <v>15:15:01</v>
      </c>
      <c r="C251" s="23">
        <v>1</v>
      </c>
      <c r="D251" t="str">
        <f t="shared" si="20"/>
        <v>Stock</v>
      </c>
      <c r="E251" s="26" t="str">
        <f t="shared" si="21"/>
        <v>3702</v>
      </c>
      <c r="F251" s="3" t="s">
        <v>328</v>
      </c>
      <c r="G251" s="2" t="s">
        <v>2113</v>
      </c>
      <c r="H251" s="2">
        <v>48.35</v>
      </c>
      <c r="J251" s="2">
        <f t="shared" si="22"/>
        <v>48.35</v>
      </c>
      <c r="K251" s="35" t="str">
        <f t="shared" ca="1" si="23"/>
        <v>INSERT INTO ETFValue (DataDate, TimeCategory, ProductType, ProductLink, ProductCode, ProductName, NAV, Price, RecTime) VALUES ('2021/5/14','1', 'Stock', '3702','3702','大聯大','48.35','48.35','15:15:01');</v>
      </c>
    </row>
    <row r="252" spans="1:11">
      <c r="A252" s="21" t="str">
        <f t="shared" ca="1" si="18"/>
        <v>2021/5/14</v>
      </c>
      <c r="B252" s="22" t="str">
        <f t="shared" ca="1" si="19"/>
        <v>15:15:01</v>
      </c>
      <c r="C252" s="23">
        <v>1</v>
      </c>
      <c r="D252" t="str">
        <f t="shared" si="20"/>
        <v>Stock</v>
      </c>
      <c r="E252" s="26" t="str">
        <f t="shared" si="21"/>
        <v>3703</v>
      </c>
      <c r="F252" s="3" t="s">
        <v>803</v>
      </c>
      <c r="G252" s="2" t="s">
        <v>2114</v>
      </c>
      <c r="H252" s="2">
        <v>24.65</v>
      </c>
      <c r="J252" s="2">
        <f t="shared" si="22"/>
        <v>24.65</v>
      </c>
      <c r="K252" s="35" t="str">
        <f t="shared" ca="1" si="23"/>
        <v>INSERT INTO ETFValue (DataDate, TimeCategory, ProductType, ProductLink, ProductCode, ProductName, NAV, Price, RecTime) VALUES ('2021/5/14','1', 'Stock', '3703','3703','欣陸','24.65','24.65','15:15:01');</v>
      </c>
    </row>
    <row r="253" spans="1:11">
      <c r="A253" s="21" t="str">
        <f t="shared" ca="1" si="18"/>
        <v>2021/5/14</v>
      </c>
      <c r="B253" s="22" t="str">
        <f t="shared" ca="1" si="19"/>
        <v>15:15:01</v>
      </c>
      <c r="C253" s="23">
        <v>1</v>
      </c>
      <c r="D253" t="str">
        <f t="shared" si="20"/>
        <v>Stock</v>
      </c>
      <c r="E253" s="26" t="str">
        <f t="shared" si="21"/>
        <v>3706</v>
      </c>
      <c r="F253" s="3" t="s">
        <v>329</v>
      </c>
      <c r="G253" s="2" t="s">
        <v>2115</v>
      </c>
      <c r="H253" s="2">
        <v>27.45</v>
      </c>
      <c r="J253" s="2">
        <f t="shared" si="22"/>
        <v>27.45</v>
      </c>
      <c r="K253" s="35" t="str">
        <f t="shared" ca="1" si="23"/>
        <v>INSERT INTO ETFValue (DataDate, TimeCategory, ProductType, ProductLink, ProductCode, ProductName, NAV, Price, RecTime) VALUES ('2021/5/14','1', 'Stock', '3706','3706','神達','27.45','27.45','15:15:01');</v>
      </c>
    </row>
    <row r="254" spans="1:11">
      <c r="A254" s="21" t="str">
        <f t="shared" ca="1" si="18"/>
        <v>2021/5/14</v>
      </c>
      <c r="B254" s="22" t="str">
        <f t="shared" ca="1" si="19"/>
        <v>15:15:01</v>
      </c>
      <c r="C254" s="23">
        <v>1</v>
      </c>
      <c r="D254" t="str">
        <f t="shared" si="20"/>
        <v>Stock</v>
      </c>
      <c r="E254" s="26" t="str">
        <f t="shared" si="21"/>
        <v>3707</v>
      </c>
      <c r="F254" s="3" t="s">
        <v>889</v>
      </c>
      <c r="G254" s="2" t="s">
        <v>2116</v>
      </c>
      <c r="H254" s="2">
        <v>51.8</v>
      </c>
      <c r="J254" s="2">
        <f t="shared" si="22"/>
        <v>51.8</v>
      </c>
      <c r="K254" s="35" t="str">
        <f t="shared" ca="1" si="23"/>
        <v>INSERT INTO ETFValue (DataDate, TimeCategory, ProductType, ProductLink, ProductCode, ProductName, NAV, Price, RecTime) VALUES ('2021/5/14','1', 'Stock', '3707','3707','漢磊','51.8','51.8','15:15:01');</v>
      </c>
    </row>
    <row r="255" spans="1:11">
      <c r="A255" s="21" t="str">
        <f t="shared" ca="1" si="18"/>
        <v>2021/5/14</v>
      </c>
      <c r="B255" s="22" t="str">
        <f t="shared" ca="1" si="19"/>
        <v>15:15:01</v>
      </c>
      <c r="C255" s="23">
        <v>1</v>
      </c>
      <c r="D255" t="str">
        <f t="shared" si="20"/>
        <v>Stock</v>
      </c>
      <c r="E255" s="26" t="str">
        <f t="shared" si="21"/>
        <v>3708</v>
      </c>
      <c r="F255" s="3" t="s">
        <v>781</v>
      </c>
      <c r="G255" s="2" t="s">
        <v>2117</v>
      </c>
      <c r="H255" s="2">
        <v>115</v>
      </c>
      <c r="J255" s="2">
        <f t="shared" si="22"/>
        <v>115</v>
      </c>
      <c r="K255" s="35" t="str">
        <f t="shared" ca="1" si="23"/>
        <v>INSERT INTO ETFValue (DataDate, TimeCategory, ProductType, ProductLink, ProductCode, ProductName, NAV, Price, RecTime) VALUES ('2021/5/14','1', 'Stock', '3708','3708','上緯投控','115','115','15:15:01');</v>
      </c>
    </row>
    <row r="256" spans="1:11">
      <c r="A256" s="21" t="str">
        <f t="shared" ca="1" si="18"/>
        <v>2021/5/14</v>
      </c>
      <c r="B256" s="22" t="str">
        <f t="shared" ca="1" si="19"/>
        <v>15:15:01</v>
      </c>
      <c r="C256" s="23">
        <v>1</v>
      </c>
      <c r="D256" t="str">
        <f t="shared" si="20"/>
        <v>Stock</v>
      </c>
      <c r="E256" s="26" t="str">
        <f t="shared" si="21"/>
        <v>3711</v>
      </c>
      <c r="F256" s="3" t="s">
        <v>330</v>
      </c>
      <c r="G256" s="2" t="s">
        <v>2118</v>
      </c>
      <c r="H256" s="2">
        <v>105</v>
      </c>
      <c r="J256" s="2">
        <f t="shared" si="22"/>
        <v>105</v>
      </c>
      <c r="K256" s="35" t="str">
        <f t="shared" ca="1" si="23"/>
        <v>INSERT INTO ETFValue (DataDate, TimeCategory, ProductType, ProductLink, ProductCode, ProductName, NAV, Price, RecTime) VALUES ('2021/5/14','1', 'Stock', '3711','3711','日月光投控','105','105','15:15:01');</v>
      </c>
    </row>
    <row r="257" spans="1:11">
      <c r="A257" s="21" t="str">
        <f t="shared" ca="1" si="18"/>
        <v>2021/5/14</v>
      </c>
      <c r="B257" s="22" t="str">
        <f t="shared" ca="1" si="19"/>
        <v>15:15:01</v>
      </c>
      <c r="C257" s="23">
        <v>1</v>
      </c>
      <c r="D257" t="str">
        <f t="shared" si="20"/>
        <v>Stock</v>
      </c>
      <c r="E257" s="26" t="str">
        <f t="shared" si="21"/>
        <v>4105</v>
      </c>
      <c r="F257" s="3" t="s">
        <v>890</v>
      </c>
      <c r="G257" s="2" t="s">
        <v>2119</v>
      </c>
      <c r="H257" s="2">
        <v>80.5</v>
      </c>
      <c r="J257" s="2">
        <f t="shared" si="22"/>
        <v>80.5</v>
      </c>
      <c r="K257" s="35" t="str">
        <f t="shared" ca="1" si="23"/>
        <v>INSERT INTO ETFValue (DataDate, TimeCategory, ProductType, ProductLink, ProductCode, ProductName, NAV, Price, RecTime) VALUES ('2021/5/14','1', 'Stock', '4105','4105','東洋','80.5','80.5','15:15:01');</v>
      </c>
    </row>
    <row r="258" spans="1:11">
      <c r="A258" s="21" t="str">
        <f t="shared" ca="1" si="18"/>
        <v>2021/5/14</v>
      </c>
      <c r="B258" s="22" t="str">
        <f t="shared" ca="1" si="19"/>
        <v>15:15:01</v>
      </c>
      <c r="C258" s="23">
        <v>1</v>
      </c>
      <c r="D258" t="str">
        <f t="shared" si="20"/>
        <v>Stock</v>
      </c>
      <c r="E258" s="26" t="str">
        <f t="shared" si="21"/>
        <v>4107</v>
      </c>
      <c r="F258" s="3" t="s">
        <v>891</v>
      </c>
      <c r="G258" s="2" t="s">
        <v>2120</v>
      </c>
      <c r="H258" s="2">
        <v>115</v>
      </c>
      <c r="J258" s="2">
        <f t="shared" si="22"/>
        <v>115</v>
      </c>
      <c r="K258" s="35" t="str">
        <f t="shared" ca="1" si="23"/>
        <v>INSERT INTO ETFValue (DataDate, TimeCategory, ProductType, ProductLink, ProductCode, ProductName, NAV, Price, RecTime) VALUES ('2021/5/14','1', 'Stock', '4107','4107','邦特','115','115','15:15:01');</v>
      </c>
    </row>
    <row r="259" spans="1:11">
      <c r="A259" s="21" t="str">
        <f t="shared" ca="1" si="18"/>
        <v>2021/5/14</v>
      </c>
      <c r="B259" s="22" t="str">
        <f t="shared" ca="1" si="19"/>
        <v>15:15:01</v>
      </c>
      <c r="C259" s="23">
        <v>1</v>
      </c>
      <c r="D259" t="str">
        <f t="shared" si="20"/>
        <v>Stock</v>
      </c>
      <c r="E259" s="26" t="str">
        <f t="shared" si="21"/>
        <v>4113</v>
      </c>
      <c r="F259" s="3" t="s">
        <v>892</v>
      </c>
      <c r="G259" s="2" t="s">
        <v>2121</v>
      </c>
      <c r="H259" s="2">
        <v>13</v>
      </c>
      <c r="J259" s="2">
        <f t="shared" si="22"/>
        <v>13</v>
      </c>
      <c r="K259" s="35" t="str">
        <f t="shared" ca="1" si="23"/>
        <v>INSERT INTO ETFValue (DataDate, TimeCategory, ProductType, ProductLink, ProductCode, ProductName, NAV, Price, RecTime) VALUES ('2021/5/14','1', 'Stock', '4113','4113','聯上','13','13','15:15:01');</v>
      </c>
    </row>
    <row r="260" spans="1:11">
      <c r="A260" s="21" t="str">
        <f t="shared" ca="1" si="18"/>
        <v>2021/5/14</v>
      </c>
      <c r="B260" s="22" t="str">
        <f t="shared" ca="1" si="19"/>
        <v>15:15:01</v>
      </c>
      <c r="C260" s="23">
        <v>1</v>
      </c>
      <c r="D260" t="str">
        <f t="shared" si="20"/>
        <v>Stock</v>
      </c>
      <c r="E260" s="26" t="str">
        <f t="shared" si="21"/>
        <v>4114</v>
      </c>
      <c r="F260" s="3" t="s">
        <v>893</v>
      </c>
      <c r="G260" s="2" t="s">
        <v>2122</v>
      </c>
      <c r="H260" s="2">
        <v>24.6</v>
      </c>
      <c r="J260" s="2">
        <f t="shared" si="22"/>
        <v>24.6</v>
      </c>
      <c r="K260" s="35" t="str">
        <f t="shared" ca="1" si="23"/>
        <v>INSERT INTO ETFValue (DataDate, TimeCategory, ProductType, ProductLink, ProductCode, ProductName, NAV, Price, RecTime) VALUES ('2021/5/14','1', 'Stock', '4114','4114','健喬','24.6','24.6','15:15:01');</v>
      </c>
    </row>
    <row r="261" spans="1:11">
      <c r="A261" s="21" t="str">
        <f t="shared" ca="1" si="18"/>
        <v>2021/5/14</v>
      </c>
      <c r="B261" s="22" t="str">
        <f t="shared" ca="1" si="19"/>
        <v>15:15:01</v>
      </c>
      <c r="C261" s="23">
        <v>1</v>
      </c>
      <c r="D261" t="str">
        <f t="shared" si="20"/>
        <v>Stock</v>
      </c>
      <c r="E261" s="26" t="str">
        <f t="shared" si="21"/>
        <v>4119</v>
      </c>
      <c r="F261" s="3" t="s">
        <v>782</v>
      </c>
      <c r="G261" s="2" t="s">
        <v>2123</v>
      </c>
      <c r="H261" s="2">
        <v>83</v>
      </c>
      <c r="J261" s="2">
        <f t="shared" si="22"/>
        <v>83</v>
      </c>
      <c r="K261" s="35" t="str">
        <f t="shared" ca="1" si="23"/>
        <v>INSERT INTO ETFValue (DataDate, TimeCategory, ProductType, ProductLink, ProductCode, ProductName, NAV, Price, RecTime) VALUES ('2021/5/14','1', 'Stock', '4119','4119','旭富','83','83','15:15:01');</v>
      </c>
    </row>
    <row r="262" spans="1:11">
      <c r="A262" s="21" t="str">
        <f t="shared" ca="1" si="18"/>
        <v>2021/5/14</v>
      </c>
      <c r="B262" s="22" t="str">
        <f t="shared" ca="1" si="19"/>
        <v>15:15:01</v>
      </c>
      <c r="C262" s="23">
        <v>1</v>
      </c>
      <c r="D262" t="str">
        <f t="shared" si="20"/>
        <v>Stock</v>
      </c>
      <c r="E262" s="26" t="str">
        <f t="shared" si="21"/>
        <v>4120</v>
      </c>
      <c r="F262" s="3" t="s">
        <v>1068</v>
      </c>
      <c r="G262" s="2" t="s">
        <v>2124</v>
      </c>
      <c r="H262" s="2">
        <v>42</v>
      </c>
      <c r="J262" s="2">
        <f t="shared" si="22"/>
        <v>42</v>
      </c>
      <c r="K262" s="35" t="str">
        <f t="shared" ca="1" si="23"/>
        <v>INSERT INTO ETFValue (DataDate, TimeCategory, ProductType, ProductLink, ProductCode, ProductName, NAV, Price, RecTime) VALUES ('2021/5/14','1', 'Stock', '4120','4120','友華','42','42','15:15:01');</v>
      </c>
    </row>
    <row r="263" spans="1:11">
      <c r="A263" s="21" t="str">
        <f t="shared" ref="A263:A326" ca="1" si="24">TEXT($Q$1,"yyyy/m/dd")</f>
        <v>2021/5/14</v>
      </c>
      <c r="B263" s="22" t="str">
        <f t="shared" ref="B263:B326" ca="1" si="25">$Q$2</f>
        <v>15:15:01</v>
      </c>
      <c r="C263" s="23">
        <v>1</v>
      </c>
      <c r="D263" t="str">
        <f t="shared" ref="D263:D326" si="26">IF(LEFT(G263,2)="00","ETF","Stock")</f>
        <v>Stock</v>
      </c>
      <c r="E263" s="26" t="str">
        <f t="shared" ref="E263:E326" si="27">F263</f>
        <v>4123</v>
      </c>
      <c r="F263" s="3" t="s">
        <v>894</v>
      </c>
      <c r="G263" s="2" t="s">
        <v>2125</v>
      </c>
      <c r="H263" s="2">
        <v>65.2</v>
      </c>
      <c r="J263" s="2">
        <f t="shared" ref="J263:J326" si="28">IF($H263&lt;&gt;"",$H263,$I263)</f>
        <v>65.2</v>
      </c>
      <c r="K263" s="35" t="str">
        <f t="shared" ref="K263:K326" ca="1" si="29">"INSERT INTO ETFValue (DataDate, TimeCategory, ProductType, ProductLink, ProductCode, ProductName, NAV, Price, RecTime) VALUES ("&amp;"'"&amp;TEXT(A263,"yyyy/m/dd")&amp;"','"&amp; C263&amp;"', '"&amp;D263&amp;"', '"&amp;E263&amp;"','"&amp;F263&amp;"','"&amp;G263&amp;"','"&amp;ROUND(J263,4)&amp;"','"&amp;J263&amp;"','"&amp;TEXT($Q$2,"hh:mm:ss")&amp;"');"</f>
        <v>INSERT INTO ETFValue (DataDate, TimeCategory, ProductType, ProductLink, ProductCode, ProductName, NAV, Price, RecTime) VALUES ('2021/5/14','1', 'Stock', '4123','4123','晟德','65.2','65.2','15:15:01');</v>
      </c>
    </row>
    <row r="264" spans="1:11">
      <c r="A264" s="21" t="str">
        <f t="shared" ca="1" si="24"/>
        <v>2021/5/14</v>
      </c>
      <c r="B264" s="22" t="str">
        <f t="shared" ca="1" si="25"/>
        <v>15:15:01</v>
      </c>
      <c r="C264" s="23">
        <v>1</v>
      </c>
      <c r="D264" t="str">
        <f t="shared" si="26"/>
        <v>Stock</v>
      </c>
      <c r="E264" s="26" t="str">
        <f t="shared" si="27"/>
        <v>4126</v>
      </c>
      <c r="F264" s="3" t="s">
        <v>1051</v>
      </c>
      <c r="G264" s="2" t="s">
        <v>2126</v>
      </c>
      <c r="H264" s="2">
        <v>71.400000000000006</v>
      </c>
      <c r="J264" s="2">
        <f t="shared" si="28"/>
        <v>71.400000000000006</v>
      </c>
      <c r="K264" s="35" t="str">
        <f t="shared" ca="1" si="29"/>
        <v>INSERT INTO ETFValue (DataDate, TimeCategory, ProductType, ProductLink, ProductCode, ProductName, NAV, Price, RecTime) VALUES ('2021/5/14','1', 'Stock', '4126','4126','太醫','71.4','71.4','15:15:01');</v>
      </c>
    </row>
    <row r="265" spans="1:11">
      <c r="A265" s="21" t="str">
        <f t="shared" ca="1" si="24"/>
        <v>2021/5/14</v>
      </c>
      <c r="B265" s="22" t="str">
        <f t="shared" ca="1" si="25"/>
        <v>15:15:01</v>
      </c>
      <c r="C265" s="23">
        <v>1</v>
      </c>
      <c r="D265" t="str">
        <f t="shared" si="26"/>
        <v>Stock</v>
      </c>
      <c r="E265" s="26" t="str">
        <f t="shared" si="27"/>
        <v>4129</v>
      </c>
      <c r="F265" s="3" t="s">
        <v>895</v>
      </c>
      <c r="G265" s="2" t="s">
        <v>2127</v>
      </c>
      <c r="H265" s="2">
        <v>31.85</v>
      </c>
      <c r="J265" s="2">
        <f t="shared" si="28"/>
        <v>31.85</v>
      </c>
      <c r="K265" s="35" t="str">
        <f t="shared" ca="1" si="29"/>
        <v>INSERT INTO ETFValue (DataDate, TimeCategory, ProductType, ProductLink, ProductCode, ProductName, NAV, Price, RecTime) VALUES ('2021/5/14','1', 'Stock', '4129','4129','聯合','31.85','31.85','15:15:01');</v>
      </c>
    </row>
    <row r="266" spans="1:11">
      <c r="A266" s="21" t="str">
        <f t="shared" ca="1" si="24"/>
        <v>2021/5/14</v>
      </c>
      <c r="B266" s="22" t="str">
        <f t="shared" ca="1" si="25"/>
        <v>15:15:01</v>
      </c>
      <c r="C266" s="23">
        <v>1</v>
      </c>
      <c r="D266" t="str">
        <f t="shared" si="26"/>
        <v>Stock</v>
      </c>
      <c r="E266" s="26" t="str">
        <f t="shared" si="27"/>
        <v>4130</v>
      </c>
      <c r="F266" s="3" t="s">
        <v>896</v>
      </c>
      <c r="G266" s="2" t="s">
        <v>2128</v>
      </c>
      <c r="H266" s="2">
        <v>26.3</v>
      </c>
      <c r="J266" s="2">
        <f t="shared" si="28"/>
        <v>26.3</v>
      </c>
      <c r="K266" s="35" t="str">
        <f t="shared" ca="1" si="29"/>
        <v>INSERT INTO ETFValue (DataDate, TimeCategory, ProductType, ProductLink, ProductCode, ProductName, NAV, Price, RecTime) VALUES ('2021/5/14','1', 'Stock', '4130','4130','健亞','26.3','26.3','15:15:01');</v>
      </c>
    </row>
    <row r="267" spans="1:11">
      <c r="A267" s="21" t="str">
        <f t="shared" ca="1" si="24"/>
        <v>2021/5/14</v>
      </c>
      <c r="B267" s="22" t="str">
        <f t="shared" ca="1" si="25"/>
        <v>15:15:01</v>
      </c>
      <c r="C267" s="23">
        <v>1</v>
      </c>
      <c r="D267" t="str">
        <f t="shared" si="26"/>
        <v>Stock</v>
      </c>
      <c r="E267" s="26" t="str">
        <f t="shared" si="27"/>
        <v>4147</v>
      </c>
      <c r="F267" s="3" t="s">
        <v>433</v>
      </c>
      <c r="G267" s="2" t="s">
        <v>2129</v>
      </c>
      <c r="H267" s="2">
        <v>63.4</v>
      </c>
      <c r="J267" s="2">
        <f t="shared" si="28"/>
        <v>63.4</v>
      </c>
      <c r="K267" s="35" t="str">
        <f t="shared" ca="1" si="29"/>
        <v>INSERT INTO ETFValue (DataDate, TimeCategory, ProductType, ProductLink, ProductCode, ProductName, NAV, Price, RecTime) VALUES ('2021/5/14','1', 'Stock', '4147','4147','中裕','63.4','63.4','15:15:01');</v>
      </c>
    </row>
    <row r="268" spans="1:11">
      <c r="A268" s="21" t="str">
        <f t="shared" ca="1" si="24"/>
        <v>2021/5/14</v>
      </c>
      <c r="B268" s="22" t="str">
        <f t="shared" ca="1" si="25"/>
        <v>15:15:01</v>
      </c>
      <c r="C268" s="23">
        <v>1</v>
      </c>
      <c r="D268" t="str">
        <f t="shared" si="26"/>
        <v>Stock</v>
      </c>
      <c r="E268" s="26" t="str">
        <f t="shared" si="27"/>
        <v>4153</v>
      </c>
      <c r="F268" s="3" t="s">
        <v>897</v>
      </c>
      <c r="G268" s="2" t="s">
        <v>2130</v>
      </c>
      <c r="H268" s="2">
        <v>25.6</v>
      </c>
      <c r="J268" s="2">
        <f t="shared" si="28"/>
        <v>25.6</v>
      </c>
      <c r="K268" s="35" t="str">
        <f t="shared" ca="1" si="29"/>
        <v>INSERT INTO ETFValue (DataDate, TimeCategory, ProductType, ProductLink, ProductCode, ProductName, NAV, Price, RecTime) VALUES ('2021/5/14','1', 'Stock', '4153','4153','鈺緯','25.6','25.6','15:15:01');</v>
      </c>
    </row>
    <row r="269" spans="1:11">
      <c r="A269" s="21" t="str">
        <f t="shared" ca="1" si="24"/>
        <v>2021/5/14</v>
      </c>
      <c r="B269" s="22" t="str">
        <f t="shared" ca="1" si="25"/>
        <v>15:15:01</v>
      </c>
      <c r="C269" s="23">
        <v>1</v>
      </c>
      <c r="D269" t="str">
        <f t="shared" si="26"/>
        <v>Stock</v>
      </c>
      <c r="E269" s="26" t="str">
        <f t="shared" si="27"/>
        <v>4157</v>
      </c>
      <c r="F269" s="3" t="s">
        <v>898</v>
      </c>
      <c r="G269" s="2" t="s">
        <v>2131</v>
      </c>
      <c r="H269" s="2">
        <v>20.8</v>
      </c>
      <c r="J269" s="2">
        <f t="shared" si="28"/>
        <v>20.8</v>
      </c>
      <c r="K269" s="35" t="str">
        <f t="shared" ca="1" si="29"/>
        <v>INSERT INTO ETFValue (DataDate, TimeCategory, ProductType, ProductLink, ProductCode, ProductName, NAV, Price, RecTime) VALUES ('2021/5/14','1', 'Stock', '4157','4157','太景*-KY','20.8','20.8','15:15:01');</v>
      </c>
    </row>
    <row r="270" spans="1:11">
      <c r="A270" s="21" t="str">
        <f t="shared" ca="1" si="24"/>
        <v>2021/5/14</v>
      </c>
      <c r="B270" s="22" t="str">
        <f t="shared" ca="1" si="25"/>
        <v>15:15:01</v>
      </c>
      <c r="C270" s="23">
        <v>1</v>
      </c>
      <c r="D270" t="str">
        <f t="shared" si="26"/>
        <v>Stock</v>
      </c>
      <c r="E270" s="26" t="str">
        <f t="shared" si="27"/>
        <v>4162</v>
      </c>
      <c r="F270" s="3" t="s">
        <v>899</v>
      </c>
      <c r="G270" s="2" t="s">
        <v>2132</v>
      </c>
      <c r="H270" s="2">
        <v>64.599999999999994</v>
      </c>
      <c r="J270" s="2">
        <f t="shared" si="28"/>
        <v>64.599999999999994</v>
      </c>
      <c r="K270" s="35" t="str">
        <f t="shared" ca="1" si="29"/>
        <v>INSERT INTO ETFValue (DataDate, TimeCategory, ProductType, ProductLink, ProductCode, ProductName, NAV, Price, RecTime) VALUES ('2021/5/14','1', 'Stock', '4162','4162','智擎','64.6','64.6','15:15:01');</v>
      </c>
    </row>
    <row r="271" spans="1:11">
      <c r="A271" s="21" t="str">
        <f t="shared" ca="1" si="24"/>
        <v>2021/5/14</v>
      </c>
      <c r="B271" s="22" t="str">
        <f t="shared" ca="1" si="25"/>
        <v>15:15:01</v>
      </c>
      <c r="C271" s="23">
        <v>1</v>
      </c>
      <c r="D271" t="str">
        <f t="shared" si="26"/>
        <v>Stock</v>
      </c>
      <c r="E271" s="26" t="str">
        <f t="shared" si="27"/>
        <v>4163</v>
      </c>
      <c r="F271" s="3" t="s">
        <v>900</v>
      </c>
      <c r="G271" s="2" t="s">
        <v>2133</v>
      </c>
      <c r="H271" s="2">
        <v>84.2</v>
      </c>
      <c r="J271" s="2">
        <f t="shared" si="28"/>
        <v>84.2</v>
      </c>
      <c r="K271" s="35" t="str">
        <f t="shared" ca="1" si="29"/>
        <v>INSERT INTO ETFValue (DataDate, TimeCategory, ProductType, ProductLink, ProductCode, ProductName, NAV, Price, RecTime) VALUES ('2021/5/14','1', 'Stock', '4163','4163','鐿鈦','84.2','84.2','15:15:01');</v>
      </c>
    </row>
    <row r="272" spans="1:11">
      <c r="A272" s="21" t="str">
        <f t="shared" ca="1" si="24"/>
        <v>2021/5/14</v>
      </c>
      <c r="B272" s="22" t="str">
        <f t="shared" ca="1" si="25"/>
        <v>15:15:01</v>
      </c>
      <c r="C272" s="23">
        <v>1</v>
      </c>
      <c r="D272" t="str">
        <f t="shared" si="26"/>
        <v>Stock</v>
      </c>
      <c r="E272" s="26" t="str">
        <f t="shared" si="27"/>
        <v>4167</v>
      </c>
      <c r="F272" s="3" t="s">
        <v>901</v>
      </c>
      <c r="G272" s="2" t="s">
        <v>2134</v>
      </c>
      <c r="H272" s="2">
        <v>29.5</v>
      </c>
      <c r="J272" s="2">
        <f t="shared" si="28"/>
        <v>29.5</v>
      </c>
      <c r="K272" s="35" t="str">
        <f t="shared" ca="1" si="29"/>
        <v>INSERT INTO ETFValue (DataDate, TimeCategory, ProductType, ProductLink, ProductCode, ProductName, NAV, Price, RecTime) VALUES ('2021/5/14','1', 'Stock', '4167','4167','松瑞藥','29.5','29.5','15:15:01');</v>
      </c>
    </row>
    <row r="273" spans="1:11">
      <c r="A273" s="21" t="str">
        <f t="shared" ca="1" si="24"/>
        <v>2021/5/14</v>
      </c>
      <c r="B273" s="22" t="str">
        <f t="shared" ca="1" si="25"/>
        <v>15:15:01</v>
      </c>
      <c r="C273" s="23">
        <v>1</v>
      </c>
      <c r="D273" t="str">
        <f t="shared" si="26"/>
        <v>Stock</v>
      </c>
      <c r="E273" s="26" t="str">
        <f t="shared" si="27"/>
        <v>4168</v>
      </c>
      <c r="F273" s="3" t="s">
        <v>1052</v>
      </c>
      <c r="G273" s="2" t="s">
        <v>2135</v>
      </c>
      <c r="H273" s="2">
        <v>29.3</v>
      </c>
      <c r="J273" s="2">
        <f t="shared" si="28"/>
        <v>29.3</v>
      </c>
      <c r="K273" s="35" t="str">
        <f t="shared" ca="1" si="29"/>
        <v>INSERT INTO ETFValue (DataDate, TimeCategory, ProductType, ProductLink, ProductCode, ProductName, NAV, Price, RecTime) VALUES ('2021/5/14','1', 'Stock', '4168','4168','醣聯','29.3','29.3','15:15:01');</v>
      </c>
    </row>
    <row r="274" spans="1:11">
      <c r="A274" s="21" t="str">
        <f t="shared" ca="1" si="24"/>
        <v>2021/5/14</v>
      </c>
      <c r="B274" s="22" t="str">
        <f t="shared" ca="1" si="25"/>
        <v>15:15:01</v>
      </c>
      <c r="C274" s="23">
        <v>1</v>
      </c>
      <c r="D274" t="str">
        <f t="shared" si="26"/>
        <v>Stock</v>
      </c>
      <c r="E274" s="26" t="str">
        <f t="shared" si="27"/>
        <v>4174</v>
      </c>
      <c r="F274" s="3" t="s">
        <v>902</v>
      </c>
      <c r="G274" s="2" t="s">
        <v>2136</v>
      </c>
      <c r="H274" s="2">
        <v>118</v>
      </c>
      <c r="J274" s="2">
        <f t="shared" si="28"/>
        <v>118</v>
      </c>
      <c r="K274" s="35" t="str">
        <f t="shared" ca="1" si="29"/>
        <v>INSERT INTO ETFValue (DataDate, TimeCategory, ProductType, ProductLink, ProductCode, ProductName, NAV, Price, RecTime) VALUES ('2021/5/14','1', 'Stock', '4174','4174','浩鼎','118','118','15:15:01');</v>
      </c>
    </row>
    <row r="275" spans="1:11">
      <c r="A275" s="21" t="str">
        <f t="shared" ca="1" si="24"/>
        <v>2021/5/14</v>
      </c>
      <c r="B275" s="22" t="str">
        <f t="shared" ca="1" si="25"/>
        <v>15:15:01</v>
      </c>
      <c r="C275" s="23">
        <v>1</v>
      </c>
      <c r="D275" t="str">
        <f t="shared" si="26"/>
        <v>Stock</v>
      </c>
      <c r="E275" s="26" t="str">
        <f t="shared" si="27"/>
        <v>4188</v>
      </c>
      <c r="F275" s="3" t="s">
        <v>1053</v>
      </c>
      <c r="G275" s="2" t="s">
        <v>2137</v>
      </c>
      <c r="H275" s="2">
        <v>18.600000000000001</v>
      </c>
      <c r="J275" s="2">
        <f t="shared" si="28"/>
        <v>18.600000000000001</v>
      </c>
      <c r="K275" s="35" t="str">
        <f t="shared" ca="1" si="29"/>
        <v>INSERT INTO ETFValue (DataDate, TimeCategory, ProductType, ProductLink, ProductCode, ProductName, NAV, Price, RecTime) VALUES ('2021/5/14','1', 'Stock', '4188','4188','安克','18.6','18.6','15:15:01');</v>
      </c>
    </row>
    <row r="276" spans="1:11">
      <c r="A276" s="21" t="str">
        <f t="shared" ca="1" si="24"/>
        <v>2021/5/14</v>
      </c>
      <c r="B276" s="22" t="str">
        <f t="shared" ca="1" si="25"/>
        <v>15:15:01</v>
      </c>
      <c r="C276" s="23">
        <v>1</v>
      </c>
      <c r="D276" t="str">
        <f t="shared" si="26"/>
        <v>Stock</v>
      </c>
      <c r="E276" s="26" t="str">
        <f t="shared" si="27"/>
        <v>4207</v>
      </c>
      <c r="F276" s="3" t="s">
        <v>1054</v>
      </c>
      <c r="G276" s="2" t="s">
        <v>2138</v>
      </c>
      <c r="H276" s="2">
        <v>12.9</v>
      </c>
      <c r="J276" s="2">
        <f t="shared" si="28"/>
        <v>12.9</v>
      </c>
      <c r="K276" s="35" t="str">
        <f t="shared" ca="1" si="29"/>
        <v>INSERT INTO ETFValue (DataDate, TimeCategory, ProductType, ProductLink, ProductCode, ProductName, NAV, Price, RecTime) VALUES ('2021/5/14','1', 'Stock', '4207','4207','環泰','12.9','12.9','15:15:01');</v>
      </c>
    </row>
    <row r="277" spans="1:11">
      <c r="A277" s="21" t="str">
        <f t="shared" ca="1" si="24"/>
        <v>2021/5/14</v>
      </c>
      <c r="B277" s="22" t="str">
        <f t="shared" ca="1" si="25"/>
        <v>15:15:01</v>
      </c>
      <c r="C277" s="23">
        <v>1</v>
      </c>
      <c r="D277" t="str">
        <f t="shared" si="26"/>
        <v>Stock</v>
      </c>
      <c r="E277" s="26" t="str">
        <f t="shared" si="27"/>
        <v>4401</v>
      </c>
      <c r="F277" s="3" t="s">
        <v>903</v>
      </c>
      <c r="G277" s="2" t="s">
        <v>2139</v>
      </c>
      <c r="H277" s="2">
        <v>34.4</v>
      </c>
      <c r="J277" s="2">
        <f t="shared" si="28"/>
        <v>34.4</v>
      </c>
      <c r="K277" s="35" t="str">
        <f t="shared" ca="1" si="29"/>
        <v>INSERT INTO ETFValue (DataDate, TimeCategory, ProductType, ProductLink, ProductCode, ProductName, NAV, Price, RecTime) VALUES ('2021/5/14','1', 'Stock', '4401','4401','東隆興','34.4','34.4','15:15:01');</v>
      </c>
    </row>
    <row r="278" spans="1:11">
      <c r="A278" s="21" t="str">
        <f t="shared" ca="1" si="24"/>
        <v>2021/5/14</v>
      </c>
      <c r="B278" s="22" t="str">
        <f t="shared" ca="1" si="25"/>
        <v>15:15:01</v>
      </c>
      <c r="C278" s="23">
        <v>1</v>
      </c>
      <c r="D278" t="str">
        <f t="shared" si="26"/>
        <v>Stock</v>
      </c>
      <c r="E278" s="26" t="str">
        <f t="shared" si="27"/>
        <v>4417</v>
      </c>
      <c r="F278" s="3" t="s">
        <v>904</v>
      </c>
      <c r="G278" s="2" t="s">
        <v>2140</v>
      </c>
      <c r="H278" s="2">
        <v>37.049999999999997</v>
      </c>
      <c r="J278" s="2">
        <f t="shared" si="28"/>
        <v>37.049999999999997</v>
      </c>
      <c r="K278" s="35" t="str">
        <f t="shared" ca="1" si="29"/>
        <v>INSERT INTO ETFValue (DataDate, TimeCategory, ProductType, ProductLink, ProductCode, ProductName, NAV, Price, RecTime) VALUES ('2021/5/14','1', 'Stock', '4417','4417','金洲','37.05','37.05','15:15:01');</v>
      </c>
    </row>
    <row r="279" spans="1:11">
      <c r="A279" s="21" t="str">
        <f t="shared" ca="1" si="24"/>
        <v>2021/5/14</v>
      </c>
      <c r="B279" s="22" t="str">
        <f t="shared" ca="1" si="25"/>
        <v>15:15:01</v>
      </c>
      <c r="C279" s="23">
        <v>1</v>
      </c>
      <c r="D279" t="str">
        <f t="shared" si="26"/>
        <v>Stock</v>
      </c>
      <c r="E279" s="26" t="str">
        <f t="shared" si="27"/>
        <v>4506</v>
      </c>
      <c r="F279" s="3" t="s">
        <v>1055</v>
      </c>
      <c r="G279" s="2" t="s">
        <v>2141</v>
      </c>
      <c r="H279" s="2">
        <v>57.6</v>
      </c>
      <c r="J279" s="2">
        <f t="shared" si="28"/>
        <v>57.6</v>
      </c>
      <c r="K279" s="35" t="str">
        <f t="shared" ca="1" si="29"/>
        <v>INSERT INTO ETFValue (DataDate, TimeCategory, ProductType, ProductLink, ProductCode, ProductName, NAV, Price, RecTime) VALUES ('2021/5/14','1', 'Stock', '4506','4506','崇友','57.6','57.6','15:15:01');</v>
      </c>
    </row>
    <row r="280" spans="1:11">
      <c r="A280" s="21" t="str">
        <f t="shared" ca="1" si="24"/>
        <v>2021/5/14</v>
      </c>
      <c r="B280" s="22" t="str">
        <f t="shared" ca="1" si="25"/>
        <v>15:15:01</v>
      </c>
      <c r="C280" s="23">
        <v>1</v>
      </c>
      <c r="D280" t="str">
        <f t="shared" si="26"/>
        <v>Stock</v>
      </c>
      <c r="E280" s="26" t="str">
        <f t="shared" si="27"/>
        <v>4528</v>
      </c>
      <c r="F280" s="3" t="s">
        <v>905</v>
      </c>
      <c r="G280" s="2" t="s">
        <v>2142</v>
      </c>
      <c r="H280" s="2">
        <v>41.8</v>
      </c>
      <c r="J280" s="2">
        <f t="shared" si="28"/>
        <v>41.8</v>
      </c>
      <c r="K280" s="35" t="str">
        <f t="shared" ca="1" si="29"/>
        <v>INSERT INTO ETFValue (DataDate, TimeCategory, ProductType, ProductLink, ProductCode, ProductName, NAV, Price, RecTime) VALUES ('2021/5/14','1', 'Stock', '4528','4528','江興鍛','41.8','41.8','15:15:01');</v>
      </c>
    </row>
    <row r="281" spans="1:11">
      <c r="A281" s="21" t="str">
        <f t="shared" ca="1" si="24"/>
        <v>2021/5/14</v>
      </c>
      <c r="B281" s="22" t="str">
        <f t="shared" ca="1" si="25"/>
        <v>15:15:01</v>
      </c>
      <c r="C281" s="23">
        <v>1</v>
      </c>
      <c r="D281" t="str">
        <f t="shared" si="26"/>
        <v>Stock</v>
      </c>
      <c r="E281" s="26" t="str">
        <f t="shared" si="27"/>
        <v>4535</v>
      </c>
      <c r="F281" s="3" t="s">
        <v>1069</v>
      </c>
      <c r="G281" s="2" t="s">
        <v>2143</v>
      </c>
      <c r="H281" s="2">
        <v>34.299999999999997</v>
      </c>
      <c r="J281" s="2">
        <f t="shared" si="28"/>
        <v>34.299999999999997</v>
      </c>
      <c r="K281" s="35" t="str">
        <f t="shared" ca="1" si="29"/>
        <v>INSERT INTO ETFValue (DataDate, TimeCategory, ProductType, ProductLink, ProductCode, ProductName, NAV, Price, RecTime) VALUES ('2021/5/14','1', 'Stock', '4535','4535','至興','34.3','34.3','15:15:01');</v>
      </c>
    </row>
    <row r="282" spans="1:11">
      <c r="A282" s="21" t="str">
        <f t="shared" ca="1" si="24"/>
        <v>2021/5/14</v>
      </c>
      <c r="B282" s="22" t="str">
        <f t="shared" ca="1" si="25"/>
        <v>15:15:01</v>
      </c>
      <c r="C282" s="23">
        <v>1</v>
      </c>
      <c r="D282" t="str">
        <f t="shared" si="26"/>
        <v>Stock</v>
      </c>
      <c r="E282" s="26" t="str">
        <f t="shared" si="27"/>
        <v>4549</v>
      </c>
      <c r="F282" s="3" t="s">
        <v>906</v>
      </c>
      <c r="G282" s="2" t="s">
        <v>2144</v>
      </c>
      <c r="H282" s="2">
        <v>80.400000000000006</v>
      </c>
      <c r="J282" s="2">
        <f t="shared" si="28"/>
        <v>80.400000000000006</v>
      </c>
      <c r="K282" s="35" t="str">
        <f t="shared" ca="1" si="29"/>
        <v>INSERT INTO ETFValue (DataDate, TimeCategory, ProductType, ProductLink, ProductCode, ProductName, NAV, Price, RecTime) VALUES ('2021/5/14','1', 'Stock', '4549','4549','桓達','80.4','80.4','15:15:01');</v>
      </c>
    </row>
    <row r="283" spans="1:11">
      <c r="A283" s="21" t="str">
        <f t="shared" ca="1" si="24"/>
        <v>2021/5/14</v>
      </c>
      <c r="B283" s="22" t="str">
        <f t="shared" ca="1" si="25"/>
        <v>15:15:01</v>
      </c>
      <c r="C283" s="23">
        <v>1</v>
      </c>
      <c r="D283" t="str">
        <f t="shared" si="26"/>
        <v>Stock</v>
      </c>
      <c r="E283" s="26" t="str">
        <f t="shared" si="27"/>
        <v>4707</v>
      </c>
      <c r="F283" s="3" t="s">
        <v>907</v>
      </c>
      <c r="G283" s="2" t="s">
        <v>2145</v>
      </c>
      <c r="H283" s="2">
        <v>12.6</v>
      </c>
      <c r="J283" s="2">
        <f t="shared" si="28"/>
        <v>12.6</v>
      </c>
      <c r="K283" s="35" t="str">
        <f t="shared" ca="1" si="29"/>
        <v>INSERT INTO ETFValue (DataDate, TimeCategory, ProductType, ProductLink, ProductCode, ProductName, NAV, Price, RecTime) VALUES ('2021/5/14','1', 'Stock', '4707','4707','磐亞','12.6','12.6','15:15:01');</v>
      </c>
    </row>
    <row r="284" spans="1:11">
      <c r="A284" s="21" t="str">
        <f t="shared" ca="1" si="24"/>
        <v>2021/5/14</v>
      </c>
      <c r="B284" s="22" t="str">
        <f t="shared" ca="1" si="25"/>
        <v>15:15:01</v>
      </c>
      <c r="C284" s="23">
        <v>1</v>
      </c>
      <c r="D284" t="str">
        <f t="shared" si="26"/>
        <v>Stock</v>
      </c>
      <c r="E284" s="26" t="str">
        <f t="shared" si="27"/>
        <v>4721</v>
      </c>
      <c r="F284" s="3" t="s">
        <v>908</v>
      </c>
      <c r="G284" s="2" t="s">
        <v>2146</v>
      </c>
      <c r="H284" s="2">
        <v>55</v>
      </c>
      <c r="J284" s="2">
        <f t="shared" si="28"/>
        <v>55</v>
      </c>
      <c r="K284" s="35" t="str">
        <f t="shared" ca="1" si="29"/>
        <v>INSERT INTO ETFValue (DataDate, TimeCategory, ProductType, ProductLink, ProductCode, ProductName, NAV, Price, RecTime) VALUES ('2021/5/14','1', 'Stock', '4721','4721','美琪瑪','55','55','15:15:01');</v>
      </c>
    </row>
    <row r="285" spans="1:11">
      <c r="A285" s="21" t="str">
        <f t="shared" ca="1" si="24"/>
        <v>2021/5/14</v>
      </c>
      <c r="B285" s="22" t="str">
        <f t="shared" ca="1" si="25"/>
        <v>15:15:01</v>
      </c>
      <c r="C285" s="23">
        <v>1</v>
      </c>
      <c r="D285" t="str">
        <f t="shared" si="26"/>
        <v>Stock</v>
      </c>
      <c r="E285" s="26" t="str">
        <f t="shared" si="27"/>
        <v>4728</v>
      </c>
      <c r="F285" s="3" t="s">
        <v>909</v>
      </c>
      <c r="G285" s="2" t="s">
        <v>2147</v>
      </c>
      <c r="H285" s="2">
        <v>71.599999999999994</v>
      </c>
      <c r="J285" s="2">
        <f t="shared" si="28"/>
        <v>71.599999999999994</v>
      </c>
      <c r="K285" s="35" t="str">
        <f t="shared" ca="1" si="29"/>
        <v>INSERT INTO ETFValue (DataDate, TimeCategory, ProductType, ProductLink, ProductCode, ProductName, NAV, Price, RecTime) VALUES ('2021/5/14','1', 'Stock', '4728','4728','雙美','71.6','71.6','15:15:01');</v>
      </c>
    </row>
    <row r="286" spans="1:11">
      <c r="A286" s="21" t="str">
        <f t="shared" ca="1" si="24"/>
        <v>2021/5/14</v>
      </c>
      <c r="B286" s="22" t="str">
        <f t="shared" ca="1" si="25"/>
        <v>15:15:01</v>
      </c>
      <c r="C286" s="23">
        <v>1</v>
      </c>
      <c r="D286" t="str">
        <f t="shared" si="26"/>
        <v>Stock</v>
      </c>
      <c r="E286" s="26" t="str">
        <f t="shared" si="27"/>
        <v>4736</v>
      </c>
      <c r="F286" s="3" t="s">
        <v>910</v>
      </c>
      <c r="G286" s="2" t="s">
        <v>2148</v>
      </c>
      <c r="H286" s="2">
        <v>177.5</v>
      </c>
      <c r="J286" s="2">
        <f t="shared" si="28"/>
        <v>177.5</v>
      </c>
      <c r="K286" s="35" t="str">
        <f t="shared" ca="1" si="29"/>
        <v>INSERT INTO ETFValue (DataDate, TimeCategory, ProductType, ProductLink, ProductCode, ProductName, NAV, Price, RecTime) VALUES ('2021/5/14','1', 'Stock', '4736','4736','泰博','177.5','177.5','15:15:01');</v>
      </c>
    </row>
    <row r="287" spans="1:11">
      <c r="A287" s="21" t="str">
        <f t="shared" ca="1" si="24"/>
        <v>2021/5/14</v>
      </c>
      <c r="B287" s="22" t="str">
        <f t="shared" ca="1" si="25"/>
        <v>15:15:01</v>
      </c>
      <c r="C287" s="23">
        <v>1</v>
      </c>
      <c r="D287" t="str">
        <f t="shared" si="26"/>
        <v>Stock</v>
      </c>
      <c r="E287" s="26" t="str">
        <f t="shared" si="27"/>
        <v>4743</v>
      </c>
      <c r="F287" s="3" t="s">
        <v>911</v>
      </c>
      <c r="G287" s="2" t="s">
        <v>2149</v>
      </c>
      <c r="H287" s="2">
        <v>216.5</v>
      </c>
      <c r="J287" s="2">
        <f t="shared" si="28"/>
        <v>216.5</v>
      </c>
      <c r="K287" s="35" t="str">
        <f t="shared" ca="1" si="29"/>
        <v>INSERT INTO ETFValue (DataDate, TimeCategory, ProductType, ProductLink, ProductCode, ProductName, NAV, Price, RecTime) VALUES ('2021/5/14','1', 'Stock', '4743','4743','合一','216.5','216.5','15:15:01');</v>
      </c>
    </row>
    <row r="288" spans="1:11">
      <c r="A288" s="21" t="str">
        <f t="shared" ca="1" si="24"/>
        <v>2021/5/14</v>
      </c>
      <c r="B288" s="22" t="str">
        <f t="shared" ca="1" si="25"/>
        <v>15:15:01</v>
      </c>
      <c r="C288" s="23">
        <v>1</v>
      </c>
      <c r="D288" t="str">
        <f t="shared" si="26"/>
        <v>Stock</v>
      </c>
      <c r="E288" s="26" t="str">
        <f t="shared" si="27"/>
        <v>4745</v>
      </c>
      <c r="F288" s="3" t="s">
        <v>912</v>
      </c>
      <c r="G288" s="2" t="s">
        <v>2150</v>
      </c>
      <c r="H288" s="2">
        <v>27.55</v>
      </c>
      <c r="J288" s="2">
        <f t="shared" si="28"/>
        <v>27.55</v>
      </c>
      <c r="K288" s="35" t="str">
        <f t="shared" ca="1" si="29"/>
        <v>INSERT INTO ETFValue (DataDate, TimeCategory, ProductType, ProductLink, ProductCode, ProductName, NAV, Price, RecTime) VALUES ('2021/5/14','1', 'Stock', '4745','4745','合富-KY','27.55','27.55','15:15:01');</v>
      </c>
    </row>
    <row r="289" spans="1:11">
      <c r="A289" s="21" t="str">
        <f t="shared" ca="1" si="24"/>
        <v>2021/5/14</v>
      </c>
      <c r="B289" s="22" t="str">
        <f t="shared" ca="1" si="25"/>
        <v>15:15:01</v>
      </c>
      <c r="C289" s="23">
        <v>1</v>
      </c>
      <c r="D289" t="str">
        <f t="shared" si="26"/>
        <v>Stock</v>
      </c>
      <c r="E289" s="26" t="str">
        <f t="shared" si="27"/>
        <v>4754</v>
      </c>
      <c r="F289" s="3" t="s">
        <v>1056</v>
      </c>
      <c r="G289" s="2" t="s">
        <v>2151</v>
      </c>
      <c r="H289" s="2">
        <v>37.950000000000003</v>
      </c>
      <c r="J289" s="2">
        <f t="shared" si="28"/>
        <v>37.950000000000003</v>
      </c>
      <c r="K289" s="35" t="str">
        <f t="shared" ca="1" si="29"/>
        <v>INSERT INTO ETFValue (DataDate, TimeCategory, ProductType, ProductLink, ProductCode, ProductName, NAV, Price, RecTime) VALUES ('2021/5/14','1', 'Stock', '4754','4754','國碳科','37.95','37.95','15:15:01');</v>
      </c>
    </row>
    <row r="290" spans="1:11">
      <c r="A290" s="21" t="str">
        <f t="shared" ca="1" si="24"/>
        <v>2021/5/14</v>
      </c>
      <c r="B290" s="22" t="str">
        <f t="shared" ca="1" si="25"/>
        <v>15:15:01</v>
      </c>
      <c r="C290" s="23">
        <v>1</v>
      </c>
      <c r="D290" t="str">
        <f t="shared" si="26"/>
        <v>Stock</v>
      </c>
      <c r="E290" s="26" t="str">
        <f t="shared" si="27"/>
        <v>4803</v>
      </c>
      <c r="F290" s="3" t="s">
        <v>913</v>
      </c>
      <c r="G290" s="2" t="s">
        <v>2152</v>
      </c>
      <c r="H290" s="2">
        <v>28</v>
      </c>
      <c r="J290" s="2">
        <f t="shared" si="28"/>
        <v>28</v>
      </c>
      <c r="K290" s="35" t="str">
        <f t="shared" ca="1" si="29"/>
        <v>INSERT INTO ETFValue (DataDate, TimeCategory, ProductType, ProductLink, ProductCode, ProductName, NAV, Price, RecTime) VALUES ('2021/5/14','1', 'Stock', '4803','4803','VHQ-KY','28','28','15:15:01');</v>
      </c>
    </row>
    <row r="291" spans="1:11">
      <c r="A291" s="21" t="str">
        <f t="shared" ca="1" si="24"/>
        <v>2021/5/14</v>
      </c>
      <c r="B291" s="22" t="str">
        <f t="shared" ca="1" si="25"/>
        <v>15:15:01</v>
      </c>
      <c r="C291" s="23">
        <v>1</v>
      </c>
      <c r="D291" t="str">
        <f t="shared" si="26"/>
        <v>Stock</v>
      </c>
      <c r="E291" s="26" t="str">
        <f t="shared" si="27"/>
        <v>4904</v>
      </c>
      <c r="F291" s="3" t="s">
        <v>331</v>
      </c>
      <c r="G291" s="2" t="s">
        <v>2153</v>
      </c>
      <c r="H291" s="2">
        <v>64.900000000000006</v>
      </c>
      <c r="J291" s="2">
        <f t="shared" si="28"/>
        <v>64.900000000000006</v>
      </c>
      <c r="K291" s="35" t="str">
        <f t="shared" ca="1" si="29"/>
        <v>INSERT INTO ETFValue (DataDate, TimeCategory, ProductType, ProductLink, ProductCode, ProductName, NAV, Price, RecTime) VALUES ('2021/5/14','1', 'Stock', '4904','4904','遠傳','64.9','64.9','15:15:01');</v>
      </c>
    </row>
    <row r="292" spans="1:11">
      <c r="A292" s="21" t="str">
        <f t="shared" ca="1" si="24"/>
        <v>2021/5/14</v>
      </c>
      <c r="B292" s="22" t="str">
        <f t="shared" ca="1" si="25"/>
        <v>15:15:01</v>
      </c>
      <c r="C292" s="23">
        <v>1</v>
      </c>
      <c r="D292" t="str">
        <f t="shared" si="26"/>
        <v>Stock</v>
      </c>
      <c r="E292" s="26" t="str">
        <f t="shared" si="27"/>
        <v>4907</v>
      </c>
      <c r="F292" s="3" t="s">
        <v>914</v>
      </c>
      <c r="G292" s="2" t="s">
        <v>2154</v>
      </c>
      <c r="H292" s="2">
        <v>24</v>
      </c>
      <c r="J292" s="2">
        <f t="shared" si="28"/>
        <v>24</v>
      </c>
      <c r="K292" s="35" t="str">
        <f t="shared" ca="1" si="29"/>
        <v>INSERT INTO ETFValue (DataDate, TimeCategory, ProductType, ProductLink, ProductCode, ProductName, NAV, Price, RecTime) VALUES ('2021/5/14','1', 'Stock', '4907','4907','富宇','24','24','15:15:01');</v>
      </c>
    </row>
    <row r="293" spans="1:11">
      <c r="A293" s="21" t="str">
        <f t="shared" ca="1" si="24"/>
        <v>2021/5/14</v>
      </c>
      <c r="B293" s="22" t="str">
        <f t="shared" ca="1" si="25"/>
        <v>15:15:01</v>
      </c>
      <c r="C293" s="23">
        <v>1</v>
      </c>
      <c r="D293" t="str">
        <f t="shared" si="26"/>
        <v>Stock</v>
      </c>
      <c r="E293" s="26" t="str">
        <f t="shared" si="27"/>
        <v>4915</v>
      </c>
      <c r="F293" s="3" t="s">
        <v>804</v>
      </c>
      <c r="G293" s="2" t="s">
        <v>2155</v>
      </c>
      <c r="H293" s="2">
        <v>50.8</v>
      </c>
      <c r="J293" s="2">
        <f t="shared" si="28"/>
        <v>50.8</v>
      </c>
      <c r="K293" s="35" t="str">
        <f t="shared" ca="1" si="29"/>
        <v>INSERT INTO ETFValue (DataDate, TimeCategory, ProductType, ProductLink, ProductCode, ProductName, NAV, Price, RecTime) VALUES ('2021/5/14','1', 'Stock', '4915','4915','致伸','50.8','50.8','15:15:01');</v>
      </c>
    </row>
    <row r="294" spans="1:11">
      <c r="A294" s="21" t="str">
        <f t="shared" ca="1" si="24"/>
        <v>2021/5/14</v>
      </c>
      <c r="B294" s="22" t="str">
        <f t="shared" ca="1" si="25"/>
        <v>15:15:01</v>
      </c>
      <c r="C294" s="23">
        <v>1</v>
      </c>
      <c r="D294" t="str">
        <f t="shared" si="26"/>
        <v>Stock</v>
      </c>
      <c r="E294" s="26" t="str">
        <f t="shared" si="27"/>
        <v>4919</v>
      </c>
      <c r="F294" s="3" t="s">
        <v>783</v>
      </c>
      <c r="G294" s="2" t="s">
        <v>2156</v>
      </c>
      <c r="H294" s="2">
        <v>63.5</v>
      </c>
      <c r="J294" s="2">
        <f t="shared" si="28"/>
        <v>63.5</v>
      </c>
      <c r="K294" s="35" t="str">
        <f t="shared" ca="1" si="29"/>
        <v>INSERT INTO ETFValue (DataDate, TimeCategory, ProductType, ProductLink, ProductCode, ProductName, NAV, Price, RecTime) VALUES ('2021/5/14','1', 'Stock', '4919','4919','新唐','63.5','63.5','15:15:01');</v>
      </c>
    </row>
    <row r="295" spans="1:11">
      <c r="A295" s="21" t="str">
        <f t="shared" ca="1" si="24"/>
        <v>2021/5/14</v>
      </c>
      <c r="B295" s="22" t="str">
        <f t="shared" ca="1" si="25"/>
        <v>15:15:01</v>
      </c>
      <c r="C295" s="23">
        <v>1</v>
      </c>
      <c r="D295" t="str">
        <f t="shared" si="26"/>
        <v>Stock</v>
      </c>
      <c r="E295" s="26" t="str">
        <f t="shared" si="27"/>
        <v>4938</v>
      </c>
      <c r="F295" s="3" t="s">
        <v>332</v>
      </c>
      <c r="G295" s="2" t="s">
        <v>2157</v>
      </c>
      <c r="H295" s="2">
        <v>70.599999999999994</v>
      </c>
      <c r="J295" s="2">
        <f t="shared" si="28"/>
        <v>70.599999999999994</v>
      </c>
      <c r="K295" s="35" t="str">
        <f t="shared" ca="1" si="29"/>
        <v>INSERT INTO ETFValue (DataDate, TimeCategory, ProductType, ProductLink, ProductCode, ProductName, NAV, Price, RecTime) VALUES ('2021/5/14','1', 'Stock', '4938','4938','和碩','70.6','70.6','15:15:01');</v>
      </c>
    </row>
    <row r="296" spans="1:11">
      <c r="A296" s="21" t="str">
        <f t="shared" ca="1" si="24"/>
        <v>2021/5/14</v>
      </c>
      <c r="B296" s="22" t="str">
        <f t="shared" ca="1" si="25"/>
        <v>15:15:01</v>
      </c>
      <c r="C296" s="23">
        <v>1</v>
      </c>
      <c r="D296" t="str">
        <f t="shared" si="26"/>
        <v>Stock</v>
      </c>
      <c r="E296" s="26" t="str">
        <f t="shared" si="27"/>
        <v>4947</v>
      </c>
      <c r="F296" s="3" t="s">
        <v>915</v>
      </c>
      <c r="G296" s="2" t="s">
        <v>2158</v>
      </c>
      <c r="J296" s="2">
        <f t="shared" si="28"/>
        <v>0</v>
      </c>
      <c r="K296" s="35" t="str">
        <f t="shared" ca="1" si="29"/>
        <v>INSERT INTO ETFValue (DataDate, TimeCategory, ProductType, ProductLink, ProductCode, ProductName, NAV, Price, RecTime) VALUES ('2021/5/14','1', 'Stock', '4947','4947','昂寶-KY(下櫃)','0','0','15:15:01');</v>
      </c>
    </row>
    <row r="297" spans="1:11">
      <c r="A297" s="21" t="str">
        <f t="shared" ca="1" si="24"/>
        <v>2021/5/14</v>
      </c>
      <c r="B297" s="22" t="str">
        <f t="shared" ca="1" si="25"/>
        <v>15:15:01</v>
      </c>
      <c r="C297" s="23">
        <v>1</v>
      </c>
      <c r="D297" t="str">
        <f t="shared" si="26"/>
        <v>Stock</v>
      </c>
      <c r="E297" s="26" t="str">
        <f t="shared" si="27"/>
        <v>4953</v>
      </c>
      <c r="F297" s="3" t="s">
        <v>916</v>
      </c>
      <c r="G297" s="2" t="s">
        <v>2159</v>
      </c>
      <c r="H297" s="2">
        <v>92.5</v>
      </c>
      <c r="J297" s="2">
        <f t="shared" si="28"/>
        <v>92.5</v>
      </c>
      <c r="K297" s="35" t="str">
        <f t="shared" ca="1" si="29"/>
        <v>INSERT INTO ETFValue (DataDate, TimeCategory, ProductType, ProductLink, ProductCode, ProductName, NAV, Price, RecTime) VALUES ('2021/5/14','1', 'Stock', '4953','4953','緯軟','92.5','92.5','15:15:01');</v>
      </c>
    </row>
    <row r="298" spans="1:11">
      <c r="A298" s="21" t="str">
        <f t="shared" ca="1" si="24"/>
        <v>2021/5/14</v>
      </c>
      <c r="B298" s="22" t="str">
        <f t="shared" ca="1" si="25"/>
        <v>15:15:01</v>
      </c>
      <c r="C298" s="23">
        <v>1</v>
      </c>
      <c r="D298" t="str">
        <f t="shared" si="26"/>
        <v>Stock</v>
      </c>
      <c r="E298" s="26" t="str">
        <f t="shared" si="27"/>
        <v>4958</v>
      </c>
      <c r="F298" s="3" t="s">
        <v>333</v>
      </c>
      <c r="G298" s="2" t="s">
        <v>2160</v>
      </c>
      <c r="H298" s="2">
        <v>90</v>
      </c>
      <c r="J298" s="2">
        <f t="shared" si="28"/>
        <v>90</v>
      </c>
      <c r="K298" s="35" t="str">
        <f t="shared" ca="1" si="29"/>
        <v>INSERT INTO ETFValue (DataDate, TimeCategory, ProductType, ProductLink, ProductCode, ProductName, NAV, Price, RecTime) VALUES ('2021/5/14','1', 'Stock', '4958','4958','臻鼎-KY','90','90','15:15:01');</v>
      </c>
    </row>
    <row r="299" spans="1:11">
      <c r="A299" s="21" t="str">
        <f t="shared" ca="1" si="24"/>
        <v>2021/5/14</v>
      </c>
      <c r="B299" s="22" t="str">
        <f t="shared" ca="1" si="25"/>
        <v>15:15:01</v>
      </c>
      <c r="C299" s="23">
        <v>1</v>
      </c>
      <c r="D299" t="str">
        <f t="shared" si="26"/>
        <v>Stock</v>
      </c>
      <c r="E299" s="26" t="str">
        <f t="shared" si="27"/>
        <v>4966</v>
      </c>
      <c r="F299" s="3" t="s">
        <v>917</v>
      </c>
      <c r="G299" s="2" t="s">
        <v>2161</v>
      </c>
      <c r="H299" s="2">
        <v>1295</v>
      </c>
      <c r="J299" s="2">
        <f t="shared" si="28"/>
        <v>1295</v>
      </c>
      <c r="K299" s="35" t="str">
        <f t="shared" ca="1" si="29"/>
        <v>INSERT INTO ETFValue (DataDate, TimeCategory, ProductType, ProductLink, ProductCode, ProductName, NAV, Price, RecTime) VALUES ('2021/5/14','1', 'Stock', '4966','4966','譜瑞-KY','1295','1295','15:15:01');</v>
      </c>
    </row>
    <row r="300" spans="1:11">
      <c r="A300" s="21" t="str">
        <f t="shared" ca="1" si="24"/>
        <v>2021/5/14</v>
      </c>
      <c r="B300" s="22" t="str">
        <f t="shared" ca="1" si="25"/>
        <v>15:15:01</v>
      </c>
      <c r="C300" s="23">
        <v>1</v>
      </c>
      <c r="D300" t="str">
        <f t="shared" si="26"/>
        <v>Stock</v>
      </c>
      <c r="E300" s="26" t="str">
        <f t="shared" si="27"/>
        <v>4974</v>
      </c>
      <c r="F300" s="3" t="s">
        <v>918</v>
      </c>
      <c r="G300" s="2" t="s">
        <v>2162</v>
      </c>
      <c r="H300" s="2">
        <v>51.6</v>
      </c>
      <c r="J300" s="2">
        <f t="shared" si="28"/>
        <v>51.6</v>
      </c>
      <c r="K300" s="35" t="str">
        <f t="shared" ca="1" si="29"/>
        <v>INSERT INTO ETFValue (DataDate, TimeCategory, ProductType, ProductLink, ProductCode, ProductName, NAV, Price, RecTime) VALUES ('2021/5/14','1', 'Stock', '4974','4974','亞泰','51.6','51.6','15:15:01');</v>
      </c>
    </row>
    <row r="301" spans="1:11">
      <c r="A301" s="21" t="str">
        <f t="shared" ca="1" si="24"/>
        <v>2021/5/14</v>
      </c>
      <c r="B301" s="22" t="str">
        <f t="shared" ca="1" si="25"/>
        <v>15:15:01</v>
      </c>
      <c r="C301" s="23">
        <v>1</v>
      </c>
      <c r="D301" t="str">
        <f t="shared" si="26"/>
        <v>Stock</v>
      </c>
      <c r="E301" s="26" t="str">
        <f t="shared" si="27"/>
        <v>4979</v>
      </c>
      <c r="F301" s="3" t="s">
        <v>919</v>
      </c>
      <c r="G301" s="2" t="s">
        <v>2163</v>
      </c>
      <c r="H301" s="2">
        <v>17.3</v>
      </c>
      <c r="J301" s="2">
        <f t="shared" si="28"/>
        <v>17.3</v>
      </c>
      <c r="K301" s="35" t="str">
        <f t="shared" ca="1" si="29"/>
        <v>INSERT INTO ETFValue (DataDate, TimeCategory, ProductType, ProductLink, ProductCode, ProductName, NAV, Price, RecTime) VALUES ('2021/5/14','1', 'Stock', '4979','4979','華星光','17.3','17.3','15:15:01');</v>
      </c>
    </row>
    <row r="302" spans="1:11">
      <c r="A302" s="21" t="str">
        <f t="shared" ca="1" si="24"/>
        <v>2021/5/14</v>
      </c>
      <c r="B302" s="22" t="str">
        <f t="shared" ca="1" si="25"/>
        <v>15:15:01</v>
      </c>
      <c r="C302" s="23">
        <v>1</v>
      </c>
      <c r="D302" t="str">
        <f t="shared" si="26"/>
        <v>Stock</v>
      </c>
      <c r="E302" s="26" t="str">
        <f t="shared" si="27"/>
        <v>4991</v>
      </c>
      <c r="F302" s="3" t="s">
        <v>920</v>
      </c>
      <c r="G302" s="2" t="s">
        <v>2164</v>
      </c>
      <c r="H302" s="2">
        <v>44.5</v>
      </c>
      <c r="J302" s="2">
        <f t="shared" si="28"/>
        <v>44.5</v>
      </c>
      <c r="K302" s="35" t="str">
        <f t="shared" ca="1" si="29"/>
        <v>INSERT INTO ETFValue (DataDate, TimeCategory, ProductType, ProductLink, ProductCode, ProductName, NAV, Price, RecTime) VALUES ('2021/5/14','1', 'Stock', '4991','4991','環宇-KY','44.5','44.5','15:15:01');</v>
      </c>
    </row>
    <row r="303" spans="1:11">
      <c r="A303" s="21" t="str">
        <f t="shared" ca="1" si="24"/>
        <v>2021/5/14</v>
      </c>
      <c r="B303" s="22" t="str">
        <f t="shared" ca="1" si="25"/>
        <v>15:15:01</v>
      </c>
      <c r="C303" s="23">
        <v>1</v>
      </c>
      <c r="D303" t="str">
        <f t="shared" si="26"/>
        <v>Stock</v>
      </c>
      <c r="E303" s="26" t="str">
        <f t="shared" si="27"/>
        <v>5009</v>
      </c>
      <c r="F303" s="3" t="s">
        <v>921</v>
      </c>
      <c r="G303" s="2" t="s">
        <v>2165</v>
      </c>
      <c r="H303" s="2">
        <v>17.55</v>
      </c>
      <c r="J303" s="2">
        <f t="shared" si="28"/>
        <v>17.55</v>
      </c>
      <c r="K303" s="35" t="str">
        <f t="shared" ca="1" si="29"/>
        <v>INSERT INTO ETFValue (DataDate, TimeCategory, ProductType, ProductLink, ProductCode, ProductName, NAV, Price, RecTime) VALUES ('2021/5/14','1', 'Stock', '5009','5009','榮剛','17.55','17.55','15:15:01');</v>
      </c>
    </row>
    <row r="304" spans="1:11">
      <c r="A304" s="21" t="str">
        <f t="shared" ca="1" si="24"/>
        <v>2021/5/14</v>
      </c>
      <c r="B304" s="22" t="str">
        <f t="shared" ca="1" si="25"/>
        <v>15:15:01</v>
      </c>
      <c r="C304" s="23">
        <v>1</v>
      </c>
      <c r="D304" t="str">
        <f t="shared" si="26"/>
        <v>Stock</v>
      </c>
      <c r="E304" s="26" t="str">
        <f t="shared" si="27"/>
        <v>5213</v>
      </c>
      <c r="F304" s="3" t="s">
        <v>922</v>
      </c>
      <c r="G304" s="2" t="s">
        <v>2166</v>
      </c>
      <c r="H304" s="2">
        <v>22.05</v>
      </c>
      <c r="J304" s="2">
        <f t="shared" si="28"/>
        <v>22.05</v>
      </c>
      <c r="K304" s="35" t="str">
        <f t="shared" ca="1" si="29"/>
        <v>INSERT INTO ETFValue (DataDate, TimeCategory, ProductType, ProductLink, ProductCode, ProductName, NAV, Price, RecTime) VALUES ('2021/5/14','1', 'Stock', '5213','5213','亞昕','22.05','22.05','15:15:01');</v>
      </c>
    </row>
    <row r="305" spans="1:11">
      <c r="A305" s="21" t="str">
        <f t="shared" ca="1" si="24"/>
        <v>2021/5/14</v>
      </c>
      <c r="B305" s="22" t="str">
        <f t="shared" ca="1" si="25"/>
        <v>15:15:01</v>
      </c>
      <c r="C305" s="23">
        <v>1</v>
      </c>
      <c r="D305" t="str">
        <f t="shared" si="26"/>
        <v>Stock</v>
      </c>
      <c r="E305" s="26" t="str">
        <f t="shared" si="27"/>
        <v>5227</v>
      </c>
      <c r="F305" s="3" t="s">
        <v>923</v>
      </c>
      <c r="G305" s="2" t="s">
        <v>2167</v>
      </c>
      <c r="H305" s="2">
        <v>9.8000000000000007</v>
      </c>
      <c r="J305" s="2">
        <f t="shared" si="28"/>
        <v>9.8000000000000007</v>
      </c>
      <c r="K305" s="35" t="str">
        <f t="shared" ca="1" si="29"/>
        <v>INSERT INTO ETFValue (DataDate, TimeCategory, ProductType, ProductLink, ProductCode, ProductName, NAV, Price, RecTime) VALUES ('2021/5/14','1', 'Stock', '5227','5227','立凱-KY','9.8','9.8','15:15:01');</v>
      </c>
    </row>
    <row r="306" spans="1:11">
      <c r="A306" s="21" t="str">
        <f t="shared" ca="1" si="24"/>
        <v>2021/5/14</v>
      </c>
      <c r="B306" s="22" t="str">
        <f t="shared" ca="1" si="25"/>
        <v>15:15:01</v>
      </c>
      <c r="C306" s="23">
        <v>1</v>
      </c>
      <c r="D306" t="str">
        <f t="shared" si="26"/>
        <v>Stock</v>
      </c>
      <c r="E306" s="26" t="str">
        <f t="shared" si="27"/>
        <v>5245</v>
      </c>
      <c r="F306" s="3" t="s">
        <v>1070</v>
      </c>
      <c r="G306" s="2" t="s">
        <v>2168</v>
      </c>
      <c r="H306" s="2">
        <v>38.6</v>
      </c>
      <c r="J306" s="2">
        <f t="shared" si="28"/>
        <v>38.6</v>
      </c>
      <c r="K306" s="35" t="str">
        <f t="shared" ca="1" si="29"/>
        <v>INSERT INTO ETFValue (DataDate, TimeCategory, ProductType, ProductLink, ProductCode, ProductName, NAV, Price, RecTime) VALUES ('2021/5/14','1', 'Stock', '5245','5245','智晶','38.6','38.6','15:15:01');</v>
      </c>
    </row>
    <row r="307" spans="1:11">
      <c r="A307" s="21" t="str">
        <f t="shared" ca="1" si="24"/>
        <v>2021/5/14</v>
      </c>
      <c r="B307" s="22" t="str">
        <f t="shared" ca="1" si="25"/>
        <v>15:15:01</v>
      </c>
      <c r="C307" s="23">
        <v>1</v>
      </c>
      <c r="D307" t="str">
        <f t="shared" si="26"/>
        <v>Stock</v>
      </c>
      <c r="E307" s="26" t="str">
        <f t="shared" si="27"/>
        <v>5263</v>
      </c>
      <c r="F307" s="3" t="s">
        <v>924</v>
      </c>
      <c r="G307" s="2" t="s">
        <v>2169</v>
      </c>
      <c r="H307" s="2">
        <v>110.5</v>
      </c>
      <c r="J307" s="2">
        <f t="shared" si="28"/>
        <v>110.5</v>
      </c>
      <c r="K307" s="35" t="str">
        <f t="shared" ca="1" si="29"/>
        <v>INSERT INTO ETFValue (DataDate, TimeCategory, ProductType, ProductLink, ProductCode, ProductName, NAV, Price, RecTime) VALUES ('2021/5/14','1', 'Stock', '5263','5263','智崴','110.5','110.5','15:15:01');</v>
      </c>
    </row>
    <row r="308" spans="1:11">
      <c r="A308" s="21" t="str">
        <f t="shared" ca="1" si="24"/>
        <v>2021/5/14</v>
      </c>
      <c r="B308" s="22" t="str">
        <f t="shared" ca="1" si="25"/>
        <v>15:15:01</v>
      </c>
      <c r="C308" s="23">
        <v>1</v>
      </c>
      <c r="D308" t="str">
        <f t="shared" si="26"/>
        <v>Stock</v>
      </c>
      <c r="E308" s="26" t="str">
        <f t="shared" si="27"/>
        <v>5264</v>
      </c>
      <c r="F308" s="3" t="s">
        <v>1037</v>
      </c>
      <c r="G308" s="2" t="s">
        <v>2473</v>
      </c>
      <c r="J308" s="2">
        <f t="shared" si="28"/>
        <v>0</v>
      </c>
      <c r="K308" s="35" t="str">
        <f t="shared" ca="1" si="29"/>
        <v>INSERT INTO ETFValue (DataDate, TimeCategory, ProductType, ProductLink, ProductCode, ProductName, NAV, Price, RecTime) VALUES ('2021/5/14','1', 'Stock', '5264','5264','鎧勝-KY(下市)','0','0','15:15:01');</v>
      </c>
    </row>
    <row r="309" spans="1:11">
      <c r="A309" s="21" t="str">
        <f t="shared" ca="1" si="24"/>
        <v>2021/5/14</v>
      </c>
      <c r="B309" s="22" t="str">
        <f t="shared" ca="1" si="25"/>
        <v>15:15:01</v>
      </c>
      <c r="C309" s="23">
        <v>1</v>
      </c>
      <c r="D309" t="str">
        <f t="shared" si="26"/>
        <v>Stock</v>
      </c>
      <c r="E309" s="26" t="str">
        <f t="shared" si="27"/>
        <v>5269</v>
      </c>
      <c r="F309" s="3" t="s">
        <v>334</v>
      </c>
      <c r="G309" s="2" t="s">
        <v>2170</v>
      </c>
      <c r="H309" s="2">
        <v>1100</v>
      </c>
      <c r="J309" s="2">
        <f t="shared" si="28"/>
        <v>1100</v>
      </c>
      <c r="K309" s="35" t="str">
        <f t="shared" ca="1" si="29"/>
        <v>INSERT INTO ETFValue (DataDate, TimeCategory, ProductType, ProductLink, ProductCode, ProductName, NAV, Price, RecTime) VALUES ('2021/5/14','1', 'Stock', '5269','5269','祥碩','1100','1100','15:15:01');</v>
      </c>
    </row>
    <row r="310" spans="1:11">
      <c r="A310" s="21" t="str">
        <f t="shared" ca="1" si="24"/>
        <v>2021/5/14</v>
      </c>
      <c r="B310" s="22" t="str">
        <f t="shared" ca="1" si="25"/>
        <v>15:15:01</v>
      </c>
      <c r="C310" s="23">
        <v>1</v>
      </c>
      <c r="D310" t="str">
        <f t="shared" si="26"/>
        <v>Stock</v>
      </c>
      <c r="E310" s="26" t="str">
        <f t="shared" si="27"/>
        <v>5274</v>
      </c>
      <c r="F310" s="3" t="s">
        <v>925</v>
      </c>
      <c r="G310" s="2" t="s">
        <v>2171</v>
      </c>
      <c r="H310" s="2">
        <v>1910</v>
      </c>
      <c r="J310" s="2">
        <f t="shared" si="28"/>
        <v>1910</v>
      </c>
      <c r="K310" s="35" t="str">
        <f t="shared" ca="1" si="29"/>
        <v>INSERT INTO ETFValue (DataDate, TimeCategory, ProductType, ProductLink, ProductCode, ProductName, NAV, Price, RecTime) VALUES ('2021/5/14','1', 'Stock', '5274','5274','信驊','1910','1910','15:15:01');</v>
      </c>
    </row>
    <row r="311" spans="1:11">
      <c r="A311" s="21" t="str">
        <f t="shared" ca="1" si="24"/>
        <v>2021/5/14</v>
      </c>
      <c r="B311" s="22" t="str">
        <f t="shared" ca="1" si="25"/>
        <v>15:15:01</v>
      </c>
      <c r="C311" s="23">
        <v>1</v>
      </c>
      <c r="D311" t="str">
        <f t="shared" si="26"/>
        <v>Stock</v>
      </c>
      <c r="E311" s="26" t="str">
        <f t="shared" si="27"/>
        <v>5278</v>
      </c>
      <c r="F311" s="3" t="s">
        <v>926</v>
      </c>
      <c r="G311" s="2" t="s">
        <v>2172</v>
      </c>
      <c r="H311" s="2">
        <v>146</v>
      </c>
      <c r="J311" s="2">
        <f t="shared" si="28"/>
        <v>146</v>
      </c>
      <c r="K311" s="35" t="str">
        <f t="shared" ca="1" si="29"/>
        <v>INSERT INTO ETFValue (DataDate, TimeCategory, ProductType, ProductLink, ProductCode, ProductName, NAV, Price, RecTime) VALUES ('2021/5/14','1', 'Stock', '5278','5278','尚凡','146','146','15:15:01');</v>
      </c>
    </row>
    <row r="312" spans="1:11">
      <c r="A312" s="21" t="str">
        <f t="shared" ca="1" si="24"/>
        <v>2021/5/14</v>
      </c>
      <c r="B312" s="22" t="str">
        <f t="shared" ca="1" si="25"/>
        <v>15:15:01</v>
      </c>
      <c r="C312" s="23">
        <v>1</v>
      </c>
      <c r="D312" t="str">
        <f t="shared" si="26"/>
        <v>Stock</v>
      </c>
      <c r="E312" s="26" t="str">
        <f t="shared" si="27"/>
        <v>5289</v>
      </c>
      <c r="F312" s="3" t="s">
        <v>927</v>
      </c>
      <c r="G312" s="2" t="s">
        <v>2173</v>
      </c>
      <c r="H312" s="2">
        <v>164.5</v>
      </c>
      <c r="J312" s="2">
        <f t="shared" si="28"/>
        <v>164.5</v>
      </c>
      <c r="K312" s="35" t="str">
        <f t="shared" ca="1" si="29"/>
        <v>INSERT INTO ETFValue (DataDate, TimeCategory, ProductType, ProductLink, ProductCode, ProductName, NAV, Price, RecTime) VALUES ('2021/5/14','1', 'Stock', '5289','5289','宜鼎','164.5','164.5','15:15:01');</v>
      </c>
    </row>
    <row r="313" spans="1:11">
      <c r="A313" s="21" t="str">
        <f t="shared" ca="1" si="24"/>
        <v>2021/5/14</v>
      </c>
      <c r="B313" s="22" t="str">
        <f t="shared" ca="1" si="25"/>
        <v>15:15:01</v>
      </c>
      <c r="C313" s="23">
        <v>1</v>
      </c>
      <c r="D313" t="str">
        <f t="shared" si="26"/>
        <v>Stock</v>
      </c>
      <c r="E313" s="26" t="str">
        <f t="shared" si="27"/>
        <v>5299</v>
      </c>
      <c r="F313" s="3" t="s">
        <v>928</v>
      </c>
      <c r="G313" s="2" t="s">
        <v>2174</v>
      </c>
      <c r="H313" s="2">
        <v>137</v>
      </c>
      <c r="J313" s="2">
        <f t="shared" si="28"/>
        <v>137</v>
      </c>
      <c r="K313" s="35" t="str">
        <f t="shared" ca="1" si="29"/>
        <v>INSERT INTO ETFValue (DataDate, TimeCategory, ProductType, ProductLink, ProductCode, ProductName, NAV, Price, RecTime) VALUES ('2021/5/14','1', 'Stock', '5299','5299','杰力','137','137','15:15:01');</v>
      </c>
    </row>
    <row r="314" spans="1:11">
      <c r="A314" s="21" t="str">
        <f t="shared" ca="1" si="24"/>
        <v>2021/5/14</v>
      </c>
      <c r="B314" s="22" t="str">
        <f t="shared" ca="1" si="25"/>
        <v>15:15:01</v>
      </c>
      <c r="C314" s="23">
        <v>1</v>
      </c>
      <c r="D314" t="str">
        <f t="shared" si="26"/>
        <v>Stock</v>
      </c>
      <c r="E314" s="26" t="str">
        <f t="shared" si="27"/>
        <v>5317</v>
      </c>
      <c r="F314" s="3" t="s">
        <v>929</v>
      </c>
      <c r="G314" s="2" t="s">
        <v>2175</v>
      </c>
      <c r="J314" s="2">
        <f t="shared" si="28"/>
        <v>0</v>
      </c>
      <c r="K314" s="35" t="str">
        <f t="shared" ca="1" si="29"/>
        <v>INSERT INTO ETFValue (DataDate, TimeCategory, ProductType, ProductLink, ProductCode, ProductName, NAV, Price, RecTime) VALUES ('2021/5/14','1', 'Stock', '5317','5317','凱美(下櫃)','0','0','15:15:01');</v>
      </c>
    </row>
    <row r="315" spans="1:11">
      <c r="A315" s="21" t="str">
        <f t="shared" ca="1" si="24"/>
        <v>2021/5/14</v>
      </c>
      <c r="B315" s="22" t="str">
        <f t="shared" ca="1" si="25"/>
        <v>15:15:01</v>
      </c>
      <c r="C315" s="23">
        <v>1</v>
      </c>
      <c r="D315" t="str">
        <f t="shared" si="26"/>
        <v>Stock</v>
      </c>
      <c r="E315" s="26" t="str">
        <f t="shared" si="27"/>
        <v>5340</v>
      </c>
      <c r="F315" s="3" t="s">
        <v>930</v>
      </c>
      <c r="G315" s="2" t="s">
        <v>2176</v>
      </c>
      <c r="H315" s="2">
        <v>31.75</v>
      </c>
      <c r="J315" s="2">
        <f t="shared" si="28"/>
        <v>31.75</v>
      </c>
      <c r="K315" s="35" t="str">
        <f t="shared" ca="1" si="29"/>
        <v>INSERT INTO ETFValue (DataDate, TimeCategory, ProductType, ProductLink, ProductCode, ProductName, NAV, Price, RecTime) VALUES ('2021/5/14','1', 'Stock', '5340','5340','建榮','31.75','31.75','15:15:01');</v>
      </c>
    </row>
    <row r="316" spans="1:11">
      <c r="A316" s="21" t="str">
        <f t="shared" ca="1" si="24"/>
        <v>2021/5/14</v>
      </c>
      <c r="B316" s="22" t="str">
        <f t="shared" ca="1" si="25"/>
        <v>15:15:01</v>
      </c>
      <c r="C316" s="23">
        <v>1</v>
      </c>
      <c r="D316" t="str">
        <f t="shared" si="26"/>
        <v>Stock</v>
      </c>
      <c r="E316" s="26" t="str">
        <f t="shared" si="27"/>
        <v>5347</v>
      </c>
      <c r="F316" s="3" t="s">
        <v>431</v>
      </c>
      <c r="G316" s="2" t="s">
        <v>2177</v>
      </c>
      <c r="H316" s="2">
        <v>105.5</v>
      </c>
      <c r="J316" s="2">
        <f t="shared" si="28"/>
        <v>105.5</v>
      </c>
      <c r="K316" s="35" t="str">
        <f t="shared" ca="1" si="29"/>
        <v>INSERT INTO ETFValue (DataDate, TimeCategory, ProductType, ProductLink, ProductCode, ProductName, NAV, Price, RecTime) VALUES ('2021/5/14','1', 'Stock', '5347','5347','世界','105.5','105.5','15:15:01');</v>
      </c>
    </row>
    <row r="317" spans="1:11">
      <c r="A317" s="21" t="str">
        <f t="shared" ca="1" si="24"/>
        <v>2021/5/14</v>
      </c>
      <c r="B317" s="22" t="str">
        <f t="shared" ca="1" si="25"/>
        <v>15:15:01</v>
      </c>
      <c r="C317" s="23">
        <v>1</v>
      </c>
      <c r="D317" t="str">
        <f t="shared" si="26"/>
        <v>Stock</v>
      </c>
      <c r="E317" s="26" t="str">
        <f t="shared" si="27"/>
        <v>5349</v>
      </c>
      <c r="F317" s="3" t="s">
        <v>931</v>
      </c>
      <c r="G317" s="2" t="s">
        <v>2178</v>
      </c>
      <c r="J317" s="2">
        <f t="shared" si="28"/>
        <v>0</v>
      </c>
      <c r="K317" s="35" t="str">
        <f t="shared" ca="1" si="29"/>
        <v>INSERT INTO ETFValue (DataDate, TimeCategory, ProductType, ProductLink, ProductCode, ProductName, NAV, Price, RecTime) VALUES ('2021/5/14','1', 'Stock', '5349','5349','先豐(下櫃)','0','0','15:15:01');</v>
      </c>
    </row>
    <row r="318" spans="1:11">
      <c r="A318" s="21" t="str">
        <f t="shared" ca="1" si="24"/>
        <v>2021/5/14</v>
      </c>
      <c r="B318" s="22" t="str">
        <f t="shared" ca="1" si="25"/>
        <v>15:15:01</v>
      </c>
      <c r="C318" s="23">
        <v>1</v>
      </c>
      <c r="D318" t="str">
        <f t="shared" si="26"/>
        <v>Stock</v>
      </c>
      <c r="E318" s="26" t="str">
        <f t="shared" si="27"/>
        <v>5351</v>
      </c>
      <c r="F318" s="3" t="s">
        <v>932</v>
      </c>
      <c r="G318" s="2" t="s">
        <v>2179</v>
      </c>
      <c r="H318" s="2">
        <v>22.1</v>
      </c>
      <c r="J318" s="2">
        <f t="shared" si="28"/>
        <v>22.1</v>
      </c>
      <c r="K318" s="35" t="str">
        <f t="shared" ca="1" si="29"/>
        <v>INSERT INTO ETFValue (DataDate, TimeCategory, ProductType, ProductLink, ProductCode, ProductName, NAV, Price, RecTime) VALUES ('2021/5/14','1', 'Stock', '5351','5351','鈺創','22.1','22.1','15:15:01');</v>
      </c>
    </row>
    <row r="319" spans="1:11">
      <c r="A319" s="21" t="str">
        <f t="shared" ca="1" si="24"/>
        <v>2021/5/14</v>
      </c>
      <c r="B319" s="22" t="str">
        <f t="shared" ca="1" si="25"/>
        <v>15:15:01</v>
      </c>
      <c r="C319" s="23">
        <v>1</v>
      </c>
      <c r="D319" t="str">
        <f t="shared" si="26"/>
        <v>Stock</v>
      </c>
      <c r="E319" s="26" t="str">
        <f t="shared" si="27"/>
        <v>5356</v>
      </c>
      <c r="F319" s="3" t="s">
        <v>1071</v>
      </c>
      <c r="G319" s="2" t="s">
        <v>2180</v>
      </c>
      <c r="H319" s="2">
        <v>28.4</v>
      </c>
      <c r="J319" s="2">
        <f t="shared" si="28"/>
        <v>28.4</v>
      </c>
      <c r="K319" s="35" t="str">
        <f t="shared" ca="1" si="29"/>
        <v>INSERT INTO ETFValue (DataDate, TimeCategory, ProductType, ProductLink, ProductCode, ProductName, NAV, Price, RecTime) VALUES ('2021/5/14','1', 'Stock', '5356','5356','協益','28.4','28.4','15:15:01');</v>
      </c>
    </row>
    <row r="320" spans="1:11">
      <c r="A320" s="21" t="str">
        <f t="shared" ca="1" si="24"/>
        <v>2021/5/14</v>
      </c>
      <c r="B320" s="22" t="str">
        <f t="shared" ca="1" si="25"/>
        <v>15:15:01</v>
      </c>
      <c r="C320" s="23">
        <v>1</v>
      </c>
      <c r="D320" t="str">
        <f t="shared" si="26"/>
        <v>Stock</v>
      </c>
      <c r="E320" s="26" t="str">
        <f t="shared" si="27"/>
        <v>5371</v>
      </c>
      <c r="F320" s="3" t="s">
        <v>933</v>
      </c>
      <c r="G320" s="2" t="s">
        <v>2181</v>
      </c>
      <c r="H320" s="2">
        <v>55.8</v>
      </c>
      <c r="J320" s="2">
        <f t="shared" si="28"/>
        <v>55.8</v>
      </c>
      <c r="K320" s="35" t="str">
        <f t="shared" ca="1" si="29"/>
        <v>INSERT INTO ETFValue (DataDate, TimeCategory, ProductType, ProductLink, ProductCode, ProductName, NAV, Price, RecTime) VALUES ('2021/5/14','1', 'Stock', '5371','5371','中光電','55.8','55.8','15:15:01');</v>
      </c>
    </row>
    <row r="321" spans="1:11">
      <c r="A321" s="21" t="str">
        <f t="shared" ca="1" si="24"/>
        <v>2021/5/14</v>
      </c>
      <c r="B321" s="22" t="str">
        <f t="shared" ca="1" si="25"/>
        <v>15:15:01</v>
      </c>
      <c r="C321" s="23">
        <v>1</v>
      </c>
      <c r="D321" t="str">
        <f t="shared" si="26"/>
        <v>Stock</v>
      </c>
      <c r="E321" s="26" t="str">
        <f t="shared" si="27"/>
        <v>5388</v>
      </c>
      <c r="F321" s="3" t="s">
        <v>764</v>
      </c>
      <c r="G321" s="2" t="s">
        <v>2182</v>
      </c>
      <c r="H321" s="2">
        <v>63.3</v>
      </c>
      <c r="J321" s="2">
        <f t="shared" si="28"/>
        <v>63.3</v>
      </c>
      <c r="K321" s="35" t="str">
        <f t="shared" ca="1" si="29"/>
        <v>INSERT INTO ETFValue (DataDate, TimeCategory, ProductType, ProductLink, ProductCode, ProductName, NAV, Price, RecTime) VALUES ('2021/5/14','1', 'Stock', '5388','5388','中磊','63.3','63.3','15:15:01');</v>
      </c>
    </row>
    <row r="322" spans="1:11">
      <c r="A322" s="21" t="str">
        <f t="shared" ca="1" si="24"/>
        <v>2021/5/14</v>
      </c>
      <c r="B322" s="22" t="str">
        <f t="shared" ca="1" si="25"/>
        <v>15:15:01</v>
      </c>
      <c r="C322" s="23">
        <v>1</v>
      </c>
      <c r="D322" t="str">
        <f t="shared" si="26"/>
        <v>Stock</v>
      </c>
      <c r="E322" s="26" t="str">
        <f t="shared" si="27"/>
        <v>5392</v>
      </c>
      <c r="F322" s="3" t="s">
        <v>934</v>
      </c>
      <c r="G322" s="2" t="s">
        <v>2183</v>
      </c>
      <c r="H322" s="2">
        <v>24.9</v>
      </c>
      <c r="J322" s="2">
        <f t="shared" si="28"/>
        <v>24.9</v>
      </c>
      <c r="K322" s="35" t="str">
        <f t="shared" ca="1" si="29"/>
        <v>INSERT INTO ETFValue (DataDate, TimeCategory, ProductType, ProductLink, ProductCode, ProductName, NAV, Price, RecTime) VALUES ('2021/5/14','1', 'Stock', '5392','5392','應華','24.9','24.9','15:15:01');</v>
      </c>
    </row>
    <row r="323" spans="1:11">
      <c r="A323" s="21" t="str">
        <f t="shared" ca="1" si="24"/>
        <v>2021/5/14</v>
      </c>
      <c r="B323" s="22" t="str">
        <f t="shared" ca="1" si="25"/>
        <v>15:15:01</v>
      </c>
      <c r="C323" s="23">
        <v>1</v>
      </c>
      <c r="D323" t="str">
        <f t="shared" si="26"/>
        <v>Stock</v>
      </c>
      <c r="E323" s="26" t="str">
        <f t="shared" si="27"/>
        <v>5410</v>
      </c>
      <c r="F323" s="3" t="s">
        <v>1072</v>
      </c>
      <c r="G323" s="2" t="s">
        <v>2184</v>
      </c>
      <c r="H323" s="2">
        <v>22.7</v>
      </c>
      <c r="J323" s="2">
        <f t="shared" si="28"/>
        <v>22.7</v>
      </c>
      <c r="K323" s="35" t="str">
        <f t="shared" ca="1" si="29"/>
        <v>INSERT INTO ETFValue (DataDate, TimeCategory, ProductType, ProductLink, ProductCode, ProductName, NAV, Price, RecTime) VALUES ('2021/5/14','1', 'Stock', '5410','5410','國眾','22.7','22.7','15:15:01');</v>
      </c>
    </row>
    <row r="324" spans="1:11">
      <c r="A324" s="21" t="str">
        <f t="shared" ca="1" si="24"/>
        <v>2021/5/14</v>
      </c>
      <c r="B324" s="22" t="str">
        <f t="shared" ca="1" si="25"/>
        <v>15:15:01</v>
      </c>
      <c r="C324" s="23">
        <v>1</v>
      </c>
      <c r="D324" t="str">
        <f t="shared" si="26"/>
        <v>Stock</v>
      </c>
      <c r="E324" s="26" t="str">
        <f t="shared" si="27"/>
        <v>5425</v>
      </c>
      <c r="F324" s="3" t="s">
        <v>935</v>
      </c>
      <c r="G324" s="2" t="s">
        <v>2185</v>
      </c>
      <c r="H324" s="2">
        <v>42.8</v>
      </c>
      <c r="J324" s="2">
        <f t="shared" si="28"/>
        <v>42.8</v>
      </c>
      <c r="K324" s="35" t="str">
        <f t="shared" ca="1" si="29"/>
        <v>INSERT INTO ETFValue (DataDate, TimeCategory, ProductType, ProductLink, ProductCode, ProductName, NAV, Price, RecTime) VALUES ('2021/5/14','1', 'Stock', '5425','5425','台半','42.8','42.8','15:15:01');</v>
      </c>
    </row>
    <row r="325" spans="1:11">
      <c r="A325" s="21" t="str">
        <f t="shared" ca="1" si="24"/>
        <v>2021/5/14</v>
      </c>
      <c r="B325" s="22" t="str">
        <f t="shared" ca="1" si="25"/>
        <v>15:15:01</v>
      </c>
      <c r="C325" s="23">
        <v>1</v>
      </c>
      <c r="D325" t="str">
        <f t="shared" si="26"/>
        <v>Stock</v>
      </c>
      <c r="E325" s="26" t="str">
        <f t="shared" si="27"/>
        <v>5434</v>
      </c>
      <c r="F325" s="3" t="s">
        <v>805</v>
      </c>
      <c r="G325" s="2" t="s">
        <v>2186</v>
      </c>
      <c r="H325" s="2">
        <v>125</v>
      </c>
      <c r="J325" s="2">
        <f t="shared" si="28"/>
        <v>125</v>
      </c>
      <c r="K325" s="35" t="str">
        <f t="shared" ca="1" si="29"/>
        <v>INSERT INTO ETFValue (DataDate, TimeCategory, ProductType, ProductLink, ProductCode, ProductName, NAV, Price, RecTime) VALUES ('2021/5/14','1', 'Stock', '5434','5434','崇越','125','125','15:15:01');</v>
      </c>
    </row>
    <row r="326" spans="1:11">
      <c r="A326" s="21" t="str">
        <f t="shared" ca="1" si="24"/>
        <v>2021/5/14</v>
      </c>
      <c r="B326" s="22" t="str">
        <f t="shared" ca="1" si="25"/>
        <v>15:15:01</v>
      </c>
      <c r="C326" s="23">
        <v>1</v>
      </c>
      <c r="D326" t="str">
        <f t="shared" si="26"/>
        <v>Stock</v>
      </c>
      <c r="E326" s="26" t="str">
        <f t="shared" si="27"/>
        <v>5439</v>
      </c>
      <c r="F326" s="3" t="s">
        <v>936</v>
      </c>
      <c r="G326" s="2" t="s">
        <v>2187</v>
      </c>
      <c r="H326" s="2">
        <v>54.5</v>
      </c>
      <c r="J326" s="2">
        <f t="shared" si="28"/>
        <v>54.5</v>
      </c>
      <c r="K326" s="35" t="str">
        <f t="shared" ca="1" si="29"/>
        <v>INSERT INTO ETFValue (DataDate, TimeCategory, ProductType, ProductLink, ProductCode, ProductName, NAV, Price, RecTime) VALUES ('2021/5/14','1', 'Stock', '5439','5439','高技','54.5','54.5','15:15:01');</v>
      </c>
    </row>
    <row r="327" spans="1:11">
      <c r="A327" s="21" t="str">
        <f t="shared" ref="A327:A390" ca="1" si="30">TEXT($Q$1,"yyyy/m/dd")</f>
        <v>2021/5/14</v>
      </c>
      <c r="B327" s="22" t="str">
        <f t="shared" ref="B327:B390" ca="1" si="31">$Q$2</f>
        <v>15:15:01</v>
      </c>
      <c r="C327" s="23">
        <v>1</v>
      </c>
      <c r="D327" t="str">
        <f t="shared" ref="D327:D390" si="32">IF(LEFT(G327,2)="00","ETF","Stock")</f>
        <v>Stock</v>
      </c>
      <c r="E327" s="26" t="str">
        <f t="shared" ref="E327:E390" si="33">F327</f>
        <v>5443</v>
      </c>
      <c r="F327" s="3" t="s">
        <v>937</v>
      </c>
      <c r="G327" s="2" t="s">
        <v>2188</v>
      </c>
      <c r="H327" s="2">
        <v>33.25</v>
      </c>
      <c r="J327" s="2">
        <f t="shared" ref="J327:J390" si="34">IF($H327&lt;&gt;"",$H327,$I327)</f>
        <v>33.25</v>
      </c>
      <c r="K327" s="35" t="str">
        <f t="shared" ref="K327:K390" ca="1" si="35">"INSERT INTO ETFValue (DataDate, TimeCategory, ProductType, ProductLink, ProductCode, ProductName, NAV, Price, RecTime) VALUES ("&amp;"'"&amp;TEXT(A327,"yyyy/m/dd")&amp;"','"&amp; C327&amp;"', '"&amp;D327&amp;"', '"&amp;E327&amp;"','"&amp;F327&amp;"','"&amp;G327&amp;"','"&amp;ROUND(J327,4)&amp;"','"&amp;J327&amp;"','"&amp;TEXT($Q$2,"hh:mm:ss")&amp;"');"</f>
        <v>INSERT INTO ETFValue (DataDate, TimeCategory, ProductType, ProductLink, ProductCode, ProductName, NAV, Price, RecTime) VALUES ('2021/5/14','1', 'Stock', '5443','5443','均豪','33.25','33.25','15:15:01');</v>
      </c>
    </row>
    <row r="328" spans="1:11">
      <c r="A328" s="21" t="str">
        <f t="shared" ca="1" si="30"/>
        <v>2021/5/14</v>
      </c>
      <c r="B328" s="22" t="str">
        <f t="shared" ca="1" si="31"/>
        <v>15:15:01</v>
      </c>
      <c r="C328" s="23">
        <v>1</v>
      </c>
      <c r="D328" t="str">
        <f t="shared" si="32"/>
        <v>Stock</v>
      </c>
      <c r="E328" s="26" t="str">
        <f t="shared" si="33"/>
        <v>5457</v>
      </c>
      <c r="F328" s="3" t="s">
        <v>938</v>
      </c>
      <c r="G328" s="2" t="s">
        <v>2189</v>
      </c>
      <c r="H328" s="2">
        <v>56.6</v>
      </c>
      <c r="J328" s="2">
        <f t="shared" si="34"/>
        <v>56.6</v>
      </c>
      <c r="K328" s="35" t="str">
        <f t="shared" ca="1" si="35"/>
        <v>INSERT INTO ETFValue (DataDate, TimeCategory, ProductType, ProductLink, ProductCode, ProductName, NAV, Price, RecTime) VALUES ('2021/5/14','1', 'Stock', '5457','5457','宣德','56.6','56.6','15:15:01');</v>
      </c>
    </row>
    <row r="329" spans="1:11">
      <c r="A329" s="21" t="str">
        <f t="shared" ca="1" si="30"/>
        <v>2021/5/14</v>
      </c>
      <c r="B329" s="22" t="str">
        <f t="shared" ca="1" si="31"/>
        <v>15:15:01</v>
      </c>
      <c r="C329" s="23">
        <v>1</v>
      </c>
      <c r="D329" t="str">
        <f t="shared" si="32"/>
        <v>Stock</v>
      </c>
      <c r="E329" s="26" t="str">
        <f t="shared" si="33"/>
        <v>5474</v>
      </c>
      <c r="F329" s="3" t="s">
        <v>939</v>
      </c>
      <c r="G329" s="2" t="s">
        <v>2190</v>
      </c>
      <c r="H329" s="2">
        <v>169.5</v>
      </c>
      <c r="J329" s="2">
        <f t="shared" si="34"/>
        <v>169.5</v>
      </c>
      <c r="K329" s="35" t="str">
        <f t="shared" ca="1" si="35"/>
        <v>INSERT INTO ETFValue (DataDate, TimeCategory, ProductType, ProductLink, ProductCode, ProductName, NAV, Price, RecTime) VALUES ('2021/5/14','1', 'Stock', '5474','5474','聰泰','169.5','169.5','15:15:01');</v>
      </c>
    </row>
    <row r="330" spans="1:11">
      <c r="A330" s="21" t="str">
        <f t="shared" ca="1" si="30"/>
        <v>2021/5/14</v>
      </c>
      <c r="B330" s="22" t="str">
        <f t="shared" ca="1" si="31"/>
        <v>15:15:01</v>
      </c>
      <c r="C330" s="23">
        <v>1</v>
      </c>
      <c r="D330" t="str">
        <f t="shared" si="32"/>
        <v>Stock</v>
      </c>
      <c r="E330" s="26" t="str">
        <f t="shared" si="33"/>
        <v>5478</v>
      </c>
      <c r="F330" s="3" t="s">
        <v>1073</v>
      </c>
      <c r="G330" s="2" t="s">
        <v>2191</v>
      </c>
      <c r="H330" s="2">
        <v>100</v>
      </c>
      <c r="J330" s="2">
        <f t="shared" si="34"/>
        <v>100</v>
      </c>
      <c r="K330" s="35" t="str">
        <f t="shared" ca="1" si="35"/>
        <v>INSERT INTO ETFValue (DataDate, TimeCategory, ProductType, ProductLink, ProductCode, ProductName, NAV, Price, RecTime) VALUES ('2021/5/14','1', 'Stock', '5478','5478','智冠','100','100','15:15:01');</v>
      </c>
    </row>
    <row r="331" spans="1:11">
      <c r="A331" s="21" t="str">
        <f t="shared" ca="1" si="30"/>
        <v>2021/5/14</v>
      </c>
      <c r="B331" s="22" t="str">
        <f t="shared" ca="1" si="31"/>
        <v>15:15:01</v>
      </c>
      <c r="C331" s="23">
        <v>1</v>
      </c>
      <c r="D331" t="str">
        <f t="shared" si="32"/>
        <v>Stock</v>
      </c>
      <c r="E331" s="26" t="str">
        <f t="shared" si="33"/>
        <v>5483</v>
      </c>
      <c r="F331" s="3" t="s">
        <v>940</v>
      </c>
      <c r="G331" s="2" t="s">
        <v>2192</v>
      </c>
      <c r="H331" s="2">
        <v>155</v>
      </c>
      <c r="J331" s="2">
        <f t="shared" si="34"/>
        <v>155</v>
      </c>
      <c r="K331" s="35" t="str">
        <f t="shared" ca="1" si="35"/>
        <v>INSERT INTO ETFValue (DataDate, TimeCategory, ProductType, ProductLink, ProductCode, ProductName, NAV, Price, RecTime) VALUES ('2021/5/14','1', 'Stock', '5483','5483','中美晶','155','155','15:15:01');</v>
      </c>
    </row>
    <row r="332" spans="1:11">
      <c r="A332" s="21" t="str">
        <f t="shared" ca="1" si="30"/>
        <v>2021/5/14</v>
      </c>
      <c r="B332" s="22" t="str">
        <f t="shared" ca="1" si="31"/>
        <v>15:15:01</v>
      </c>
      <c r="C332" s="23">
        <v>1</v>
      </c>
      <c r="D332" t="str">
        <f t="shared" si="32"/>
        <v>Stock</v>
      </c>
      <c r="E332" s="26" t="str">
        <f t="shared" si="33"/>
        <v>5489</v>
      </c>
      <c r="F332" s="3" t="s">
        <v>1074</v>
      </c>
      <c r="G332" s="2" t="s">
        <v>2193</v>
      </c>
      <c r="H332" s="2">
        <v>30</v>
      </c>
      <c r="J332" s="2">
        <f t="shared" si="34"/>
        <v>30</v>
      </c>
      <c r="K332" s="35" t="str">
        <f t="shared" ca="1" si="35"/>
        <v>INSERT INTO ETFValue (DataDate, TimeCategory, ProductType, ProductLink, ProductCode, ProductName, NAV, Price, RecTime) VALUES ('2021/5/14','1', 'Stock', '5489','5489','彩富','30','30','15:15:01');</v>
      </c>
    </row>
    <row r="333" spans="1:11">
      <c r="A333" s="21" t="str">
        <f t="shared" ca="1" si="30"/>
        <v>2021/5/14</v>
      </c>
      <c r="B333" s="22" t="str">
        <f t="shared" ca="1" si="31"/>
        <v>15:15:01</v>
      </c>
      <c r="C333" s="23">
        <v>1</v>
      </c>
      <c r="D333" t="str">
        <f t="shared" si="32"/>
        <v>Stock</v>
      </c>
      <c r="E333" s="26" t="str">
        <f t="shared" si="33"/>
        <v>5490</v>
      </c>
      <c r="F333" s="3" t="s">
        <v>941</v>
      </c>
      <c r="G333" s="2" t="s">
        <v>2194</v>
      </c>
      <c r="H333" s="2">
        <v>26.4</v>
      </c>
      <c r="J333" s="2">
        <f t="shared" si="34"/>
        <v>26.4</v>
      </c>
      <c r="K333" s="35" t="str">
        <f t="shared" ca="1" si="35"/>
        <v>INSERT INTO ETFValue (DataDate, TimeCategory, ProductType, ProductLink, ProductCode, ProductName, NAV, Price, RecTime) VALUES ('2021/5/14','1', 'Stock', '5490','5490','同亨','26.4','26.4','15:15:01');</v>
      </c>
    </row>
    <row r="334" spans="1:11">
      <c r="A334" s="21" t="str">
        <f t="shared" ca="1" si="30"/>
        <v>2021/5/14</v>
      </c>
      <c r="B334" s="22" t="str">
        <f t="shared" ca="1" si="31"/>
        <v>15:15:01</v>
      </c>
      <c r="C334" s="23">
        <v>1</v>
      </c>
      <c r="D334" t="str">
        <f t="shared" si="32"/>
        <v>Stock</v>
      </c>
      <c r="E334" s="26" t="str">
        <f t="shared" si="33"/>
        <v>5512</v>
      </c>
      <c r="F334" s="3" t="s">
        <v>942</v>
      </c>
      <c r="G334" s="2" t="s">
        <v>2195</v>
      </c>
      <c r="H334" s="2">
        <v>9.74</v>
      </c>
      <c r="J334" s="2">
        <f t="shared" si="34"/>
        <v>9.74</v>
      </c>
      <c r="K334" s="35" t="str">
        <f t="shared" ca="1" si="35"/>
        <v>INSERT INTO ETFValue (DataDate, TimeCategory, ProductType, ProductLink, ProductCode, ProductName, NAV, Price, RecTime) VALUES ('2021/5/14','1', 'Stock', '5512','5512','力麒','9.74','9.74','15:15:01');</v>
      </c>
    </row>
    <row r="335" spans="1:11">
      <c r="A335" s="21" t="str">
        <f t="shared" ca="1" si="30"/>
        <v>2021/5/14</v>
      </c>
      <c r="B335" s="22" t="str">
        <f t="shared" ca="1" si="31"/>
        <v>15:15:01</v>
      </c>
      <c r="C335" s="23">
        <v>1</v>
      </c>
      <c r="D335" t="str">
        <f t="shared" si="32"/>
        <v>Stock</v>
      </c>
      <c r="E335" s="26" t="str">
        <f t="shared" si="33"/>
        <v>5522</v>
      </c>
      <c r="F335" s="3" t="s">
        <v>335</v>
      </c>
      <c r="G335" s="2" t="s">
        <v>2196</v>
      </c>
      <c r="H335" s="2">
        <v>53.5</v>
      </c>
      <c r="J335" s="2">
        <f t="shared" si="34"/>
        <v>53.5</v>
      </c>
      <c r="K335" s="35" t="str">
        <f t="shared" ca="1" si="35"/>
        <v>INSERT INTO ETFValue (DataDate, TimeCategory, ProductType, ProductLink, ProductCode, ProductName, NAV, Price, RecTime) VALUES ('2021/5/14','1', 'Stock', '5522','5522','遠雄','53.5','53.5','15:15:01');</v>
      </c>
    </row>
    <row r="336" spans="1:11">
      <c r="A336" s="21" t="str">
        <f t="shared" ca="1" si="30"/>
        <v>2021/5/14</v>
      </c>
      <c r="B336" s="22" t="str">
        <f t="shared" ca="1" si="31"/>
        <v>15:15:01</v>
      </c>
      <c r="C336" s="23">
        <v>1</v>
      </c>
      <c r="D336" t="str">
        <f t="shared" si="32"/>
        <v>Stock</v>
      </c>
      <c r="E336" s="26" t="str">
        <f t="shared" si="33"/>
        <v>5530</v>
      </c>
      <c r="F336" s="3" t="s">
        <v>1057</v>
      </c>
      <c r="G336" s="2" t="s">
        <v>2197</v>
      </c>
      <c r="H336" s="2">
        <v>48.15</v>
      </c>
      <c r="J336" s="2">
        <f t="shared" si="34"/>
        <v>48.15</v>
      </c>
      <c r="K336" s="35" t="str">
        <f t="shared" ca="1" si="35"/>
        <v>INSERT INTO ETFValue (DataDate, TimeCategory, ProductType, ProductLink, ProductCode, ProductName, NAV, Price, RecTime) VALUES ('2021/5/14','1', 'Stock', '5530','5530','龍巖','48.15','48.15','15:15:01');</v>
      </c>
    </row>
    <row r="337" spans="1:11">
      <c r="A337" s="21" t="str">
        <f t="shared" ca="1" si="30"/>
        <v>2021/5/14</v>
      </c>
      <c r="B337" s="22" t="str">
        <f t="shared" ca="1" si="31"/>
        <v>15:15:01</v>
      </c>
      <c r="C337" s="23">
        <v>1</v>
      </c>
      <c r="D337" t="str">
        <f t="shared" si="32"/>
        <v>Stock</v>
      </c>
      <c r="E337" s="26" t="str">
        <f t="shared" si="33"/>
        <v>5534</v>
      </c>
      <c r="F337" s="3" t="s">
        <v>336</v>
      </c>
      <c r="G337" s="2" t="s">
        <v>2198</v>
      </c>
      <c r="H337" s="2">
        <v>78.8</v>
      </c>
      <c r="J337" s="2">
        <f t="shared" si="34"/>
        <v>78.8</v>
      </c>
      <c r="K337" s="35" t="str">
        <f t="shared" ca="1" si="35"/>
        <v>INSERT INTO ETFValue (DataDate, TimeCategory, ProductType, ProductLink, ProductCode, ProductName, NAV, Price, RecTime) VALUES ('2021/5/14','1', 'Stock', '5534','5534','長虹','78.8','78.8','15:15:01');</v>
      </c>
    </row>
    <row r="338" spans="1:11">
      <c r="A338" s="21" t="str">
        <f t="shared" ca="1" si="30"/>
        <v>2021/5/14</v>
      </c>
      <c r="B338" s="22" t="str">
        <f t="shared" ca="1" si="31"/>
        <v>15:15:01</v>
      </c>
      <c r="C338" s="23">
        <v>1</v>
      </c>
      <c r="D338" t="str">
        <f t="shared" si="32"/>
        <v>Stock</v>
      </c>
      <c r="E338" s="26" t="str">
        <f t="shared" si="33"/>
        <v>5536</v>
      </c>
      <c r="F338" s="3" t="s">
        <v>943</v>
      </c>
      <c r="G338" s="2" t="s">
        <v>2199</v>
      </c>
      <c r="H338" s="2">
        <v>186.5</v>
      </c>
      <c r="J338" s="2">
        <f t="shared" si="34"/>
        <v>186.5</v>
      </c>
      <c r="K338" s="35" t="str">
        <f t="shared" ca="1" si="35"/>
        <v>INSERT INTO ETFValue (DataDate, TimeCategory, ProductType, ProductLink, ProductCode, ProductName, NAV, Price, RecTime) VALUES ('2021/5/14','1', 'Stock', '5536','5536','聖暉','186.5','186.5','15:15:01');</v>
      </c>
    </row>
    <row r="339" spans="1:11">
      <c r="A339" s="21" t="str">
        <f t="shared" ca="1" si="30"/>
        <v>2021/5/14</v>
      </c>
      <c r="B339" s="22" t="str">
        <f t="shared" ca="1" si="31"/>
        <v>15:15:01</v>
      </c>
      <c r="C339" s="23">
        <v>1</v>
      </c>
      <c r="D339" t="str">
        <f t="shared" si="32"/>
        <v>Stock</v>
      </c>
      <c r="E339" s="26" t="str">
        <f t="shared" si="33"/>
        <v>5820</v>
      </c>
      <c r="F339" s="3" t="s">
        <v>944</v>
      </c>
      <c r="G339" s="2" t="s">
        <v>2200</v>
      </c>
      <c r="H339" s="2">
        <v>12.9</v>
      </c>
      <c r="J339" s="2">
        <f t="shared" si="34"/>
        <v>12.9</v>
      </c>
      <c r="K339" s="35" t="str">
        <f t="shared" ca="1" si="35"/>
        <v>INSERT INTO ETFValue (DataDate, TimeCategory, ProductType, ProductLink, ProductCode, ProductName, NAV, Price, RecTime) VALUES ('2021/5/14','1', 'Stock', '5820','5820','日盛金','12.9','12.9','15:15:01');</v>
      </c>
    </row>
    <row r="340" spans="1:11">
      <c r="A340" s="21" t="str">
        <f t="shared" ca="1" si="30"/>
        <v>2021/5/14</v>
      </c>
      <c r="B340" s="22" t="str">
        <f t="shared" ca="1" si="31"/>
        <v>15:15:01</v>
      </c>
      <c r="C340" s="23">
        <v>1</v>
      </c>
      <c r="D340" t="str">
        <f t="shared" si="32"/>
        <v>Stock</v>
      </c>
      <c r="E340" s="26" t="str">
        <f t="shared" si="33"/>
        <v>5871</v>
      </c>
      <c r="F340" s="3" t="s">
        <v>337</v>
      </c>
      <c r="G340" s="2" t="s">
        <v>2201</v>
      </c>
      <c r="H340" s="2">
        <v>195.5</v>
      </c>
      <c r="J340" s="2">
        <f t="shared" si="34"/>
        <v>195.5</v>
      </c>
      <c r="K340" s="35" t="str">
        <f t="shared" ca="1" si="35"/>
        <v>INSERT INTO ETFValue (DataDate, TimeCategory, ProductType, ProductLink, ProductCode, ProductName, NAV, Price, RecTime) VALUES ('2021/5/14','1', 'Stock', '5871','5871','中租-KY','195.5','195.5','15:15:01');</v>
      </c>
    </row>
    <row r="341" spans="1:11">
      <c r="A341" s="21" t="str">
        <f t="shared" ca="1" si="30"/>
        <v>2021/5/14</v>
      </c>
      <c r="B341" s="22" t="str">
        <f t="shared" ca="1" si="31"/>
        <v>15:15:01</v>
      </c>
      <c r="C341" s="23">
        <v>1</v>
      </c>
      <c r="D341" t="str">
        <f t="shared" si="32"/>
        <v>Stock</v>
      </c>
      <c r="E341" s="26" t="str">
        <f t="shared" si="33"/>
        <v>5876</v>
      </c>
      <c r="F341" s="3" t="s">
        <v>338</v>
      </c>
      <c r="G341" s="2" t="s">
        <v>2202</v>
      </c>
      <c r="H341" s="2">
        <v>42.65</v>
      </c>
      <c r="J341" s="2">
        <f t="shared" si="34"/>
        <v>42.65</v>
      </c>
      <c r="K341" s="35" t="str">
        <f t="shared" ca="1" si="35"/>
        <v>INSERT INTO ETFValue (DataDate, TimeCategory, ProductType, ProductLink, ProductCode, ProductName, NAV, Price, RecTime) VALUES ('2021/5/14','1', 'Stock', '5876','5876','上海商銀','42.65','42.65','15:15:01');</v>
      </c>
    </row>
    <row r="342" spans="1:11">
      <c r="A342" s="21" t="str">
        <f t="shared" ca="1" si="30"/>
        <v>2021/5/14</v>
      </c>
      <c r="B342" s="22" t="str">
        <f t="shared" ca="1" si="31"/>
        <v>15:15:01</v>
      </c>
      <c r="C342" s="23">
        <v>1</v>
      </c>
      <c r="D342" t="str">
        <f t="shared" si="32"/>
        <v>Stock</v>
      </c>
      <c r="E342" s="26" t="str">
        <f t="shared" si="33"/>
        <v>5880</v>
      </c>
      <c r="F342" s="3" t="s">
        <v>339</v>
      </c>
      <c r="G342" s="2" t="s">
        <v>2203</v>
      </c>
      <c r="H342" s="2">
        <v>20.75</v>
      </c>
      <c r="J342" s="2">
        <f t="shared" si="34"/>
        <v>20.75</v>
      </c>
      <c r="K342" s="35" t="str">
        <f t="shared" ca="1" si="35"/>
        <v>INSERT INTO ETFValue (DataDate, TimeCategory, ProductType, ProductLink, ProductCode, ProductName, NAV, Price, RecTime) VALUES ('2021/5/14','1', 'Stock', '5880','5880','合庫金','20.75','20.75','15:15:01');</v>
      </c>
    </row>
    <row r="343" spans="1:11">
      <c r="A343" s="21" t="str">
        <f t="shared" ca="1" si="30"/>
        <v>2021/5/14</v>
      </c>
      <c r="B343" s="22" t="str">
        <f t="shared" ca="1" si="31"/>
        <v>15:15:01</v>
      </c>
      <c r="C343" s="23">
        <v>1</v>
      </c>
      <c r="D343" t="str">
        <f t="shared" si="32"/>
        <v>Stock</v>
      </c>
      <c r="E343" s="26" t="str">
        <f t="shared" si="33"/>
        <v>5903</v>
      </c>
      <c r="F343" s="3" t="s">
        <v>1058</v>
      </c>
      <c r="G343" s="2" t="s">
        <v>2204</v>
      </c>
      <c r="H343" s="2">
        <v>266</v>
      </c>
      <c r="J343" s="2">
        <f t="shared" si="34"/>
        <v>266</v>
      </c>
      <c r="K343" s="35" t="str">
        <f t="shared" ca="1" si="35"/>
        <v>INSERT INTO ETFValue (DataDate, TimeCategory, ProductType, ProductLink, ProductCode, ProductName, NAV, Price, RecTime) VALUES ('2021/5/14','1', 'Stock', '5903','5903','全家','266','266','15:15:01');</v>
      </c>
    </row>
    <row r="344" spans="1:11">
      <c r="A344" s="21" t="str">
        <f t="shared" ca="1" si="30"/>
        <v>2021/5/14</v>
      </c>
      <c r="B344" s="22" t="str">
        <f t="shared" ca="1" si="31"/>
        <v>15:15:01</v>
      </c>
      <c r="C344" s="23">
        <v>1</v>
      </c>
      <c r="D344" t="str">
        <f t="shared" si="32"/>
        <v>Stock</v>
      </c>
      <c r="E344" s="26" t="str">
        <f t="shared" si="33"/>
        <v>5904</v>
      </c>
      <c r="F344" s="3" t="s">
        <v>1059</v>
      </c>
      <c r="G344" s="2" t="s">
        <v>2205</v>
      </c>
      <c r="H344" s="2">
        <v>580</v>
      </c>
      <c r="J344" s="2">
        <f t="shared" si="34"/>
        <v>580</v>
      </c>
      <c r="K344" s="35" t="str">
        <f t="shared" ca="1" si="35"/>
        <v>INSERT INTO ETFValue (DataDate, TimeCategory, ProductType, ProductLink, ProductCode, ProductName, NAV, Price, RecTime) VALUES ('2021/5/14','1', 'Stock', '5904','5904','寶雅','580','580','15:15:01');</v>
      </c>
    </row>
    <row r="345" spans="1:11">
      <c r="A345" s="21" t="str">
        <f t="shared" ca="1" si="30"/>
        <v>2021/5/14</v>
      </c>
      <c r="B345" s="22" t="str">
        <f t="shared" ca="1" si="31"/>
        <v>15:15:01</v>
      </c>
      <c r="C345" s="23">
        <v>1</v>
      </c>
      <c r="D345" t="str">
        <f t="shared" si="32"/>
        <v>Stock</v>
      </c>
      <c r="E345" s="26" t="str">
        <f t="shared" si="33"/>
        <v>6005</v>
      </c>
      <c r="F345" s="3" t="s">
        <v>825</v>
      </c>
      <c r="G345" s="2" t="s">
        <v>2206</v>
      </c>
      <c r="H345" s="2">
        <v>16.2</v>
      </c>
      <c r="J345" s="2">
        <f t="shared" si="34"/>
        <v>16.2</v>
      </c>
      <c r="K345" s="35" t="str">
        <f t="shared" ca="1" si="35"/>
        <v>INSERT INTO ETFValue (DataDate, TimeCategory, ProductType, ProductLink, ProductCode, ProductName, NAV, Price, RecTime) VALUES ('2021/5/14','1', 'Stock', '6005','6005','群益證','16.2','16.2','15:15:01');</v>
      </c>
    </row>
    <row r="346" spans="1:11">
      <c r="A346" s="21" t="str">
        <f t="shared" ca="1" si="30"/>
        <v>2021/5/14</v>
      </c>
      <c r="B346" s="22" t="str">
        <f t="shared" ca="1" si="31"/>
        <v>15:15:01</v>
      </c>
      <c r="C346" s="23">
        <v>1</v>
      </c>
      <c r="D346" t="str">
        <f t="shared" si="32"/>
        <v>Stock</v>
      </c>
      <c r="E346" s="26" t="str">
        <f t="shared" si="33"/>
        <v>6016</v>
      </c>
      <c r="F346" s="3" t="s">
        <v>945</v>
      </c>
      <c r="G346" s="2" t="s">
        <v>2207</v>
      </c>
      <c r="H346" s="2">
        <v>16.3</v>
      </c>
      <c r="J346" s="2">
        <f t="shared" si="34"/>
        <v>16.3</v>
      </c>
      <c r="K346" s="35" t="str">
        <f t="shared" ca="1" si="35"/>
        <v>INSERT INTO ETFValue (DataDate, TimeCategory, ProductType, ProductLink, ProductCode, ProductName, NAV, Price, RecTime) VALUES ('2021/5/14','1', 'Stock', '6016','6016','康和證','16.3','16.3','15:15:01');</v>
      </c>
    </row>
    <row r="347" spans="1:11">
      <c r="A347" s="21" t="str">
        <f t="shared" ca="1" si="30"/>
        <v>2021/5/14</v>
      </c>
      <c r="B347" s="22" t="str">
        <f t="shared" ca="1" si="31"/>
        <v>15:15:01</v>
      </c>
      <c r="C347" s="23">
        <v>1</v>
      </c>
      <c r="D347" t="str">
        <f t="shared" si="32"/>
        <v>Stock</v>
      </c>
      <c r="E347" s="26" t="str">
        <f t="shared" si="33"/>
        <v>6023</v>
      </c>
      <c r="F347" s="3" t="s">
        <v>1060</v>
      </c>
      <c r="G347" s="2" t="s">
        <v>2208</v>
      </c>
      <c r="H347" s="2">
        <v>50.2</v>
      </c>
      <c r="J347" s="2">
        <f t="shared" si="34"/>
        <v>50.2</v>
      </c>
      <c r="K347" s="35" t="str">
        <f t="shared" ca="1" si="35"/>
        <v>INSERT INTO ETFValue (DataDate, TimeCategory, ProductType, ProductLink, ProductCode, ProductName, NAV, Price, RecTime) VALUES ('2021/5/14','1', 'Stock', '6023','6023','元大期','50.2','50.2','15:15:01');</v>
      </c>
    </row>
    <row r="348" spans="1:11">
      <c r="A348" s="21" t="str">
        <f t="shared" ca="1" si="30"/>
        <v>2021/5/14</v>
      </c>
      <c r="B348" s="22" t="str">
        <f t="shared" ca="1" si="31"/>
        <v>15:15:01</v>
      </c>
      <c r="C348" s="23">
        <v>1</v>
      </c>
      <c r="D348" t="str">
        <f t="shared" si="32"/>
        <v>Stock</v>
      </c>
      <c r="E348" s="26" t="str">
        <f t="shared" si="33"/>
        <v>6101</v>
      </c>
      <c r="F348" s="3" t="s">
        <v>946</v>
      </c>
      <c r="G348" s="2" t="s">
        <v>2209</v>
      </c>
      <c r="H348" s="2">
        <v>18.8</v>
      </c>
      <c r="J348" s="2">
        <f t="shared" si="34"/>
        <v>18.8</v>
      </c>
      <c r="K348" s="35" t="str">
        <f t="shared" ca="1" si="35"/>
        <v>INSERT INTO ETFValue (DataDate, TimeCategory, ProductType, ProductLink, ProductCode, ProductName, NAV, Price, RecTime) VALUES ('2021/5/14','1', 'Stock', '6101','6101','寬魚國際','18.8','18.8','15:15:01');</v>
      </c>
    </row>
    <row r="349" spans="1:11">
      <c r="A349" s="21" t="str">
        <f t="shared" ca="1" si="30"/>
        <v>2021/5/14</v>
      </c>
      <c r="B349" s="22" t="str">
        <f t="shared" ca="1" si="31"/>
        <v>15:15:01</v>
      </c>
      <c r="C349" s="23">
        <v>1</v>
      </c>
      <c r="D349" t="str">
        <f t="shared" si="32"/>
        <v>Stock</v>
      </c>
      <c r="E349" s="26" t="str">
        <f t="shared" si="33"/>
        <v>6104</v>
      </c>
      <c r="F349" s="3" t="s">
        <v>947</v>
      </c>
      <c r="G349" s="2" t="s">
        <v>2210</v>
      </c>
      <c r="H349" s="2">
        <v>53.3</v>
      </c>
      <c r="J349" s="2">
        <f t="shared" si="34"/>
        <v>53.3</v>
      </c>
      <c r="K349" s="35" t="str">
        <f t="shared" ca="1" si="35"/>
        <v>INSERT INTO ETFValue (DataDate, TimeCategory, ProductType, ProductLink, ProductCode, ProductName, NAV, Price, RecTime) VALUES ('2021/5/14','1', 'Stock', '6104','6104','創惟','53.3','53.3','15:15:01');</v>
      </c>
    </row>
    <row r="350" spans="1:11">
      <c r="A350" s="21" t="str">
        <f t="shared" ca="1" si="30"/>
        <v>2021/5/14</v>
      </c>
      <c r="B350" s="22" t="str">
        <f t="shared" ca="1" si="31"/>
        <v>15:15:01</v>
      </c>
      <c r="C350" s="23">
        <v>1</v>
      </c>
      <c r="D350" t="str">
        <f t="shared" si="32"/>
        <v>Stock</v>
      </c>
      <c r="E350" s="26" t="str">
        <f t="shared" si="33"/>
        <v>6111</v>
      </c>
      <c r="F350" s="3" t="s">
        <v>948</v>
      </c>
      <c r="G350" s="2" t="s">
        <v>2211</v>
      </c>
      <c r="H350" s="2">
        <v>55.2</v>
      </c>
      <c r="J350" s="2">
        <f t="shared" si="34"/>
        <v>55.2</v>
      </c>
      <c r="K350" s="35" t="str">
        <f t="shared" ca="1" si="35"/>
        <v>INSERT INTO ETFValue (DataDate, TimeCategory, ProductType, ProductLink, ProductCode, ProductName, NAV, Price, RecTime) VALUES ('2021/5/14','1', 'Stock', '6111','6111','大宇資','55.2','55.2','15:15:01');</v>
      </c>
    </row>
    <row r="351" spans="1:11">
      <c r="A351" s="21" t="str">
        <f t="shared" ca="1" si="30"/>
        <v>2021/5/14</v>
      </c>
      <c r="B351" s="22" t="str">
        <f t="shared" ca="1" si="31"/>
        <v>15:15:01</v>
      </c>
      <c r="C351" s="23">
        <v>1</v>
      </c>
      <c r="D351" t="str">
        <f t="shared" si="32"/>
        <v>Stock</v>
      </c>
      <c r="E351" s="26" t="str">
        <f t="shared" si="33"/>
        <v>6116</v>
      </c>
      <c r="F351" s="3" t="s">
        <v>1038</v>
      </c>
      <c r="G351" s="2" t="s">
        <v>2212</v>
      </c>
      <c r="H351" s="2">
        <v>17.95</v>
      </c>
      <c r="J351" s="2">
        <f t="shared" si="34"/>
        <v>17.95</v>
      </c>
      <c r="K351" s="35" t="str">
        <f t="shared" ca="1" si="35"/>
        <v>INSERT INTO ETFValue (DataDate, TimeCategory, ProductType, ProductLink, ProductCode, ProductName, NAV, Price, RecTime) VALUES ('2021/5/14','1', 'Stock', '6116','6116','彩晶','17.95','17.95','15:15:01');</v>
      </c>
    </row>
    <row r="352" spans="1:11">
      <c r="A352" s="21" t="str">
        <f t="shared" ca="1" si="30"/>
        <v>2021/5/14</v>
      </c>
      <c r="B352" s="22" t="str">
        <f t="shared" ca="1" si="31"/>
        <v>15:15:01</v>
      </c>
      <c r="C352" s="23">
        <v>1</v>
      </c>
      <c r="D352" t="str">
        <f t="shared" si="32"/>
        <v>Stock</v>
      </c>
      <c r="E352" s="26" t="str">
        <f t="shared" si="33"/>
        <v>6121</v>
      </c>
      <c r="F352" s="3" t="s">
        <v>949</v>
      </c>
      <c r="G352" s="2" t="s">
        <v>2213</v>
      </c>
      <c r="H352" s="2">
        <v>345</v>
      </c>
      <c r="J352" s="2">
        <f t="shared" si="34"/>
        <v>345</v>
      </c>
      <c r="K352" s="35" t="str">
        <f t="shared" ca="1" si="35"/>
        <v>INSERT INTO ETFValue (DataDate, TimeCategory, ProductType, ProductLink, ProductCode, ProductName, NAV, Price, RecTime) VALUES ('2021/5/14','1', 'Stock', '6121','6121','新普','345','345','15:15:01');</v>
      </c>
    </row>
    <row r="353" spans="1:11">
      <c r="A353" s="21" t="str">
        <f t="shared" ca="1" si="30"/>
        <v>2021/5/14</v>
      </c>
      <c r="B353" s="22" t="str">
        <f t="shared" ca="1" si="31"/>
        <v>15:15:01</v>
      </c>
      <c r="C353" s="23">
        <v>1</v>
      </c>
      <c r="D353" t="str">
        <f t="shared" si="32"/>
        <v>Stock</v>
      </c>
      <c r="E353" s="26" t="str">
        <f t="shared" si="33"/>
        <v>6125</v>
      </c>
      <c r="F353" s="3" t="s">
        <v>950</v>
      </c>
      <c r="G353" s="2" t="s">
        <v>2214</v>
      </c>
      <c r="H353" s="2">
        <v>21.1</v>
      </c>
      <c r="J353" s="2">
        <f t="shared" si="34"/>
        <v>21.1</v>
      </c>
      <c r="K353" s="35" t="str">
        <f t="shared" ca="1" si="35"/>
        <v>INSERT INTO ETFValue (DataDate, TimeCategory, ProductType, ProductLink, ProductCode, ProductName, NAV, Price, RecTime) VALUES ('2021/5/14','1', 'Stock', '6125','6125','廣運','21.1','21.1','15:15:01');</v>
      </c>
    </row>
    <row r="354" spans="1:11">
      <c r="A354" s="21" t="str">
        <f t="shared" ca="1" si="30"/>
        <v>2021/5/14</v>
      </c>
      <c r="B354" s="22" t="str">
        <f t="shared" ca="1" si="31"/>
        <v>15:15:01</v>
      </c>
      <c r="C354" s="23">
        <v>1</v>
      </c>
      <c r="D354" t="str">
        <f t="shared" si="32"/>
        <v>Stock</v>
      </c>
      <c r="E354" s="26" t="str">
        <f t="shared" si="33"/>
        <v>6138</v>
      </c>
      <c r="F354" s="3" t="s">
        <v>951</v>
      </c>
      <c r="G354" s="2" t="s">
        <v>2215</v>
      </c>
      <c r="H354" s="2">
        <v>122.5</v>
      </c>
      <c r="J354" s="2">
        <f t="shared" si="34"/>
        <v>122.5</v>
      </c>
      <c r="K354" s="35" t="str">
        <f t="shared" ca="1" si="35"/>
        <v>INSERT INTO ETFValue (DataDate, TimeCategory, ProductType, ProductLink, ProductCode, ProductName, NAV, Price, RecTime) VALUES ('2021/5/14','1', 'Stock', '6138','6138','茂達','122.5','122.5','15:15:01');</v>
      </c>
    </row>
    <row r="355" spans="1:11">
      <c r="A355" s="21" t="str">
        <f t="shared" ca="1" si="30"/>
        <v>2021/5/14</v>
      </c>
      <c r="B355" s="22" t="str">
        <f t="shared" ca="1" si="31"/>
        <v>15:15:01</v>
      </c>
      <c r="C355" s="23">
        <v>1</v>
      </c>
      <c r="D355" t="str">
        <f t="shared" si="32"/>
        <v>Stock</v>
      </c>
      <c r="E355" s="26" t="str">
        <f t="shared" si="33"/>
        <v>6143</v>
      </c>
      <c r="F355" s="3" t="s">
        <v>952</v>
      </c>
      <c r="G355" s="2" t="s">
        <v>2216</v>
      </c>
      <c r="H355" s="2">
        <v>41.85</v>
      </c>
      <c r="J355" s="2">
        <f t="shared" si="34"/>
        <v>41.85</v>
      </c>
      <c r="K355" s="35" t="str">
        <f t="shared" ca="1" si="35"/>
        <v>INSERT INTO ETFValue (DataDate, TimeCategory, ProductType, ProductLink, ProductCode, ProductName, NAV, Price, RecTime) VALUES ('2021/5/14','1', 'Stock', '6143','6143','振曜','41.85','41.85','15:15:01');</v>
      </c>
    </row>
    <row r="356" spans="1:11">
      <c r="A356" s="21" t="str">
        <f t="shared" ca="1" si="30"/>
        <v>2021/5/14</v>
      </c>
      <c r="B356" s="22" t="str">
        <f t="shared" ca="1" si="31"/>
        <v>15:15:01</v>
      </c>
      <c r="C356" s="23">
        <v>1</v>
      </c>
      <c r="D356" t="str">
        <f t="shared" si="32"/>
        <v>Stock</v>
      </c>
      <c r="E356" s="26" t="str">
        <f t="shared" si="33"/>
        <v>6146</v>
      </c>
      <c r="F356" s="3" t="s">
        <v>1075</v>
      </c>
      <c r="G356" s="2" t="s">
        <v>2217</v>
      </c>
      <c r="H356" s="2">
        <v>252</v>
      </c>
      <c r="J356" s="2">
        <f t="shared" si="34"/>
        <v>252</v>
      </c>
      <c r="K356" s="35" t="str">
        <f t="shared" ca="1" si="35"/>
        <v>INSERT INTO ETFValue (DataDate, TimeCategory, ProductType, ProductLink, ProductCode, ProductName, NAV, Price, RecTime) VALUES ('2021/5/14','1', 'Stock', '6146','6146','耕興','252','252','15:15:01');</v>
      </c>
    </row>
    <row r="357" spans="1:11">
      <c r="A357" s="21" t="str">
        <f t="shared" ca="1" si="30"/>
        <v>2021/5/14</v>
      </c>
      <c r="B357" s="22" t="str">
        <f t="shared" ca="1" si="31"/>
        <v>15:15:01</v>
      </c>
      <c r="C357" s="23">
        <v>1</v>
      </c>
      <c r="D357" t="str">
        <f t="shared" si="32"/>
        <v>Stock</v>
      </c>
      <c r="E357" s="26" t="str">
        <f t="shared" si="33"/>
        <v>6147</v>
      </c>
      <c r="F357" s="3" t="s">
        <v>953</v>
      </c>
      <c r="G357" s="2" t="s">
        <v>2218</v>
      </c>
      <c r="H357" s="2">
        <v>66.599999999999994</v>
      </c>
      <c r="J357" s="2">
        <f t="shared" si="34"/>
        <v>66.599999999999994</v>
      </c>
      <c r="K357" s="35" t="str">
        <f t="shared" ca="1" si="35"/>
        <v>INSERT INTO ETFValue (DataDate, TimeCategory, ProductType, ProductLink, ProductCode, ProductName, NAV, Price, RecTime) VALUES ('2021/5/14','1', 'Stock', '6147','6147','頎邦','66.6','66.6','15:15:01');</v>
      </c>
    </row>
    <row r="358" spans="1:11">
      <c r="A358" s="21" t="str">
        <f t="shared" ca="1" si="30"/>
        <v>2021/5/14</v>
      </c>
      <c r="B358" s="22" t="str">
        <f t="shared" ca="1" si="31"/>
        <v>15:15:01</v>
      </c>
      <c r="C358" s="23">
        <v>1</v>
      </c>
      <c r="D358" t="str">
        <f t="shared" si="32"/>
        <v>Stock</v>
      </c>
      <c r="E358" s="26" t="str">
        <f t="shared" si="33"/>
        <v>6153</v>
      </c>
      <c r="F358" s="3" t="s">
        <v>826</v>
      </c>
      <c r="G358" s="2" t="s">
        <v>2219</v>
      </c>
      <c r="H358" s="2">
        <v>27.7</v>
      </c>
      <c r="J358" s="2">
        <f t="shared" si="34"/>
        <v>27.7</v>
      </c>
      <c r="K358" s="35" t="str">
        <f t="shared" ca="1" si="35"/>
        <v>INSERT INTO ETFValue (DataDate, TimeCategory, ProductType, ProductLink, ProductCode, ProductName, NAV, Price, RecTime) VALUES ('2021/5/14','1', 'Stock', '6153','6153','嘉聯益','27.7','27.7','15:15:01');</v>
      </c>
    </row>
    <row r="359" spans="1:11">
      <c r="A359" s="21" t="str">
        <f t="shared" ca="1" si="30"/>
        <v>2021/5/14</v>
      </c>
      <c r="B359" s="22" t="str">
        <f t="shared" ca="1" si="31"/>
        <v>15:15:01</v>
      </c>
      <c r="C359" s="23">
        <v>1</v>
      </c>
      <c r="D359" t="str">
        <f t="shared" si="32"/>
        <v>Stock</v>
      </c>
      <c r="E359" s="26" t="str">
        <f t="shared" si="33"/>
        <v>6158</v>
      </c>
      <c r="F359" s="3" t="s">
        <v>954</v>
      </c>
      <c r="G359" s="2" t="s">
        <v>2220</v>
      </c>
      <c r="H359" s="2">
        <v>27.85</v>
      </c>
      <c r="J359" s="2">
        <f t="shared" si="34"/>
        <v>27.85</v>
      </c>
      <c r="K359" s="35" t="str">
        <f t="shared" ca="1" si="35"/>
        <v>INSERT INTO ETFValue (DataDate, TimeCategory, ProductType, ProductLink, ProductCode, ProductName, NAV, Price, RecTime) VALUES ('2021/5/14','1', 'Stock', '6158','6158','禾昌','27.85','27.85','15:15:01');</v>
      </c>
    </row>
    <row r="360" spans="1:11">
      <c r="A360" s="21" t="str">
        <f t="shared" ca="1" si="30"/>
        <v>2021/5/14</v>
      </c>
      <c r="B360" s="22" t="str">
        <f t="shared" ca="1" si="31"/>
        <v>15:15:01</v>
      </c>
      <c r="C360" s="23">
        <v>1</v>
      </c>
      <c r="D360" t="str">
        <f t="shared" si="32"/>
        <v>Stock</v>
      </c>
      <c r="E360" s="26" t="str">
        <f t="shared" si="33"/>
        <v>6166</v>
      </c>
      <c r="F360" s="3" t="s">
        <v>806</v>
      </c>
      <c r="G360" s="2" t="s">
        <v>2221</v>
      </c>
      <c r="H360" s="2">
        <v>57</v>
      </c>
      <c r="J360" s="2">
        <f t="shared" si="34"/>
        <v>57</v>
      </c>
      <c r="K360" s="35" t="str">
        <f t="shared" ca="1" si="35"/>
        <v>INSERT INTO ETFValue (DataDate, TimeCategory, ProductType, ProductLink, ProductCode, ProductName, NAV, Price, RecTime) VALUES ('2021/5/14','1', 'Stock', '6166','6166','凌華','57','57','15:15:01');</v>
      </c>
    </row>
    <row r="361" spans="1:11">
      <c r="A361" s="21" t="str">
        <f t="shared" ca="1" si="30"/>
        <v>2021/5/14</v>
      </c>
      <c r="B361" s="22" t="str">
        <f t="shared" ca="1" si="31"/>
        <v>15:15:01</v>
      </c>
      <c r="C361" s="23">
        <v>1</v>
      </c>
      <c r="D361" t="str">
        <f t="shared" si="32"/>
        <v>Stock</v>
      </c>
      <c r="E361" s="26" t="str">
        <f t="shared" si="33"/>
        <v>6173</v>
      </c>
      <c r="F361" s="3" t="s">
        <v>955</v>
      </c>
      <c r="G361" s="2" t="s">
        <v>2222</v>
      </c>
      <c r="H361" s="2">
        <v>57.1</v>
      </c>
      <c r="J361" s="2">
        <f t="shared" si="34"/>
        <v>57.1</v>
      </c>
      <c r="K361" s="35" t="str">
        <f t="shared" ca="1" si="35"/>
        <v>INSERT INTO ETFValue (DataDate, TimeCategory, ProductType, ProductLink, ProductCode, ProductName, NAV, Price, RecTime) VALUES ('2021/5/14','1', 'Stock', '6173','6173','信昌電','57.1','57.1','15:15:01');</v>
      </c>
    </row>
    <row r="362" spans="1:11">
      <c r="A362" s="21" t="str">
        <f t="shared" ca="1" si="30"/>
        <v>2021/5/14</v>
      </c>
      <c r="B362" s="22" t="str">
        <f t="shared" ca="1" si="31"/>
        <v>15:15:01</v>
      </c>
      <c r="C362" s="23">
        <v>1</v>
      </c>
      <c r="D362" t="str">
        <f t="shared" si="32"/>
        <v>Stock</v>
      </c>
      <c r="E362" s="26" t="str">
        <f t="shared" si="33"/>
        <v>6175</v>
      </c>
      <c r="F362" s="3" t="s">
        <v>956</v>
      </c>
      <c r="G362" s="2" t="s">
        <v>2223</v>
      </c>
      <c r="H362" s="2">
        <v>32.200000000000003</v>
      </c>
      <c r="J362" s="2">
        <f t="shared" si="34"/>
        <v>32.200000000000003</v>
      </c>
      <c r="K362" s="35" t="str">
        <f t="shared" ca="1" si="35"/>
        <v>INSERT INTO ETFValue (DataDate, TimeCategory, ProductType, ProductLink, ProductCode, ProductName, NAV, Price, RecTime) VALUES ('2021/5/14','1', 'Stock', '6175','6175','立敦','32.2','32.2','15:15:01');</v>
      </c>
    </row>
    <row r="363" spans="1:11">
      <c r="A363" s="21" t="str">
        <f t="shared" ca="1" si="30"/>
        <v>2021/5/14</v>
      </c>
      <c r="B363" s="22" t="str">
        <f t="shared" ca="1" si="31"/>
        <v>15:15:01</v>
      </c>
      <c r="C363" s="23">
        <v>1</v>
      </c>
      <c r="D363" t="str">
        <f t="shared" si="32"/>
        <v>Stock</v>
      </c>
      <c r="E363" s="26" t="str">
        <f t="shared" si="33"/>
        <v>6176</v>
      </c>
      <c r="F363" s="3" t="s">
        <v>340</v>
      </c>
      <c r="G363" s="2" t="s">
        <v>2224</v>
      </c>
      <c r="H363" s="2">
        <v>116</v>
      </c>
      <c r="J363" s="2">
        <f t="shared" si="34"/>
        <v>116</v>
      </c>
      <c r="K363" s="35" t="str">
        <f t="shared" ca="1" si="35"/>
        <v>INSERT INTO ETFValue (DataDate, TimeCategory, ProductType, ProductLink, ProductCode, ProductName, NAV, Price, RecTime) VALUES ('2021/5/14','1', 'Stock', '6176','6176','瑞儀','116','116','15:15:01');</v>
      </c>
    </row>
    <row r="364" spans="1:11">
      <c r="A364" s="21" t="str">
        <f t="shared" ca="1" si="30"/>
        <v>2021/5/14</v>
      </c>
      <c r="B364" s="22" t="str">
        <f t="shared" ca="1" si="31"/>
        <v>15:15:01</v>
      </c>
      <c r="C364" s="23">
        <v>1</v>
      </c>
      <c r="D364" t="str">
        <f t="shared" si="32"/>
        <v>Stock</v>
      </c>
      <c r="E364" s="26" t="str">
        <f t="shared" si="33"/>
        <v>6180</v>
      </c>
      <c r="F364" s="3" t="s">
        <v>957</v>
      </c>
      <c r="G364" s="2" t="s">
        <v>2225</v>
      </c>
      <c r="H364" s="2">
        <v>60.6</v>
      </c>
      <c r="J364" s="2">
        <f t="shared" si="34"/>
        <v>60.6</v>
      </c>
      <c r="K364" s="35" t="str">
        <f t="shared" ca="1" si="35"/>
        <v>INSERT INTO ETFValue (DataDate, TimeCategory, ProductType, ProductLink, ProductCode, ProductName, NAV, Price, RecTime) VALUES ('2021/5/14','1', 'Stock', '6180','6180','橘子','60.6','60.6','15:15:01');</v>
      </c>
    </row>
    <row r="365" spans="1:11">
      <c r="A365" s="21" t="str">
        <f t="shared" ca="1" si="30"/>
        <v>2021/5/14</v>
      </c>
      <c r="B365" s="22" t="str">
        <f t="shared" ca="1" si="31"/>
        <v>15:15:01</v>
      </c>
      <c r="C365" s="23">
        <v>1</v>
      </c>
      <c r="D365" t="str">
        <f t="shared" si="32"/>
        <v>Stock</v>
      </c>
      <c r="E365" s="26" t="str">
        <f t="shared" si="33"/>
        <v>6182</v>
      </c>
      <c r="F365" s="3" t="s">
        <v>958</v>
      </c>
      <c r="G365" s="2" t="s">
        <v>2226</v>
      </c>
      <c r="H365" s="2">
        <v>44.45</v>
      </c>
      <c r="J365" s="2">
        <f t="shared" si="34"/>
        <v>44.45</v>
      </c>
      <c r="K365" s="35" t="str">
        <f t="shared" ca="1" si="35"/>
        <v>INSERT INTO ETFValue (DataDate, TimeCategory, ProductType, ProductLink, ProductCode, ProductName, NAV, Price, RecTime) VALUES ('2021/5/14','1', 'Stock', '6182','6182','合晶','44.45','44.45','15:15:01');</v>
      </c>
    </row>
    <row r="366" spans="1:11">
      <c r="A366" s="21" t="str">
        <f t="shared" ca="1" si="30"/>
        <v>2021/5/14</v>
      </c>
      <c r="B366" s="22" t="str">
        <f t="shared" ca="1" si="31"/>
        <v>15:15:01</v>
      </c>
      <c r="C366" s="23">
        <v>1</v>
      </c>
      <c r="D366" t="str">
        <f t="shared" si="32"/>
        <v>Stock</v>
      </c>
      <c r="E366" s="26" t="str">
        <f t="shared" si="33"/>
        <v>6187</v>
      </c>
      <c r="F366" s="3" t="s">
        <v>959</v>
      </c>
      <c r="G366" s="2" t="s">
        <v>2227</v>
      </c>
      <c r="H366" s="2">
        <v>116</v>
      </c>
      <c r="J366" s="2">
        <f t="shared" si="34"/>
        <v>116</v>
      </c>
      <c r="K366" s="35" t="str">
        <f t="shared" ca="1" si="35"/>
        <v>INSERT INTO ETFValue (DataDate, TimeCategory, ProductType, ProductLink, ProductCode, ProductName, NAV, Price, RecTime) VALUES ('2021/5/14','1', 'Stock', '6187','6187','萬潤','116','116','15:15:01');</v>
      </c>
    </row>
    <row r="367" spans="1:11">
      <c r="A367" s="21" t="str">
        <f t="shared" ca="1" si="30"/>
        <v>2021/5/14</v>
      </c>
      <c r="B367" s="22" t="str">
        <f t="shared" ca="1" si="31"/>
        <v>15:15:01</v>
      </c>
      <c r="C367" s="23">
        <v>1</v>
      </c>
      <c r="D367" t="str">
        <f t="shared" si="32"/>
        <v>Stock</v>
      </c>
      <c r="E367" s="26" t="str">
        <f t="shared" si="33"/>
        <v>6188</v>
      </c>
      <c r="F367" s="3" t="s">
        <v>960</v>
      </c>
      <c r="G367" s="2" t="s">
        <v>2228</v>
      </c>
      <c r="H367" s="2">
        <v>38.5</v>
      </c>
      <c r="J367" s="2">
        <f t="shared" si="34"/>
        <v>38.5</v>
      </c>
      <c r="K367" s="35" t="str">
        <f t="shared" ca="1" si="35"/>
        <v>INSERT INTO ETFValue (DataDate, TimeCategory, ProductType, ProductLink, ProductCode, ProductName, NAV, Price, RecTime) VALUES ('2021/5/14','1', 'Stock', '6188','6188','廣明','38.5','38.5','15:15:01');</v>
      </c>
    </row>
    <row r="368" spans="1:11">
      <c r="A368" s="21" t="str">
        <f t="shared" ca="1" si="30"/>
        <v>2021/5/14</v>
      </c>
      <c r="B368" s="22" t="str">
        <f t="shared" ca="1" si="31"/>
        <v>15:15:01</v>
      </c>
      <c r="C368" s="23">
        <v>1</v>
      </c>
      <c r="D368" t="str">
        <f t="shared" si="32"/>
        <v>Stock</v>
      </c>
      <c r="E368" s="26" t="str">
        <f t="shared" si="33"/>
        <v>6190</v>
      </c>
      <c r="F368" s="3" t="s">
        <v>961</v>
      </c>
      <c r="G368" s="2" t="s">
        <v>2229</v>
      </c>
      <c r="H368" s="2">
        <v>20.05</v>
      </c>
      <c r="J368" s="2">
        <f t="shared" si="34"/>
        <v>20.05</v>
      </c>
      <c r="K368" s="35" t="str">
        <f t="shared" ca="1" si="35"/>
        <v>INSERT INTO ETFValue (DataDate, TimeCategory, ProductType, ProductLink, ProductCode, ProductName, NAV, Price, RecTime) VALUES ('2021/5/14','1', 'Stock', '6190','6190','萬泰科','20.05','20.05','15:15:01');</v>
      </c>
    </row>
    <row r="369" spans="1:11">
      <c r="A369" s="21" t="str">
        <f t="shared" ca="1" si="30"/>
        <v>2021/5/14</v>
      </c>
      <c r="B369" s="22" t="str">
        <f t="shared" ca="1" si="31"/>
        <v>15:15:01</v>
      </c>
      <c r="C369" s="23">
        <v>1</v>
      </c>
      <c r="D369" t="str">
        <f t="shared" si="32"/>
        <v>Stock</v>
      </c>
      <c r="E369" s="26" t="str">
        <f t="shared" si="33"/>
        <v>6195</v>
      </c>
      <c r="F369" s="3" t="s">
        <v>1076</v>
      </c>
      <c r="G369" s="2" t="s">
        <v>2230</v>
      </c>
      <c r="H369" s="2">
        <v>55.3</v>
      </c>
      <c r="J369" s="2">
        <f t="shared" si="34"/>
        <v>55.3</v>
      </c>
      <c r="K369" s="35" t="str">
        <f t="shared" ca="1" si="35"/>
        <v>INSERT INTO ETFValue (DataDate, TimeCategory, ProductType, ProductLink, ProductCode, ProductName, NAV, Price, RecTime) VALUES ('2021/5/14','1', 'Stock', '6195','6195','詩肯','55.3','55.3','15:15:01');</v>
      </c>
    </row>
    <row r="370" spans="1:11">
      <c r="A370" s="21" t="str">
        <f t="shared" ca="1" si="30"/>
        <v>2021/5/14</v>
      </c>
      <c r="B370" s="22" t="str">
        <f t="shared" ca="1" si="31"/>
        <v>15:15:01</v>
      </c>
      <c r="C370" s="23">
        <v>1</v>
      </c>
      <c r="D370" t="str">
        <f t="shared" si="32"/>
        <v>Stock</v>
      </c>
      <c r="E370" s="26" t="str">
        <f t="shared" si="33"/>
        <v>6196</v>
      </c>
      <c r="F370" s="3" t="s">
        <v>807</v>
      </c>
      <c r="G370" s="2" t="s">
        <v>2231</v>
      </c>
      <c r="H370" s="2">
        <v>96.5</v>
      </c>
      <c r="J370" s="2">
        <f t="shared" si="34"/>
        <v>96.5</v>
      </c>
      <c r="K370" s="35" t="str">
        <f t="shared" ca="1" si="35"/>
        <v>INSERT INTO ETFValue (DataDate, TimeCategory, ProductType, ProductLink, ProductCode, ProductName, NAV, Price, RecTime) VALUES ('2021/5/14','1', 'Stock', '6196','6196','帆宣','96.5','96.5','15:15:01');</v>
      </c>
    </row>
    <row r="371" spans="1:11">
      <c r="A371" s="21" t="str">
        <f t="shared" ca="1" si="30"/>
        <v>2021/5/14</v>
      </c>
      <c r="B371" s="22" t="str">
        <f t="shared" ca="1" si="31"/>
        <v>15:15:01</v>
      </c>
      <c r="C371" s="23">
        <v>1</v>
      </c>
      <c r="D371" t="str">
        <f t="shared" si="32"/>
        <v>Stock</v>
      </c>
      <c r="E371" s="26" t="str">
        <f t="shared" si="33"/>
        <v>6202</v>
      </c>
      <c r="F371" s="3" t="s">
        <v>808</v>
      </c>
      <c r="G371" s="2" t="s">
        <v>2232</v>
      </c>
      <c r="H371" s="2">
        <v>87.5</v>
      </c>
      <c r="J371" s="2">
        <f t="shared" si="34"/>
        <v>87.5</v>
      </c>
      <c r="K371" s="35" t="str">
        <f t="shared" ca="1" si="35"/>
        <v>INSERT INTO ETFValue (DataDate, TimeCategory, ProductType, ProductLink, ProductCode, ProductName, NAV, Price, RecTime) VALUES ('2021/5/14','1', 'Stock', '6202','6202','盛群','87.5','87.5','15:15:01');</v>
      </c>
    </row>
    <row r="372" spans="1:11">
      <c r="A372" s="21" t="str">
        <f t="shared" ca="1" si="30"/>
        <v>2021/5/14</v>
      </c>
      <c r="B372" s="22" t="str">
        <f t="shared" ca="1" si="31"/>
        <v>15:15:01</v>
      </c>
      <c r="C372" s="23">
        <v>1</v>
      </c>
      <c r="D372" t="str">
        <f t="shared" si="32"/>
        <v>Stock</v>
      </c>
      <c r="E372" s="26" t="str">
        <f t="shared" si="33"/>
        <v>6203</v>
      </c>
      <c r="F372" s="3" t="s">
        <v>962</v>
      </c>
      <c r="G372" s="2" t="s">
        <v>2233</v>
      </c>
      <c r="H372" s="2">
        <v>99.9</v>
      </c>
      <c r="J372" s="2">
        <f t="shared" si="34"/>
        <v>99.9</v>
      </c>
      <c r="K372" s="35" t="str">
        <f t="shared" ca="1" si="35"/>
        <v>INSERT INTO ETFValue (DataDate, TimeCategory, ProductType, ProductLink, ProductCode, ProductName, NAV, Price, RecTime) VALUES ('2021/5/14','1', 'Stock', '6203','6203','海韻電','99.9','99.9','15:15:01');</v>
      </c>
    </row>
    <row r="373" spans="1:11">
      <c r="A373" s="21" t="str">
        <f t="shared" ca="1" si="30"/>
        <v>2021/5/14</v>
      </c>
      <c r="B373" s="22" t="str">
        <f t="shared" ca="1" si="31"/>
        <v>15:15:01</v>
      </c>
      <c r="C373" s="23">
        <v>1</v>
      </c>
      <c r="D373" t="str">
        <f t="shared" si="32"/>
        <v>Stock</v>
      </c>
      <c r="E373" s="26" t="str">
        <f t="shared" si="33"/>
        <v>6207</v>
      </c>
      <c r="F373" s="3" t="s">
        <v>963</v>
      </c>
      <c r="G373" s="2" t="s">
        <v>2234</v>
      </c>
      <c r="H373" s="2">
        <v>27.3</v>
      </c>
      <c r="J373" s="2">
        <f t="shared" si="34"/>
        <v>27.3</v>
      </c>
      <c r="K373" s="35" t="str">
        <f t="shared" ca="1" si="35"/>
        <v>INSERT INTO ETFValue (DataDate, TimeCategory, ProductType, ProductLink, ProductCode, ProductName, NAV, Price, RecTime) VALUES ('2021/5/14','1', 'Stock', '6207','6207','雷科','27.3','27.3','15:15:01');</v>
      </c>
    </row>
    <row r="374" spans="1:11">
      <c r="A374" s="21" t="str">
        <f t="shared" ca="1" si="30"/>
        <v>2021/5/14</v>
      </c>
      <c r="B374" s="22" t="str">
        <f t="shared" ca="1" si="31"/>
        <v>15:15:01</v>
      </c>
      <c r="C374" s="23">
        <v>1</v>
      </c>
      <c r="D374" t="str">
        <f t="shared" si="32"/>
        <v>Stock</v>
      </c>
      <c r="E374" s="26" t="str">
        <f t="shared" si="33"/>
        <v>6213</v>
      </c>
      <c r="F374" s="3" t="s">
        <v>1039</v>
      </c>
      <c r="G374" s="2" t="s">
        <v>2235</v>
      </c>
      <c r="H374" s="2">
        <v>116</v>
      </c>
      <c r="J374" s="2">
        <f t="shared" si="34"/>
        <v>116</v>
      </c>
      <c r="K374" s="35" t="str">
        <f t="shared" ca="1" si="35"/>
        <v>INSERT INTO ETFValue (DataDate, TimeCategory, ProductType, ProductLink, ProductCode, ProductName, NAV, Price, RecTime) VALUES ('2021/5/14','1', 'Stock', '6213','6213','聯茂','116','116','15:15:01');</v>
      </c>
    </row>
    <row r="375" spans="1:11">
      <c r="A375" s="21" t="str">
        <f t="shared" ca="1" si="30"/>
        <v>2021/5/14</v>
      </c>
      <c r="B375" s="22" t="str">
        <f t="shared" ca="1" si="31"/>
        <v>15:15:01</v>
      </c>
      <c r="C375" s="23">
        <v>1</v>
      </c>
      <c r="D375" t="str">
        <f t="shared" si="32"/>
        <v>Stock</v>
      </c>
      <c r="E375" s="26" t="str">
        <f t="shared" si="33"/>
        <v>6214</v>
      </c>
      <c r="F375" s="3" t="s">
        <v>827</v>
      </c>
      <c r="G375" s="2" t="s">
        <v>2236</v>
      </c>
      <c r="H375" s="2">
        <v>88</v>
      </c>
      <c r="J375" s="2">
        <f t="shared" si="34"/>
        <v>88</v>
      </c>
      <c r="K375" s="35" t="str">
        <f t="shared" ca="1" si="35"/>
        <v>INSERT INTO ETFValue (DataDate, TimeCategory, ProductType, ProductLink, ProductCode, ProductName, NAV, Price, RecTime) VALUES ('2021/5/14','1', 'Stock', '6214','6214','精誠','88','88','15:15:01');</v>
      </c>
    </row>
    <row r="376" spans="1:11">
      <c r="A376" s="21" t="str">
        <f t="shared" ca="1" si="30"/>
        <v>2021/5/14</v>
      </c>
      <c r="B376" s="22" t="str">
        <f t="shared" ca="1" si="31"/>
        <v>15:15:01</v>
      </c>
      <c r="C376" s="23">
        <v>1</v>
      </c>
      <c r="D376" t="str">
        <f t="shared" si="32"/>
        <v>Stock</v>
      </c>
      <c r="E376" s="26" t="str">
        <f t="shared" si="33"/>
        <v>6220</v>
      </c>
      <c r="F376" s="3" t="s">
        <v>964</v>
      </c>
      <c r="G376" s="2" t="s">
        <v>2237</v>
      </c>
      <c r="H376" s="2">
        <v>22.85</v>
      </c>
      <c r="J376" s="2">
        <f t="shared" si="34"/>
        <v>22.85</v>
      </c>
      <c r="K376" s="35" t="str">
        <f t="shared" ca="1" si="35"/>
        <v>INSERT INTO ETFValue (DataDate, TimeCategory, ProductType, ProductLink, ProductCode, ProductName, NAV, Price, RecTime) VALUES ('2021/5/14','1', 'Stock', '6220','6220','岳豐','22.85','22.85','15:15:01');</v>
      </c>
    </row>
    <row r="377" spans="1:11">
      <c r="A377" s="21" t="str">
        <f t="shared" ca="1" si="30"/>
        <v>2021/5/14</v>
      </c>
      <c r="B377" s="22" t="str">
        <f t="shared" ca="1" si="31"/>
        <v>15:15:01</v>
      </c>
      <c r="C377" s="23">
        <v>1</v>
      </c>
      <c r="D377" t="str">
        <f t="shared" si="32"/>
        <v>Stock</v>
      </c>
      <c r="E377" s="26" t="str">
        <f t="shared" si="33"/>
        <v>6223</v>
      </c>
      <c r="F377" s="3" t="s">
        <v>965</v>
      </c>
      <c r="G377" s="2" t="s">
        <v>2238</v>
      </c>
      <c r="H377" s="2">
        <v>97.2</v>
      </c>
      <c r="J377" s="2">
        <f t="shared" si="34"/>
        <v>97.2</v>
      </c>
      <c r="K377" s="35" t="str">
        <f t="shared" ca="1" si="35"/>
        <v>INSERT INTO ETFValue (DataDate, TimeCategory, ProductType, ProductLink, ProductCode, ProductName, NAV, Price, RecTime) VALUES ('2021/5/14','1', 'Stock', '6223','6223','旺矽','97.2','97.2','15:15:01');</v>
      </c>
    </row>
    <row r="378" spans="1:11">
      <c r="A378" s="21" t="str">
        <f t="shared" ca="1" si="30"/>
        <v>2021/5/14</v>
      </c>
      <c r="B378" s="22" t="str">
        <f t="shared" ca="1" si="31"/>
        <v>15:15:01</v>
      </c>
      <c r="C378" s="23">
        <v>1</v>
      </c>
      <c r="D378" t="str">
        <f t="shared" si="32"/>
        <v>Stock</v>
      </c>
      <c r="E378" s="26" t="str">
        <f t="shared" si="33"/>
        <v>6230</v>
      </c>
      <c r="F378" s="3" t="s">
        <v>1040</v>
      </c>
      <c r="G378" s="2" t="s">
        <v>2580</v>
      </c>
      <c r="H378" s="2">
        <v>189.5</v>
      </c>
      <c r="J378" s="2">
        <f t="shared" si="34"/>
        <v>189.5</v>
      </c>
      <c r="K378" s="35" t="str">
        <f t="shared" ca="1" si="35"/>
        <v>INSERT INTO ETFValue (DataDate, TimeCategory, ProductType, ProductLink, ProductCode, ProductName, NAV, Price, RecTime) VALUES ('2021/5/14','1', 'Stock', '6230','6230','尼得科超眾','189.5','189.5','15:15:01');</v>
      </c>
    </row>
    <row r="379" spans="1:11">
      <c r="A379" s="21" t="str">
        <f t="shared" ca="1" si="30"/>
        <v>2021/5/14</v>
      </c>
      <c r="B379" s="22" t="str">
        <f t="shared" ca="1" si="31"/>
        <v>15:15:01</v>
      </c>
      <c r="C379" s="23">
        <v>1</v>
      </c>
      <c r="D379" t="str">
        <f t="shared" si="32"/>
        <v>Stock</v>
      </c>
      <c r="E379" s="26" t="str">
        <f t="shared" si="33"/>
        <v>6238</v>
      </c>
      <c r="F379" s="3" t="s">
        <v>966</v>
      </c>
      <c r="G379" s="2" t="s">
        <v>2239</v>
      </c>
      <c r="J379" s="2">
        <f t="shared" si="34"/>
        <v>0</v>
      </c>
      <c r="K379" s="35" t="str">
        <f t="shared" ca="1" si="35"/>
        <v>INSERT INTO ETFValue (DataDate, TimeCategory, ProductType, ProductLink, ProductCode, ProductName, NAV, Price, RecTime) VALUES ('2021/5/14','1', 'Stock', '6238','6238','勝麗(下櫃)','0','0','15:15:01');</v>
      </c>
    </row>
    <row r="380" spans="1:11">
      <c r="A380" s="21" t="str">
        <f t="shared" ca="1" si="30"/>
        <v>2021/5/14</v>
      </c>
      <c r="B380" s="22" t="str">
        <f t="shared" ca="1" si="31"/>
        <v>15:15:01</v>
      </c>
      <c r="C380" s="23">
        <v>1</v>
      </c>
      <c r="D380" t="str">
        <f t="shared" si="32"/>
        <v>Stock</v>
      </c>
      <c r="E380" s="26" t="str">
        <f t="shared" si="33"/>
        <v>6239</v>
      </c>
      <c r="F380" s="3" t="s">
        <v>341</v>
      </c>
      <c r="G380" s="2" t="s">
        <v>2240</v>
      </c>
      <c r="H380" s="2">
        <v>100</v>
      </c>
      <c r="J380" s="2">
        <f t="shared" si="34"/>
        <v>100</v>
      </c>
      <c r="K380" s="35" t="str">
        <f t="shared" ca="1" si="35"/>
        <v>INSERT INTO ETFValue (DataDate, TimeCategory, ProductType, ProductLink, ProductCode, ProductName, NAV, Price, RecTime) VALUES ('2021/5/14','1', 'Stock', '6239','6239','力成','100','100','15:15:01');</v>
      </c>
    </row>
    <row r="381" spans="1:11">
      <c r="A381" s="21" t="str">
        <f t="shared" ca="1" si="30"/>
        <v>2021/5/14</v>
      </c>
      <c r="B381" s="22" t="str">
        <f t="shared" ca="1" si="31"/>
        <v>15:15:01</v>
      </c>
      <c r="C381" s="23">
        <v>1</v>
      </c>
      <c r="D381" t="str">
        <f t="shared" si="32"/>
        <v>Stock</v>
      </c>
      <c r="E381" s="26" t="str">
        <f t="shared" si="33"/>
        <v>6244</v>
      </c>
      <c r="F381" s="3" t="s">
        <v>967</v>
      </c>
      <c r="G381" s="2" t="s">
        <v>2241</v>
      </c>
      <c r="H381" s="2">
        <v>29.9</v>
      </c>
      <c r="J381" s="2">
        <f t="shared" si="34"/>
        <v>29.9</v>
      </c>
      <c r="K381" s="35" t="str">
        <f t="shared" ca="1" si="35"/>
        <v>INSERT INTO ETFValue (DataDate, TimeCategory, ProductType, ProductLink, ProductCode, ProductName, NAV, Price, RecTime) VALUES ('2021/5/14','1', 'Stock', '6244','6244','茂迪','29.9','29.9','15:15:01');</v>
      </c>
    </row>
    <row r="382" spans="1:11">
      <c r="A382" s="21" t="str">
        <f t="shared" ca="1" si="30"/>
        <v>2021/5/14</v>
      </c>
      <c r="B382" s="22" t="str">
        <f t="shared" ca="1" si="31"/>
        <v>15:15:01</v>
      </c>
      <c r="C382" s="23">
        <v>1</v>
      </c>
      <c r="D382" t="str">
        <f t="shared" si="32"/>
        <v>Stock</v>
      </c>
      <c r="E382" s="26" t="str">
        <f t="shared" si="33"/>
        <v>6245</v>
      </c>
      <c r="F382" s="3" t="s">
        <v>968</v>
      </c>
      <c r="G382" s="2" t="s">
        <v>2242</v>
      </c>
      <c r="H382" s="2">
        <v>56.2</v>
      </c>
      <c r="J382" s="2">
        <f t="shared" si="34"/>
        <v>56.2</v>
      </c>
      <c r="K382" s="35" t="str">
        <f t="shared" ca="1" si="35"/>
        <v>INSERT INTO ETFValue (DataDate, TimeCategory, ProductType, ProductLink, ProductCode, ProductName, NAV, Price, RecTime) VALUES ('2021/5/14','1', 'Stock', '6245','6245','立端','56.2','56.2','15:15:01');</v>
      </c>
    </row>
    <row r="383" spans="1:11">
      <c r="A383" s="21" t="str">
        <f t="shared" ca="1" si="30"/>
        <v>2021/5/14</v>
      </c>
      <c r="B383" s="22" t="str">
        <f t="shared" ca="1" si="31"/>
        <v>15:15:01</v>
      </c>
      <c r="C383" s="23">
        <v>1</v>
      </c>
      <c r="D383" t="str">
        <f t="shared" si="32"/>
        <v>Stock</v>
      </c>
      <c r="E383" s="26" t="str">
        <f t="shared" si="33"/>
        <v>6261</v>
      </c>
      <c r="F383" s="3" t="s">
        <v>969</v>
      </c>
      <c r="G383" s="2" t="s">
        <v>2243</v>
      </c>
      <c r="H383" s="2">
        <v>73.099999999999994</v>
      </c>
      <c r="J383" s="2">
        <f t="shared" si="34"/>
        <v>73.099999999999994</v>
      </c>
      <c r="K383" s="35" t="str">
        <f t="shared" ca="1" si="35"/>
        <v>INSERT INTO ETFValue (DataDate, TimeCategory, ProductType, ProductLink, ProductCode, ProductName, NAV, Price, RecTime) VALUES ('2021/5/14','1', 'Stock', '6261','6261','久元','73.1','73.1','15:15:01');</v>
      </c>
    </row>
    <row r="384" spans="1:11">
      <c r="A384" s="21" t="str">
        <f t="shared" ca="1" si="30"/>
        <v>2021/5/14</v>
      </c>
      <c r="B384" s="22" t="str">
        <f t="shared" ca="1" si="31"/>
        <v>15:15:01</v>
      </c>
      <c r="C384" s="23">
        <v>1</v>
      </c>
      <c r="D384" t="str">
        <f t="shared" si="32"/>
        <v>Stock</v>
      </c>
      <c r="E384" s="26" t="str">
        <f t="shared" si="33"/>
        <v>6269</v>
      </c>
      <c r="F384" s="3" t="s">
        <v>342</v>
      </c>
      <c r="G384" s="2" t="s">
        <v>2244</v>
      </c>
      <c r="H384" s="2">
        <v>114</v>
      </c>
      <c r="J384" s="2">
        <f t="shared" si="34"/>
        <v>114</v>
      </c>
      <c r="K384" s="35" t="str">
        <f t="shared" ca="1" si="35"/>
        <v>INSERT INTO ETFValue (DataDate, TimeCategory, ProductType, ProductLink, ProductCode, ProductName, NAV, Price, RecTime) VALUES ('2021/5/14','1', 'Stock', '6269','6269','台郡','114','114','15:15:01');</v>
      </c>
    </row>
    <row r="385" spans="1:11">
      <c r="A385" s="21" t="str">
        <f t="shared" ca="1" si="30"/>
        <v>2021/5/14</v>
      </c>
      <c r="B385" s="22" t="str">
        <f t="shared" ca="1" si="31"/>
        <v>15:15:01</v>
      </c>
      <c r="C385" s="23">
        <v>1</v>
      </c>
      <c r="D385" t="str">
        <f t="shared" si="32"/>
        <v>Stock</v>
      </c>
      <c r="E385" s="26" t="str">
        <f t="shared" si="33"/>
        <v>6271</v>
      </c>
      <c r="F385" s="3" t="s">
        <v>1041</v>
      </c>
      <c r="G385" s="2" t="s">
        <v>2245</v>
      </c>
      <c r="H385" s="2">
        <v>160</v>
      </c>
      <c r="J385" s="2">
        <f t="shared" si="34"/>
        <v>160</v>
      </c>
      <c r="K385" s="35" t="str">
        <f t="shared" ca="1" si="35"/>
        <v>INSERT INTO ETFValue (DataDate, TimeCategory, ProductType, ProductLink, ProductCode, ProductName, NAV, Price, RecTime) VALUES ('2021/5/14','1', 'Stock', '6271','6271','同欣電','160','160','15:15:01');</v>
      </c>
    </row>
    <row r="386" spans="1:11">
      <c r="A386" s="21" t="str">
        <f t="shared" ca="1" si="30"/>
        <v>2021/5/14</v>
      </c>
      <c r="B386" s="22" t="str">
        <f t="shared" ca="1" si="31"/>
        <v>15:15:01</v>
      </c>
      <c r="C386" s="23">
        <v>1</v>
      </c>
      <c r="D386" t="str">
        <f t="shared" si="32"/>
        <v>Stock</v>
      </c>
      <c r="E386" s="26" t="str">
        <f t="shared" si="33"/>
        <v>6274</v>
      </c>
      <c r="F386" s="3" t="s">
        <v>970</v>
      </c>
      <c r="G386" s="2" t="s">
        <v>2246</v>
      </c>
      <c r="H386" s="2">
        <v>92.8</v>
      </c>
      <c r="J386" s="2">
        <f t="shared" si="34"/>
        <v>92.8</v>
      </c>
      <c r="K386" s="35" t="str">
        <f t="shared" ca="1" si="35"/>
        <v>INSERT INTO ETFValue (DataDate, TimeCategory, ProductType, ProductLink, ProductCode, ProductName, NAV, Price, RecTime) VALUES ('2021/5/14','1', 'Stock', '6274','6274','台燿','92.8','92.8','15:15:01');</v>
      </c>
    </row>
    <row r="387" spans="1:11">
      <c r="A387" s="21" t="str">
        <f t="shared" ca="1" si="30"/>
        <v>2021/5/14</v>
      </c>
      <c r="B387" s="22" t="str">
        <f t="shared" ca="1" si="31"/>
        <v>15:15:01</v>
      </c>
      <c r="C387" s="23">
        <v>1</v>
      </c>
      <c r="D387" t="str">
        <f t="shared" si="32"/>
        <v>Stock</v>
      </c>
      <c r="E387" s="26" t="str">
        <f t="shared" si="33"/>
        <v>6277</v>
      </c>
      <c r="F387" s="3" t="s">
        <v>809</v>
      </c>
      <c r="G387" s="2" t="s">
        <v>2247</v>
      </c>
      <c r="H387" s="2">
        <v>83.1</v>
      </c>
      <c r="J387" s="2">
        <f t="shared" si="34"/>
        <v>83.1</v>
      </c>
      <c r="K387" s="35" t="str">
        <f t="shared" ca="1" si="35"/>
        <v>INSERT INTO ETFValue (DataDate, TimeCategory, ProductType, ProductLink, ProductCode, ProductName, NAV, Price, RecTime) VALUES ('2021/5/14','1', 'Stock', '6277','6277','宏正','83.1','83.1','15:15:01');</v>
      </c>
    </row>
    <row r="388" spans="1:11">
      <c r="A388" s="21" t="str">
        <f t="shared" ca="1" si="30"/>
        <v>2021/5/14</v>
      </c>
      <c r="B388" s="22" t="str">
        <f t="shared" ca="1" si="31"/>
        <v>15:15:01</v>
      </c>
      <c r="C388" s="23">
        <v>1</v>
      </c>
      <c r="D388" t="str">
        <f t="shared" si="32"/>
        <v>Stock</v>
      </c>
      <c r="E388" s="26" t="str">
        <f t="shared" si="33"/>
        <v>6278</v>
      </c>
      <c r="F388" s="3" t="s">
        <v>1042</v>
      </c>
      <c r="G388" s="2" t="s">
        <v>2248</v>
      </c>
      <c r="H388" s="2">
        <v>98.7</v>
      </c>
      <c r="J388" s="2">
        <f t="shared" si="34"/>
        <v>98.7</v>
      </c>
      <c r="K388" s="35" t="str">
        <f t="shared" ca="1" si="35"/>
        <v>INSERT INTO ETFValue (DataDate, TimeCategory, ProductType, ProductLink, ProductCode, ProductName, NAV, Price, RecTime) VALUES ('2021/5/14','1', 'Stock', '6278','6278','台表科','98.7','98.7','15:15:01');</v>
      </c>
    </row>
    <row r="389" spans="1:11">
      <c r="A389" s="21" t="str">
        <f t="shared" ca="1" si="30"/>
        <v>2021/5/14</v>
      </c>
      <c r="B389" s="22" t="str">
        <f t="shared" ca="1" si="31"/>
        <v>15:15:01</v>
      </c>
      <c r="C389" s="23">
        <v>1</v>
      </c>
      <c r="D389" t="str">
        <f t="shared" si="32"/>
        <v>Stock</v>
      </c>
      <c r="E389" s="26" t="str">
        <f t="shared" si="33"/>
        <v>6279</v>
      </c>
      <c r="F389" s="3" t="s">
        <v>971</v>
      </c>
      <c r="G389" s="2" t="s">
        <v>2249</v>
      </c>
      <c r="H389" s="2">
        <v>99.3</v>
      </c>
      <c r="J389" s="2">
        <f t="shared" si="34"/>
        <v>99.3</v>
      </c>
      <c r="K389" s="35" t="str">
        <f t="shared" ca="1" si="35"/>
        <v>INSERT INTO ETFValue (DataDate, TimeCategory, ProductType, ProductLink, ProductCode, ProductName, NAV, Price, RecTime) VALUES ('2021/5/14','1', 'Stock', '6279','6279','胡連','99.3','99.3','15:15:01');</v>
      </c>
    </row>
    <row r="390" spans="1:11">
      <c r="A390" s="21" t="str">
        <f t="shared" ca="1" si="30"/>
        <v>2021/5/14</v>
      </c>
      <c r="B390" s="22" t="str">
        <f t="shared" ca="1" si="31"/>
        <v>15:15:01</v>
      </c>
      <c r="C390" s="23">
        <v>1</v>
      </c>
      <c r="D390" t="str">
        <f t="shared" si="32"/>
        <v>Stock</v>
      </c>
      <c r="E390" s="26" t="str">
        <f t="shared" si="33"/>
        <v>6282</v>
      </c>
      <c r="F390" s="3" t="s">
        <v>765</v>
      </c>
      <c r="G390" s="2" t="s">
        <v>2250</v>
      </c>
      <c r="H390" s="2">
        <v>24.8</v>
      </c>
      <c r="J390" s="2">
        <f t="shared" si="34"/>
        <v>24.8</v>
      </c>
      <c r="K390" s="35" t="str">
        <f t="shared" ca="1" si="35"/>
        <v>INSERT INTO ETFValue (DataDate, TimeCategory, ProductType, ProductLink, ProductCode, ProductName, NAV, Price, RecTime) VALUES ('2021/5/14','1', 'Stock', '6282','6282','康舒','24.8','24.8','15:15:01');</v>
      </c>
    </row>
    <row r="391" spans="1:11">
      <c r="A391" s="21" t="str">
        <f t="shared" ref="A391:A454" ca="1" si="36">TEXT($Q$1,"yyyy/m/dd")</f>
        <v>2021/5/14</v>
      </c>
      <c r="B391" s="22" t="str">
        <f t="shared" ref="B391:B454" ca="1" si="37">$Q$2</f>
        <v>15:15:01</v>
      </c>
      <c r="C391" s="23">
        <v>1</v>
      </c>
      <c r="D391" t="str">
        <f t="shared" ref="D391:D454" si="38">IF(LEFT(G391,2)="00","ETF","Stock")</f>
        <v>Stock</v>
      </c>
      <c r="E391" s="26" t="str">
        <f t="shared" ref="E391:E454" si="39">F391</f>
        <v>6284</v>
      </c>
      <c r="F391" s="3" t="s">
        <v>972</v>
      </c>
      <c r="G391" s="2" t="s">
        <v>2251</v>
      </c>
      <c r="H391" s="2">
        <v>52.2</v>
      </c>
      <c r="J391" s="2">
        <f t="shared" ref="J391:J454" si="40">IF($H391&lt;&gt;"",$H391,$I391)</f>
        <v>52.2</v>
      </c>
      <c r="K391" s="35" t="str">
        <f t="shared" ref="K391:K454" ca="1" si="41">"INSERT INTO ETFValue (DataDate, TimeCategory, ProductType, ProductLink, ProductCode, ProductName, NAV, Price, RecTime) VALUES ("&amp;"'"&amp;TEXT(A391,"yyyy/m/dd")&amp;"','"&amp; C391&amp;"', '"&amp;D391&amp;"', '"&amp;E391&amp;"','"&amp;F391&amp;"','"&amp;G391&amp;"','"&amp;ROUND(J391,4)&amp;"','"&amp;J391&amp;"','"&amp;TEXT($Q$2,"hh:mm:ss")&amp;"');"</f>
        <v>INSERT INTO ETFValue (DataDate, TimeCategory, ProductType, ProductLink, ProductCode, ProductName, NAV, Price, RecTime) VALUES ('2021/5/14','1', 'Stock', '6284','6284','佳邦','52.2','52.2','15:15:01');</v>
      </c>
    </row>
    <row r="392" spans="1:11">
      <c r="A392" s="21" t="str">
        <f t="shared" ca="1" si="36"/>
        <v>2021/5/14</v>
      </c>
      <c r="B392" s="22" t="str">
        <f t="shared" ca="1" si="37"/>
        <v>15:15:01</v>
      </c>
      <c r="C392" s="23">
        <v>1</v>
      </c>
      <c r="D392" t="str">
        <f t="shared" si="38"/>
        <v>Stock</v>
      </c>
      <c r="E392" s="26" t="str">
        <f t="shared" si="39"/>
        <v>6285</v>
      </c>
      <c r="F392" s="3" t="s">
        <v>343</v>
      </c>
      <c r="G392" s="2" t="s">
        <v>2252</v>
      </c>
      <c r="H392" s="2">
        <v>64.3</v>
      </c>
      <c r="J392" s="2">
        <f t="shared" si="40"/>
        <v>64.3</v>
      </c>
      <c r="K392" s="35" t="str">
        <f t="shared" ca="1" si="41"/>
        <v>INSERT INTO ETFValue (DataDate, TimeCategory, ProductType, ProductLink, ProductCode, ProductName, NAV, Price, RecTime) VALUES ('2021/5/14','1', 'Stock', '6285','6285','啟碁','64.3','64.3','15:15:01');</v>
      </c>
    </row>
    <row r="393" spans="1:11">
      <c r="A393" s="21" t="str">
        <f t="shared" ca="1" si="36"/>
        <v>2021/5/14</v>
      </c>
      <c r="B393" s="22" t="str">
        <f t="shared" ca="1" si="37"/>
        <v>15:15:01</v>
      </c>
      <c r="C393" s="23">
        <v>1</v>
      </c>
      <c r="D393" t="str">
        <f t="shared" si="38"/>
        <v>Stock</v>
      </c>
      <c r="E393" s="26" t="str">
        <f t="shared" si="39"/>
        <v>6290</v>
      </c>
      <c r="F393" s="3" t="s">
        <v>973</v>
      </c>
      <c r="G393" s="2" t="s">
        <v>2253</v>
      </c>
      <c r="H393" s="2">
        <v>56.4</v>
      </c>
      <c r="J393" s="2">
        <f t="shared" si="40"/>
        <v>56.4</v>
      </c>
      <c r="K393" s="35" t="str">
        <f t="shared" ca="1" si="41"/>
        <v>INSERT INTO ETFValue (DataDate, TimeCategory, ProductType, ProductLink, ProductCode, ProductName, NAV, Price, RecTime) VALUES ('2021/5/14','1', 'Stock', '6290','6290','良維','56.4','56.4','15:15:01');</v>
      </c>
    </row>
    <row r="394" spans="1:11">
      <c r="A394" s="21" t="str">
        <f t="shared" ca="1" si="36"/>
        <v>2021/5/14</v>
      </c>
      <c r="B394" s="22" t="str">
        <f t="shared" ca="1" si="37"/>
        <v>15:15:01</v>
      </c>
      <c r="C394" s="23">
        <v>1</v>
      </c>
      <c r="D394" t="str">
        <f t="shared" si="38"/>
        <v>Stock</v>
      </c>
      <c r="E394" s="26" t="str">
        <f t="shared" si="39"/>
        <v>6294</v>
      </c>
      <c r="F394" s="3" t="s">
        <v>974</v>
      </c>
      <c r="G394" s="2" t="s">
        <v>2254</v>
      </c>
      <c r="H394" s="2">
        <v>143</v>
      </c>
      <c r="J394" s="2">
        <f t="shared" si="40"/>
        <v>143</v>
      </c>
      <c r="K394" s="35" t="str">
        <f t="shared" ca="1" si="41"/>
        <v>INSERT INTO ETFValue (DataDate, TimeCategory, ProductType, ProductLink, ProductCode, ProductName, NAV, Price, RecTime) VALUES ('2021/5/14','1', 'Stock', '6294','6294','智基','143','143','15:15:01');</v>
      </c>
    </row>
    <row r="395" spans="1:11">
      <c r="A395" s="21" t="str">
        <f t="shared" ca="1" si="36"/>
        <v>2021/5/14</v>
      </c>
      <c r="B395" s="22" t="str">
        <f t="shared" ca="1" si="37"/>
        <v>15:15:01</v>
      </c>
      <c r="C395" s="23">
        <v>1</v>
      </c>
      <c r="D395" t="str">
        <f t="shared" si="38"/>
        <v>Stock</v>
      </c>
      <c r="E395" s="26" t="str">
        <f t="shared" si="39"/>
        <v>6409</v>
      </c>
      <c r="F395" s="3" t="s">
        <v>344</v>
      </c>
      <c r="G395" s="2" t="s">
        <v>2255</v>
      </c>
      <c r="H395" s="2">
        <v>1100</v>
      </c>
      <c r="J395" s="2">
        <f t="shared" si="40"/>
        <v>1100</v>
      </c>
      <c r="K395" s="35" t="str">
        <f t="shared" ca="1" si="41"/>
        <v>INSERT INTO ETFValue (DataDate, TimeCategory, ProductType, ProductLink, ProductCode, ProductName, NAV, Price, RecTime) VALUES ('2021/5/14','1', 'Stock', '6409','6409','旭隼','1100','1100','15:15:01');</v>
      </c>
    </row>
    <row r="396" spans="1:11">
      <c r="A396" s="21" t="str">
        <f t="shared" ca="1" si="36"/>
        <v>2021/5/14</v>
      </c>
      <c r="B396" s="22" t="str">
        <f t="shared" ca="1" si="37"/>
        <v>15:15:01</v>
      </c>
      <c r="C396" s="23">
        <v>1</v>
      </c>
      <c r="D396" t="str">
        <f t="shared" si="38"/>
        <v>Stock</v>
      </c>
      <c r="E396" s="26" t="str">
        <f t="shared" si="39"/>
        <v>6411</v>
      </c>
      <c r="F396" s="3" t="s">
        <v>975</v>
      </c>
      <c r="G396" s="2" t="s">
        <v>2256</v>
      </c>
      <c r="H396" s="2">
        <v>113.5</v>
      </c>
      <c r="J396" s="2">
        <f t="shared" si="40"/>
        <v>113.5</v>
      </c>
      <c r="K396" s="35" t="str">
        <f t="shared" ca="1" si="41"/>
        <v>INSERT INTO ETFValue (DataDate, TimeCategory, ProductType, ProductLink, ProductCode, ProductName, NAV, Price, RecTime) VALUES ('2021/5/14','1', 'Stock', '6411','6411','晶焱','113.5','113.5','15:15:01');</v>
      </c>
    </row>
    <row r="397" spans="1:11">
      <c r="A397" s="21" t="str">
        <f t="shared" ca="1" si="36"/>
        <v>2021/5/14</v>
      </c>
      <c r="B397" s="22" t="str">
        <f t="shared" ca="1" si="37"/>
        <v>15:15:01</v>
      </c>
      <c r="C397" s="23">
        <v>1</v>
      </c>
      <c r="D397" t="str">
        <f t="shared" si="38"/>
        <v>Stock</v>
      </c>
      <c r="E397" s="26" t="str">
        <f t="shared" si="39"/>
        <v>6412</v>
      </c>
      <c r="F397" s="3" t="s">
        <v>784</v>
      </c>
      <c r="G397" s="2" t="s">
        <v>2257</v>
      </c>
      <c r="H397" s="2">
        <v>67.3</v>
      </c>
      <c r="J397" s="2">
        <f t="shared" si="40"/>
        <v>67.3</v>
      </c>
      <c r="K397" s="35" t="str">
        <f t="shared" ca="1" si="41"/>
        <v>INSERT INTO ETFValue (DataDate, TimeCategory, ProductType, ProductLink, ProductCode, ProductName, NAV, Price, RecTime) VALUES ('2021/5/14','1', 'Stock', '6412','6412','群電','67.3','67.3','15:15:01');</v>
      </c>
    </row>
    <row r="398" spans="1:11">
      <c r="A398" s="21" t="str">
        <f t="shared" ca="1" si="36"/>
        <v>2021/5/14</v>
      </c>
      <c r="B398" s="22" t="str">
        <f t="shared" ca="1" si="37"/>
        <v>15:15:01</v>
      </c>
      <c r="C398" s="23">
        <v>1</v>
      </c>
      <c r="D398" t="str">
        <f t="shared" si="38"/>
        <v>Stock</v>
      </c>
      <c r="E398" s="26" t="str">
        <f t="shared" si="39"/>
        <v>6414</v>
      </c>
      <c r="F398" s="3" t="s">
        <v>1043</v>
      </c>
      <c r="G398" s="2" t="s">
        <v>2258</v>
      </c>
      <c r="H398" s="2">
        <v>192</v>
      </c>
      <c r="J398" s="2">
        <f t="shared" si="40"/>
        <v>192</v>
      </c>
      <c r="K398" s="35" t="str">
        <f t="shared" ca="1" si="41"/>
        <v>INSERT INTO ETFValue (DataDate, TimeCategory, ProductType, ProductLink, ProductCode, ProductName, NAV, Price, RecTime) VALUES ('2021/5/14','1', 'Stock', '6414','6414','樺漢','192','192','15:15:01');</v>
      </c>
    </row>
    <row r="399" spans="1:11">
      <c r="A399" s="21" t="str">
        <f t="shared" ca="1" si="36"/>
        <v>2021/5/14</v>
      </c>
      <c r="B399" s="22" t="str">
        <f t="shared" ca="1" si="37"/>
        <v>15:15:01</v>
      </c>
      <c r="C399" s="23">
        <v>1</v>
      </c>
      <c r="D399" t="str">
        <f t="shared" si="38"/>
        <v>Stock</v>
      </c>
      <c r="E399" s="26" t="str">
        <f t="shared" si="39"/>
        <v>6415</v>
      </c>
      <c r="F399" s="3" t="s">
        <v>345</v>
      </c>
      <c r="G399" s="2" t="s">
        <v>2259</v>
      </c>
      <c r="H399" s="2">
        <v>2700</v>
      </c>
      <c r="J399" s="2">
        <f t="shared" si="40"/>
        <v>2700</v>
      </c>
      <c r="K399" s="35" t="str">
        <f t="shared" ca="1" si="41"/>
        <v>INSERT INTO ETFValue (DataDate, TimeCategory, ProductType, ProductLink, ProductCode, ProductName, NAV, Price, RecTime) VALUES ('2021/5/14','1', 'Stock', '6415','6415','矽力-KY','2700','2700','15:15:01');</v>
      </c>
    </row>
    <row r="400" spans="1:11">
      <c r="A400" s="21" t="str">
        <f t="shared" ca="1" si="36"/>
        <v>2021/5/14</v>
      </c>
      <c r="B400" s="22" t="str">
        <f t="shared" ca="1" si="37"/>
        <v>15:15:01</v>
      </c>
      <c r="C400" s="23">
        <v>1</v>
      </c>
      <c r="D400" t="str">
        <f t="shared" si="38"/>
        <v>Stock</v>
      </c>
      <c r="E400" s="26" t="str">
        <f t="shared" si="39"/>
        <v>6426</v>
      </c>
      <c r="F400" s="3" t="s">
        <v>976</v>
      </c>
      <c r="G400" s="2" t="s">
        <v>2260</v>
      </c>
      <c r="H400" s="2">
        <v>74.3</v>
      </c>
      <c r="J400" s="2">
        <f t="shared" si="40"/>
        <v>74.3</v>
      </c>
      <c r="K400" s="35" t="str">
        <f t="shared" ca="1" si="41"/>
        <v>INSERT INTO ETFValue (DataDate, TimeCategory, ProductType, ProductLink, ProductCode, ProductName, NAV, Price, RecTime) VALUES ('2021/5/14','1', 'Stock', '6426','6426','統新','74.3','74.3','15:15:01');</v>
      </c>
    </row>
    <row r="401" spans="1:11">
      <c r="A401" s="21" t="str">
        <f t="shared" ca="1" si="36"/>
        <v>2021/5/14</v>
      </c>
      <c r="B401" s="22" t="str">
        <f t="shared" ca="1" si="37"/>
        <v>15:15:01</v>
      </c>
      <c r="C401" s="23">
        <v>1</v>
      </c>
      <c r="D401" t="str">
        <f t="shared" si="38"/>
        <v>Stock</v>
      </c>
      <c r="E401" s="26" t="str">
        <f t="shared" si="39"/>
        <v>6435</v>
      </c>
      <c r="F401" s="3" t="s">
        <v>977</v>
      </c>
      <c r="G401" s="2" t="s">
        <v>2261</v>
      </c>
      <c r="H401" s="2">
        <v>101.5</v>
      </c>
      <c r="J401" s="2">
        <f t="shared" si="40"/>
        <v>101.5</v>
      </c>
      <c r="K401" s="35" t="str">
        <f t="shared" ca="1" si="41"/>
        <v>INSERT INTO ETFValue (DataDate, TimeCategory, ProductType, ProductLink, ProductCode, ProductName, NAV, Price, RecTime) VALUES ('2021/5/14','1', 'Stock', '6435','6435','大中','101.5','101.5','15:15:01');</v>
      </c>
    </row>
    <row r="402" spans="1:11">
      <c r="A402" s="21" t="str">
        <f t="shared" ca="1" si="36"/>
        <v>2021/5/14</v>
      </c>
      <c r="B402" s="22" t="str">
        <f t="shared" ca="1" si="37"/>
        <v>15:15:01</v>
      </c>
      <c r="C402" s="23">
        <v>1</v>
      </c>
      <c r="D402" t="str">
        <f t="shared" si="38"/>
        <v>Stock</v>
      </c>
      <c r="E402" s="26" t="str">
        <f t="shared" si="39"/>
        <v>6438</v>
      </c>
      <c r="F402" s="3" t="s">
        <v>978</v>
      </c>
      <c r="G402" s="2" t="s">
        <v>2262</v>
      </c>
      <c r="H402" s="2">
        <v>86.9</v>
      </c>
      <c r="J402" s="2">
        <f t="shared" si="40"/>
        <v>86.9</v>
      </c>
      <c r="K402" s="35" t="str">
        <f t="shared" ca="1" si="41"/>
        <v>INSERT INTO ETFValue (DataDate, TimeCategory, ProductType, ProductLink, ProductCode, ProductName, NAV, Price, RecTime) VALUES ('2021/5/14','1', 'Stock', '6438','6438','迅得','86.9','86.9','15:15:01');</v>
      </c>
    </row>
    <row r="403" spans="1:11">
      <c r="A403" s="21" t="str">
        <f t="shared" ca="1" si="36"/>
        <v>2021/5/14</v>
      </c>
      <c r="B403" s="22" t="str">
        <f t="shared" ca="1" si="37"/>
        <v>15:15:01</v>
      </c>
      <c r="C403" s="23">
        <v>1</v>
      </c>
      <c r="D403" t="str">
        <f t="shared" si="38"/>
        <v>Stock</v>
      </c>
      <c r="E403" s="26" t="str">
        <f t="shared" si="39"/>
        <v>6446</v>
      </c>
      <c r="F403" s="3" t="s">
        <v>979</v>
      </c>
      <c r="G403" s="2" t="s">
        <v>2263</v>
      </c>
      <c r="H403" s="2">
        <v>76</v>
      </c>
      <c r="J403" s="2">
        <f t="shared" si="40"/>
        <v>76</v>
      </c>
      <c r="K403" s="35" t="str">
        <f t="shared" ca="1" si="41"/>
        <v>INSERT INTO ETFValue (DataDate, TimeCategory, ProductType, ProductLink, ProductCode, ProductName, NAV, Price, RecTime) VALUES ('2021/5/14','1', 'Stock', '6446','6446','藥華藥','76','76','15:15:01');</v>
      </c>
    </row>
    <row r="404" spans="1:11">
      <c r="A404" s="21" t="str">
        <f t="shared" ca="1" si="36"/>
        <v>2021/5/14</v>
      </c>
      <c r="B404" s="22" t="str">
        <f t="shared" ca="1" si="37"/>
        <v>15:15:01</v>
      </c>
      <c r="C404" s="23">
        <v>1</v>
      </c>
      <c r="D404" t="str">
        <f t="shared" si="38"/>
        <v>Stock</v>
      </c>
      <c r="E404" s="26" t="str">
        <f t="shared" si="39"/>
        <v>6456</v>
      </c>
      <c r="F404" s="3" t="s">
        <v>346</v>
      </c>
      <c r="G404" s="2" t="s">
        <v>2264</v>
      </c>
      <c r="H404" s="2">
        <v>93.5</v>
      </c>
      <c r="J404" s="2">
        <f t="shared" si="40"/>
        <v>93.5</v>
      </c>
      <c r="K404" s="35" t="str">
        <f t="shared" ca="1" si="41"/>
        <v>INSERT INTO ETFValue (DataDate, TimeCategory, ProductType, ProductLink, ProductCode, ProductName, NAV, Price, RecTime) VALUES ('2021/5/14','1', 'Stock', '6456','6456','GIS-KY','93.5','93.5','15:15:01');</v>
      </c>
    </row>
    <row r="405" spans="1:11">
      <c r="A405" s="21" t="str">
        <f t="shared" ca="1" si="36"/>
        <v>2021/5/14</v>
      </c>
      <c r="B405" s="22" t="str">
        <f t="shared" ca="1" si="37"/>
        <v>15:15:01</v>
      </c>
      <c r="C405" s="23">
        <v>1</v>
      </c>
      <c r="D405" t="str">
        <f t="shared" si="38"/>
        <v>Stock</v>
      </c>
      <c r="E405" s="26" t="str">
        <f t="shared" si="39"/>
        <v>6462</v>
      </c>
      <c r="F405" s="3" t="s">
        <v>980</v>
      </c>
      <c r="G405" s="2" t="s">
        <v>2265</v>
      </c>
      <c r="H405" s="2">
        <v>163</v>
      </c>
      <c r="J405" s="2">
        <f t="shared" si="40"/>
        <v>163</v>
      </c>
      <c r="K405" s="35" t="str">
        <f t="shared" ca="1" si="41"/>
        <v>INSERT INTO ETFValue (DataDate, TimeCategory, ProductType, ProductLink, ProductCode, ProductName, NAV, Price, RecTime) VALUES ('2021/5/14','1', 'Stock', '6462','6462','神盾','163','163','15:15:01');</v>
      </c>
    </row>
    <row r="406" spans="1:11">
      <c r="A406" s="21" t="str">
        <f t="shared" ca="1" si="36"/>
        <v>2021/5/14</v>
      </c>
      <c r="B406" s="22" t="str">
        <f t="shared" ca="1" si="37"/>
        <v>15:15:01</v>
      </c>
      <c r="C406" s="23">
        <v>1</v>
      </c>
      <c r="D406" t="str">
        <f t="shared" si="38"/>
        <v>Stock</v>
      </c>
      <c r="E406" s="26" t="str">
        <f t="shared" si="39"/>
        <v>6469</v>
      </c>
      <c r="F406" s="3" t="s">
        <v>981</v>
      </c>
      <c r="G406" s="2" t="s">
        <v>2266</v>
      </c>
      <c r="H406" s="2">
        <v>137.5</v>
      </c>
      <c r="J406" s="2">
        <f t="shared" si="40"/>
        <v>137.5</v>
      </c>
      <c r="K406" s="35" t="str">
        <f t="shared" ca="1" si="41"/>
        <v>INSERT INTO ETFValue (DataDate, TimeCategory, ProductType, ProductLink, ProductCode, ProductName, NAV, Price, RecTime) VALUES ('2021/5/14','1', 'Stock', '6469','6469','大樹','137.5','137.5','15:15:01');</v>
      </c>
    </row>
    <row r="407" spans="1:11">
      <c r="A407" s="21" t="str">
        <f t="shared" ca="1" si="36"/>
        <v>2021/5/14</v>
      </c>
      <c r="B407" s="22" t="str">
        <f t="shared" ca="1" si="37"/>
        <v>15:15:01</v>
      </c>
      <c r="C407" s="23">
        <v>1</v>
      </c>
      <c r="D407" t="str">
        <f t="shared" si="38"/>
        <v>Stock</v>
      </c>
      <c r="E407" s="26" t="str">
        <f t="shared" si="39"/>
        <v>6472</v>
      </c>
      <c r="F407" s="3" t="s">
        <v>982</v>
      </c>
      <c r="G407" s="2" t="s">
        <v>2267</v>
      </c>
      <c r="H407" s="2">
        <v>256.5</v>
      </c>
      <c r="J407" s="2">
        <f t="shared" si="40"/>
        <v>256.5</v>
      </c>
      <c r="K407" s="35" t="str">
        <f t="shared" ca="1" si="41"/>
        <v>INSERT INTO ETFValue (DataDate, TimeCategory, ProductType, ProductLink, ProductCode, ProductName, NAV, Price, RecTime) VALUES ('2021/5/14','1', 'Stock', '6472','6472','保瑞','256.5','256.5','15:15:01');</v>
      </c>
    </row>
    <row r="408" spans="1:11">
      <c r="A408" s="21" t="str">
        <f t="shared" ca="1" si="36"/>
        <v>2021/5/14</v>
      </c>
      <c r="B408" s="22" t="str">
        <f t="shared" ca="1" si="37"/>
        <v>15:15:01</v>
      </c>
      <c r="C408" s="23">
        <v>1</v>
      </c>
      <c r="D408" t="str">
        <f t="shared" si="38"/>
        <v>Stock</v>
      </c>
      <c r="E408" s="26" t="str">
        <f t="shared" si="39"/>
        <v>6477</v>
      </c>
      <c r="F408" s="3" t="s">
        <v>785</v>
      </c>
      <c r="G408" s="2" t="s">
        <v>2268</v>
      </c>
      <c r="H408" s="2">
        <v>41.7</v>
      </c>
      <c r="J408" s="2">
        <f t="shared" si="40"/>
        <v>41.7</v>
      </c>
      <c r="K408" s="35" t="str">
        <f t="shared" ca="1" si="41"/>
        <v>INSERT INTO ETFValue (DataDate, TimeCategory, ProductType, ProductLink, ProductCode, ProductName, NAV, Price, RecTime) VALUES ('2021/5/14','1', 'Stock', '6477','6477','安集','41.7','41.7','15:15:01');</v>
      </c>
    </row>
    <row r="409" spans="1:11">
      <c r="A409" s="21" t="str">
        <f t="shared" ca="1" si="36"/>
        <v>2021/5/14</v>
      </c>
      <c r="B409" s="22" t="str">
        <f t="shared" ca="1" si="37"/>
        <v>15:15:01</v>
      </c>
      <c r="C409" s="23">
        <v>1</v>
      </c>
      <c r="D409" t="str">
        <f t="shared" si="38"/>
        <v>Stock</v>
      </c>
      <c r="E409" s="26" t="str">
        <f t="shared" si="39"/>
        <v>6488</v>
      </c>
      <c r="F409" s="3" t="s">
        <v>430</v>
      </c>
      <c r="G409" s="2" t="s">
        <v>2269</v>
      </c>
      <c r="H409" s="2">
        <v>715</v>
      </c>
      <c r="J409" s="2">
        <f t="shared" si="40"/>
        <v>715</v>
      </c>
      <c r="K409" s="35" t="str">
        <f t="shared" ca="1" si="41"/>
        <v>INSERT INTO ETFValue (DataDate, TimeCategory, ProductType, ProductLink, ProductCode, ProductName, NAV, Price, RecTime) VALUES ('2021/5/14','1', 'Stock', '6488','6488','環球晶','715','715','15:15:01');</v>
      </c>
    </row>
    <row r="410" spans="1:11">
      <c r="A410" s="21" t="str">
        <f t="shared" ca="1" si="36"/>
        <v>2021/5/14</v>
      </c>
      <c r="B410" s="22" t="str">
        <f t="shared" ca="1" si="37"/>
        <v>15:15:01</v>
      </c>
      <c r="C410" s="23">
        <v>1</v>
      </c>
      <c r="D410" t="str">
        <f t="shared" si="38"/>
        <v>Stock</v>
      </c>
      <c r="E410" s="26" t="str">
        <f t="shared" si="39"/>
        <v>6499</v>
      </c>
      <c r="F410" s="3" t="s">
        <v>983</v>
      </c>
      <c r="G410" s="2" t="s">
        <v>2270</v>
      </c>
      <c r="H410" s="2">
        <v>49.15</v>
      </c>
      <c r="J410" s="2">
        <f t="shared" si="40"/>
        <v>49.15</v>
      </c>
      <c r="K410" s="35" t="str">
        <f t="shared" ca="1" si="41"/>
        <v>INSERT INTO ETFValue (DataDate, TimeCategory, ProductType, ProductLink, ProductCode, ProductName, NAV, Price, RecTime) VALUES ('2021/5/14','1', 'Stock', '6499','6499','益安','49.15','49.15','15:15:01');</v>
      </c>
    </row>
    <row r="411" spans="1:11">
      <c r="A411" s="21" t="str">
        <f t="shared" ca="1" si="36"/>
        <v>2021/5/14</v>
      </c>
      <c r="B411" s="22" t="str">
        <f t="shared" ca="1" si="37"/>
        <v>15:15:01</v>
      </c>
      <c r="C411" s="23">
        <v>1</v>
      </c>
      <c r="D411" t="str">
        <f t="shared" si="38"/>
        <v>Stock</v>
      </c>
      <c r="E411" s="26" t="str">
        <f t="shared" si="39"/>
        <v>6505</v>
      </c>
      <c r="F411" s="3" t="s">
        <v>347</v>
      </c>
      <c r="G411" s="2" t="s">
        <v>2271</v>
      </c>
      <c r="H411" s="2">
        <v>96.7</v>
      </c>
      <c r="J411" s="2">
        <f t="shared" si="40"/>
        <v>96.7</v>
      </c>
      <c r="K411" s="35" t="str">
        <f t="shared" ca="1" si="41"/>
        <v>INSERT INTO ETFValue (DataDate, TimeCategory, ProductType, ProductLink, ProductCode, ProductName, NAV, Price, RecTime) VALUES ('2021/5/14','1', 'Stock', '6505','6505','台塑化','96.7','96.7','15:15:01');</v>
      </c>
    </row>
    <row r="412" spans="1:11">
      <c r="A412" s="21" t="str">
        <f t="shared" ca="1" si="36"/>
        <v>2021/5/14</v>
      </c>
      <c r="B412" s="22" t="str">
        <f t="shared" ca="1" si="37"/>
        <v>15:15:01</v>
      </c>
      <c r="C412" s="23">
        <v>1</v>
      </c>
      <c r="D412" t="str">
        <f t="shared" si="38"/>
        <v>Stock</v>
      </c>
      <c r="E412" s="26" t="str">
        <f t="shared" si="39"/>
        <v>6509</v>
      </c>
      <c r="F412" s="3" t="s">
        <v>984</v>
      </c>
      <c r="G412" s="2" t="s">
        <v>2272</v>
      </c>
      <c r="H412" s="2">
        <v>27.3</v>
      </c>
      <c r="J412" s="2">
        <f t="shared" si="40"/>
        <v>27.3</v>
      </c>
      <c r="K412" s="35" t="str">
        <f t="shared" ca="1" si="41"/>
        <v>INSERT INTO ETFValue (DataDate, TimeCategory, ProductType, ProductLink, ProductCode, ProductName, NAV, Price, RecTime) VALUES ('2021/5/14','1', 'Stock', '6509','6509','聚和','27.3','27.3','15:15:01');</v>
      </c>
    </row>
    <row r="413" spans="1:11">
      <c r="A413" s="21" t="str">
        <f t="shared" ca="1" si="36"/>
        <v>2021/5/14</v>
      </c>
      <c r="B413" s="22" t="str">
        <f t="shared" ca="1" si="37"/>
        <v>15:15:01</v>
      </c>
      <c r="C413" s="23">
        <v>1</v>
      </c>
      <c r="D413" t="str">
        <f t="shared" si="38"/>
        <v>Stock</v>
      </c>
      <c r="E413" s="26" t="str">
        <f t="shared" si="39"/>
        <v>6510</v>
      </c>
      <c r="F413" s="3" t="s">
        <v>985</v>
      </c>
      <c r="G413" s="2" t="s">
        <v>2273</v>
      </c>
      <c r="H413" s="2">
        <v>655</v>
      </c>
      <c r="J413" s="2">
        <f t="shared" si="40"/>
        <v>655</v>
      </c>
      <c r="K413" s="35" t="str">
        <f t="shared" ca="1" si="41"/>
        <v>INSERT INTO ETFValue (DataDate, TimeCategory, ProductType, ProductLink, ProductCode, ProductName, NAV, Price, RecTime) VALUES ('2021/5/14','1', 'Stock', '6510','6510','精測','655','655','15:15:01');</v>
      </c>
    </row>
    <row r="414" spans="1:11">
      <c r="A414" s="21" t="str">
        <f t="shared" ca="1" si="36"/>
        <v>2021/5/14</v>
      </c>
      <c r="B414" s="22" t="str">
        <f t="shared" ca="1" si="37"/>
        <v>15:15:01</v>
      </c>
      <c r="C414" s="23">
        <v>1</v>
      </c>
      <c r="D414" t="str">
        <f t="shared" si="38"/>
        <v>Stock</v>
      </c>
      <c r="E414" s="26" t="str">
        <f t="shared" si="39"/>
        <v>6516</v>
      </c>
      <c r="F414" s="3" t="s">
        <v>986</v>
      </c>
      <c r="G414" s="2" t="s">
        <v>2274</v>
      </c>
      <c r="H414" s="2">
        <v>98.4</v>
      </c>
      <c r="J414" s="2">
        <f t="shared" si="40"/>
        <v>98.4</v>
      </c>
      <c r="K414" s="35" t="str">
        <f t="shared" ca="1" si="41"/>
        <v>INSERT INTO ETFValue (DataDate, TimeCategory, ProductType, ProductLink, ProductCode, ProductName, NAV, Price, RecTime) VALUES ('2021/5/14','1', 'Stock', '6516','6516','勤崴國際','98.4','98.4','15:15:01');</v>
      </c>
    </row>
    <row r="415" spans="1:11">
      <c r="A415" s="21" t="str">
        <f t="shared" ca="1" si="36"/>
        <v>2021/5/14</v>
      </c>
      <c r="B415" s="22" t="str">
        <f t="shared" ca="1" si="37"/>
        <v>15:15:01</v>
      </c>
      <c r="C415" s="23">
        <v>1</v>
      </c>
      <c r="D415" t="str">
        <f t="shared" si="38"/>
        <v>Stock</v>
      </c>
      <c r="E415" s="26" t="str">
        <f t="shared" si="39"/>
        <v>6523</v>
      </c>
      <c r="F415" s="3" t="s">
        <v>987</v>
      </c>
      <c r="G415" s="2" t="s">
        <v>2275</v>
      </c>
      <c r="H415" s="2">
        <v>74</v>
      </c>
      <c r="J415" s="2">
        <f t="shared" si="40"/>
        <v>74</v>
      </c>
      <c r="K415" s="35" t="str">
        <f t="shared" ca="1" si="41"/>
        <v>INSERT INTO ETFValue (DataDate, TimeCategory, ProductType, ProductLink, ProductCode, ProductName, NAV, Price, RecTime) VALUES ('2021/5/14','1', 'Stock', '6523','6523','達爾膚','74','74','15:15:01');</v>
      </c>
    </row>
    <row r="416" spans="1:11">
      <c r="A416" s="21" t="str">
        <f t="shared" ca="1" si="36"/>
        <v>2021/5/14</v>
      </c>
      <c r="B416" s="22" t="str">
        <f t="shared" ca="1" si="37"/>
        <v>15:15:01</v>
      </c>
      <c r="C416" s="23">
        <v>1</v>
      </c>
      <c r="D416" t="str">
        <f t="shared" si="38"/>
        <v>Stock</v>
      </c>
      <c r="E416" s="26" t="str">
        <f t="shared" si="39"/>
        <v>6532</v>
      </c>
      <c r="F416" s="3" t="s">
        <v>1061</v>
      </c>
      <c r="G416" s="2" t="s">
        <v>2276</v>
      </c>
      <c r="H416" s="2">
        <v>40.1</v>
      </c>
      <c r="J416" s="2">
        <f t="shared" si="40"/>
        <v>40.1</v>
      </c>
      <c r="K416" s="35" t="str">
        <f t="shared" ca="1" si="41"/>
        <v>INSERT INTO ETFValue (DataDate, TimeCategory, ProductType, ProductLink, ProductCode, ProductName, NAV, Price, RecTime) VALUES ('2021/5/14','1', 'Stock', '6532','6532','瑞耘','40.1','40.1','15:15:01');</v>
      </c>
    </row>
    <row r="417" spans="1:11">
      <c r="A417" s="21" t="str">
        <f t="shared" ca="1" si="36"/>
        <v>2021/5/14</v>
      </c>
      <c r="B417" s="22" t="str">
        <f t="shared" ca="1" si="37"/>
        <v>15:15:01</v>
      </c>
      <c r="C417" s="23">
        <v>1</v>
      </c>
      <c r="D417" t="str">
        <f t="shared" si="38"/>
        <v>Stock</v>
      </c>
      <c r="E417" s="26" t="str">
        <f t="shared" si="39"/>
        <v>6547</v>
      </c>
      <c r="F417" s="3" t="s">
        <v>988</v>
      </c>
      <c r="G417" s="2" t="s">
        <v>2277</v>
      </c>
      <c r="H417" s="2">
        <v>379.5</v>
      </c>
      <c r="J417" s="2">
        <f t="shared" si="40"/>
        <v>379.5</v>
      </c>
      <c r="K417" s="35" t="str">
        <f t="shared" ca="1" si="41"/>
        <v>INSERT INTO ETFValue (DataDate, TimeCategory, ProductType, ProductLink, ProductCode, ProductName, NAV, Price, RecTime) VALUES ('2021/5/14','1', 'Stock', '6547','6547','高端疫苗','379.5','379.5','15:15:01');</v>
      </c>
    </row>
    <row r="418" spans="1:11">
      <c r="A418" s="21" t="str">
        <f t="shared" ca="1" si="36"/>
        <v>2021/5/14</v>
      </c>
      <c r="B418" s="22" t="str">
        <f t="shared" ca="1" si="37"/>
        <v>15:15:01</v>
      </c>
      <c r="C418" s="23">
        <v>1</v>
      </c>
      <c r="D418" t="str">
        <f t="shared" si="38"/>
        <v>Stock</v>
      </c>
      <c r="E418" s="26" t="str">
        <f t="shared" si="39"/>
        <v>6561</v>
      </c>
      <c r="F418" s="3" t="s">
        <v>989</v>
      </c>
      <c r="G418" s="2" t="s">
        <v>2278</v>
      </c>
      <c r="H418" s="2">
        <v>289</v>
      </c>
      <c r="J418" s="2">
        <f t="shared" si="40"/>
        <v>289</v>
      </c>
      <c r="K418" s="35" t="str">
        <f t="shared" ca="1" si="41"/>
        <v>INSERT INTO ETFValue (DataDate, TimeCategory, ProductType, ProductLink, ProductCode, ProductName, NAV, Price, RecTime) VALUES ('2021/5/14','1', 'Stock', '6561','6561','是方','289','289','15:15:01');</v>
      </c>
    </row>
    <row r="419" spans="1:11">
      <c r="A419" s="21" t="str">
        <f t="shared" ca="1" si="36"/>
        <v>2021/5/14</v>
      </c>
      <c r="B419" s="22" t="str">
        <f t="shared" ca="1" si="37"/>
        <v>15:15:01</v>
      </c>
      <c r="C419" s="23">
        <v>1</v>
      </c>
      <c r="D419" t="str">
        <f t="shared" si="38"/>
        <v>Stock</v>
      </c>
      <c r="E419" s="26" t="str">
        <f t="shared" si="39"/>
        <v>6568</v>
      </c>
      <c r="F419" s="3" t="s">
        <v>990</v>
      </c>
      <c r="G419" s="2" t="s">
        <v>2279</v>
      </c>
      <c r="H419" s="2">
        <v>127</v>
      </c>
      <c r="J419" s="2">
        <f t="shared" si="40"/>
        <v>127</v>
      </c>
      <c r="K419" s="35" t="str">
        <f t="shared" ca="1" si="41"/>
        <v>INSERT INTO ETFValue (DataDate, TimeCategory, ProductType, ProductLink, ProductCode, ProductName, NAV, Price, RecTime) VALUES ('2021/5/14','1', 'Stock', '6568','6568','宏觀','127','127','15:15:01');</v>
      </c>
    </row>
    <row r="420" spans="1:11">
      <c r="A420" s="21" t="str">
        <f t="shared" ca="1" si="36"/>
        <v>2021/5/14</v>
      </c>
      <c r="B420" s="22" t="str">
        <f t="shared" ca="1" si="37"/>
        <v>15:15:01</v>
      </c>
      <c r="C420" s="23">
        <v>1</v>
      </c>
      <c r="D420" t="str">
        <f t="shared" si="38"/>
        <v>Stock</v>
      </c>
      <c r="E420" s="26" t="str">
        <f t="shared" si="39"/>
        <v>6569</v>
      </c>
      <c r="F420" s="3" t="s">
        <v>991</v>
      </c>
      <c r="G420" s="2" t="s">
        <v>2280</v>
      </c>
      <c r="H420" s="2">
        <v>129</v>
      </c>
      <c r="J420" s="2">
        <f t="shared" si="40"/>
        <v>129</v>
      </c>
      <c r="K420" s="35" t="str">
        <f t="shared" ca="1" si="41"/>
        <v>INSERT INTO ETFValue (DataDate, TimeCategory, ProductType, ProductLink, ProductCode, ProductName, NAV, Price, RecTime) VALUES ('2021/5/14','1', 'Stock', '6569','6569','醫揚','129','129','15:15:01');</v>
      </c>
    </row>
    <row r="421" spans="1:11">
      <c r="A421" s="21" t="str">
        <f t="shared" ca="1" si="36"/>
        <v>2021/5/14</v>
      </c>
      <c r="B421" s="22" t="str">
        <f t="shared" ca="1" si="37"/>
        <v>15:15:01</v>
      </c>
      <c r="C421" s="23">
        <v>1</v>
      </c>
      <c r="D421" t="str">
        <f t="shared" si="38"/>
        <v>Stock</v>
      </c>
      <c r="E421" s="26" t="str">
        <f t="shared" si="39"/>
        <v>6576</v>
      </c>
      <c r="F421" s="3" t="s">
        <v>992</v>
      </c>
      <c r="G421" s="2" t="s">
        <v>2281</v>
      </c>
      <c r="H421" s="2">
        <v>79.599999999999994</v>
      </c>
      <c r="J421" s="2">
        <f t="shared" si="40"/>
        <v>79.599999999999994</v>
      </c>
      <c r="K421" s="35" t="str">
        <f t="shared" ca="1" si="41"/>
        <v>INSERT INTO ETFValue (DataDate, TimeCategory, ProductType, ProductLink, ProductCode, ProductName, NAV, Price, RecTime) VALUES ('2021/5/14','1', 'Stock', '6576','6576','逸達','79.6','79.6','15:15:01');</v>
      </c>
    </row>
    <row r="422" spans="1:11">
      <c r="A422" s="21" t="str">
        <f t="shared" ca="1" si="36"/>
        <v>2021/5/14</v>
      </c>
      <c r="B422" s="22" t="str">
        <f t="shared" ca="1" si="37"/>
        <v>15:15:01</v>
      </c>
      <c r="C422" s="23">
        <v>1</v>
      </c>
      <c r="D422" t="str">
        <f t="shared" si="38"/>
        <v>Stock</v>
      </c>
      <c r="E422" s="26" t="str">
        <f t="shared" si="39"/>
        <v>6577</v>
      </c>
      <c r="F422" s="3" t="s">
        <v>993</v>
      </c>
      <c r="G422" s="2" t="s">
        <v>2282</v>
      </c>
      <c r="H422" s="2">
        <v>66.8</v>
      </c>
      <c r="J422" s="2">
        <f t="shared" si="40"/>
        <v>66.8</v>
      </c>
      <c r="K422" s="35" t="str">
        <f t="shared" ca="1" si="41"/>
        <v>INSERT INTO ETFValue (DataDate, TimeCategory, ProductType, ProductLink, ProductCode, ProductName, NAV, Price, RecTime) VALUES ('2021/5/14','1', 'Stock', '6577','6577','勁豐','66.8','66.8','15:15:01');</v>
      </c>
    </row>
    <row r="423" spans="1:11">
      <c r="A423" s="21" t="str">
        <f t="shared" ca="1" si="36"/>
        <v>2021/5/14</v>
      </c>
      <c r="B423" s="22" t="str">
        <f t="shared" ca="1" si="37"/>
        <v>15:15:01</v>
      </c>
      <c r="C423" s="23">
        <v>1</v>
      </c>
      <c r="D423" t="str">
        <f t="shared" si="38"/>
        <v>Stock</v>
      </c>
      <c r="E423" s="26" t="str">
        <f t="shared" si="39"/>
        <v>6605</v>
      </c>
      <c r="F423" s="3" t="s">
        <v>828</v>
      </c>
      <c r="G423" s="2" t="s">
        <v>2283</v>
      </c>
      <c r="H423" s="2">
        <v>54.1</v>
      </c>
      <c r="J423" s="2">
        <f t="shared" si="40"/>
        <v>54.1</v>
      </c>
      <c r="K423" s="35" t="str">
        <f t="shared" ca="1" si="41"/>
        <v>INSERT INTO ETFValue (DataDate, TimeCategory, ProductType, ProductLink, ProductCode, ProductName, NAV, Price, RecTime) VALUES ('2021/5/14','1', 'Stock', '6605','6605','帝寶','54.1','54.1','15:15:01');</v>
      </c>
    </row>
    <row r="424" spans="1:11">
      <c r="A424" s="21" t="str">
        <f t="shared" ca="1" si="36"/>
        <v>2021/5/14</v>
      </c>
      <c r="B424" s="22" t="str">
        <f t="shared" ca="1" si="37"/>
        <v>15:15:01</v>
      </c>
      <c r="C424" s="23">
        <v>1</v>
      </c>
      <c r="D424" t="str">
        <f t="shared" si="38"/>
        <v>Stock</v>
      </c>
      <c r="E424" s="26" t="str">
        <f t="shared" si="39"/>
        <v>6613</v>
      </c>
      <c r="F424" s="3" t="s">
        <v>994</v>
      </c>
      <c r="G424" s="2" t="s">
        <v>2284</v>
      </c>
      <c r="H424" s="2">
        <v>133</v>
      </c>
      <c r="J424" s="2">
        <f t="shared" si="40"/>
        <v>133</v>
      </c>
      <c r="K424" s="35" t="str">
        <f t="shared" ca="1" si="41"/>
        <v>INSERT INTO ETFValue (DataDate, TimeCategory, ProductType, ProductLink, ProductCode, ProductName, NAV, Price, RecTime) VALUES ('2021/5/14','1', 'Stock', '6613','6613','朋億','133','133','15:15:01');</v>
      </c>
    </row>
    <row r="425" spans="1:11">
      <c r="A425" s="21" t="str">
        <f t="shared" ca="1" si="36"/>
        <v>2021/5/14</v>
      </c>
      <c r="B425" s="22" t="str">
        <f t="shared" ca="1" si="37"/>
        <v>15:15:01</v>
      </c>
      <c r="C425" s="23">
        <v>1</v>
      </c>
      <c r="D425" t="str">
        <f t="shared" si="38"/>
        <v>Stock</v>
      </c>
      <c r="E425" s="26" t="str">
        <f t="shared" si="39"/>
        <v>6643</v>
      </c>
      <c r="F425" s="3" t="s">
        <v>995</v>
      </c>
      <c r="G425" s="2" t="s">
        <v>2285</v>
      </c>
      <c r="H425" s="2">
        <v>315.5</v>
      </c>
      <c r="J425" s="2">
        <f t="shared" si="40"/>
        <v>315.5</v>
      </c>
      <c r="K425" s="35" t="str">
        <f t="shared" ca="1" si="41"/>
        <v>INSERT INTO ETFValue (DataDate, TimeCategory, ProductType, ProductLink, ProductCode, ProductName, NAV, Price, RecTime) VALUES ('2021/5/14','1', 'Stock', '6643','6643','M31','315.5','315.5','15:15:01');</v>
      </c>
    </row>
    <row r="426" spans="1:11">
      <c r="A426" s="21" t="str">
        <f t="shared" ca="1" si="36"/>
        <v>2021/5/14</v>
      </c>
      <c r="B426" s="22" t="str">
        <f t="shared" ca="1" si="37"/>
        <v>15:15:01</v>
      </c>
      <c r="C426" s="23">
        <v>1</v>
      </c>
      <c r="D426" t="str">
        <f t="shared" si="38"/>
        <v>Stock</v>
      </c>
      <c r="E426" s="26" t="str">
        <f t="shared" si="39"/>
        <v>6669</v>
      </c>
      <c r="F426" s="3" t="s">
        <v>348</v>
      </c>
      <c r="G426" s="2" t="s">
        <v>2286</v>
      </c>
      <c r="H426" s="2">
        <v>808</v>
      </c>
      <c r="J426" s="2">
        <f t="shared" si="40"/>
        <v>808</v>
      </c>
      <c r="K426" s="35" t="str">
        <f t="shared" ca="1" si="41"/>
        <v>INSERT INTO ETFValue (DataDate, TimeCategory, ProductType, ProductLink, ProductCode, ProductName, NAV, Price, RecTime) VALUES ('2021/5/14','1', 'Stock', '6669','6669','緯穎','808','808','15:15:01');</v>
      </c>
    </row>
    <row r="427" spans="1:11">
      <c r="A427" s="21" t="str">
        <f t="shared" ca="1" si="36"/>
        <v>2021/5/14</v>
      </c>
      <c r="B427" s="22" t="str">
        <f t="shared" ca="1" si="37"/>
        <v>15:15:01</v>
      </c>
      <c r="C427" s="23">
        <v>1</v>
      </c>
      <c r="D427" t="str">
        <f t="shared" si="38"/>
        <v>Stock</v>
      </c>
      <c r="E427" s="26" t="str">
        <f t="shared" si="39"/>
        <v>6803</v>
      </c>
      <c r="F427" s="3" t="s">
        <v>1062</v>
      </c>
      <c r="G427" s="2" t="s">
        <v>2287</v>
      </c>
      <c r="H427" s="2">
        <v>221.5</v>
      </c>
      <c r="J427" s="2">
        <f t="shared" si="40"/>
        <v>221.5</v>
      </c>
      <c r="K427" s="35" t="str">
        <f t="shared" ca="1" si="41"/>
        <v>INSERT INTO ETFValue (DataDate, TimeCategory, ProductType, ProductLink, ProductCode, ProductName, NAV, Price, RecTime) VALUES ('2021/5/14','1', 'Stock', '6803','6803','崑鼎','221.5','221.5','15:15:01');</v>
      </c>
    </row>
    <row r="428" spans="1:11">
      <c r="A428" s="21" t="str">
        <f t="shared" ca="1" si="36"/>
        <v>2021/5/14</v>
      </c>
      <c r="B428" s="22" t="str">
        <f t="shared" ca="1" si="37"/>
        <v>15:15:01</v>
      </c>
      <c r="C428" s="23">
        <v>1</v>
      </c>
      <c r="D428" t="str">
        <f t="shared" si="38"/>
        <v>Stock</v>
      </c>
      <c r="E428" s="26" t="str">
        <f t="shared" si="39"/>
        <v>8016</v>
      </c>
      <c r="F428" s="3" t="s">
        <v>810</v>
      </c>
      <c r="G428" s="2" t="s">
        <v>2288</v>
      </c>
      <c r="H428" s="2">
        <v>234</v>
      </c>
      <c r="J428" s="2">
        <f t="shared" si="40"/>
        <v>234</v>
      </c>
      <c r="K428" s="35" t="str">
        <f t="shared" ca="1" si="41"/>
        <v>INSERT INTO ETFValue (DataDate, TimeCategory, ProductType, ProductLink, ProductCode, ProductName, NAV, Price, RecTime) VALUES ('2021/5/14','1', 'Stock', '8016','8016','矽創','234','234','15:15:01');</v>
      </c>
    </row>
    <row r="429" spans="1:11">
      <c r="A429" s="21" t="str">
        <f t="shared" ca="1" si="36"/>
        <v>2021/5/14</v>
      </c>
      <c r="B429" s="22" t="str">
        <f t="shared" ca="1" si="37"/>
        <v>15:15:01</v>
      </c>
      <c r="C429" s="23">
        <v>1</v>
      </c>
      <c r="D429" t="str">
        <f t="shared" si="38"/>
        <v>Stock</v>
      </c>
      <c r="E429" s="26" t="str">
        <f t="shared" si="39"/>
        <v>8027</v>
      </c>
      <c r="F429" s="3" t="s">
        <v>996</v>
      </c>
      <c r="G429" s="2" t="s">
        <v>2289</v>
      </c>
      <c r="H429" s="2">
        <v>68.2</v>
      </c>
      <c r="J429" s="2">
        <f t="shared" si="40"/>
        <v>68.2</v>
      </c>
      <c r="K429" s="35" t="str">
        <f t="shared" ca="1" si="41"/>
        <v>INSERT INTO ETFValue (DataDate, TimeCategory, ProductType, ProductLink, ProductCode, ProductName, NAV, Price, RecTime) VALUES ('2021/5/14','1', 'Stock', '8027','8027','鈦昇','68.2','68.2','15:15:01');</v>
      </c>
    </row>
    <row r="430" spans="1:11">
      <c r="A430" s="21" t="str">
        <f t="shared" ca="1" si="36"/>
        <v>2021/5/14</v>
      </c>
      <c r="B430" s="22" t="str">
        <f t="shared" ca="1" si="37"/>
        <v>15:15:01</v>
      </c>
      <c r="C430" s="23">
        <v>1</v>
      </c>
      <c r="D430" t="str">
        <f t="shared" si="38"/>
        <v>Stock</v>
      </c>
      <c r="E430" s="26" t="str">
        <f t="shared" si="39"/>
        <v>8038</v>
      </c>
      <c r="F430" s="3" t="s">
        <v>997</v>
      </c>
      <c r="G430" s="2" t="s">
        <v>2290</v>
      </c>
      <c r="H430" s="2">
        <v>28.8</v>
      </c>
      <c r="J430" s="2">
        <f t="shared" si="40"/>
        <v>28.8</v>
      </c>
      <c r="K430" s="35" t="str">
        <f t="shared" ca="1" si="41"/>
        <v>INSERT INTO ETFValue (DataDate, TimeCategory, ProductType, ProductLink, ProductCode, ProductName, NAV, Price, RecTime) VALUES ('2021/5/14','1', 'Stock', '8038','8038','長園科','28.8','28.8','15:15:01');</v>
      </c>
    </row>
    <row r="431" spans="1:11">
      <c r="A431" s="21" t="str">
        <f t="shared" ca="1" si="36"/>
        <v>2021/5/14</v>
      </c>
      <c r="B431" s="22" t="str">
        <f t="shared" ca="1" si="37"/>
        <v>15:15:01</v>
      </c>
      <c r="C431" s="23">
        <v>1</v>
      </c>
      <c r="D431" t="str">
        <f t="shared" si="38"/>
        <v>Stock</v>
      </c>
      <c r="E431" s="26" t="str">
        <f t="shared" si="39"/>
        <v>8042</v>
      </c>
      <c r="F431" s="3" t="s">
        <v>998</v>
      </c>
      <c r="G431" s="2" t="s">
        <v>2291</v>
      </c>
      <c r="H431" s="2">
        <v>42.55</v>
      </c>
      <c r="J431" s="2">
        <f t="shared" si="40"/>
        <v>42.55</v>
      </c>
      <c r="K431" s="35" t="str">
        <f t="shared" ca="1" si="41"/>
        <v>INSERT INTO ETFValue (DataDate, TimeCategory, ProductType, ProductLink, ProductCode, ProductName, NAV, Price, RecTime) VALUES ('2021/5/14','1', 'Stock', '8042','8042','金山電','42.55','42.55','15:15:01');</v>
      </c>
    </row>
    <row r="432" spans="1:11">
      <c r="A432" s="21" t="str">
        <f t="shared" ca="1" si="36"/>
        <v>2021/5/14</v>
      </c>
      <c r="B432" s="22" t="str">
        <f t="shared" ca="1" si="37"/>
        <v>15:15:01</v>
      </c>
      <c r="C432" s="23">
        <v>1</v>
      </c>
      <c r="D432" t="str">
        <f t="shared" si="38"/>
        <v>Stock</v>
      </c>
      <c r="E432" s="26" t="str">
        <f t="shared" si="39"/>
        <v>8043</v>
      </c>
      <c r="F432" s="3" t="s">
        <v>999</v>
      </c>
      <c r="G432" s="2" t="s">
        <v>2292</v>
      </c>
      <c r="H432" s="2">
        <v>26</v>
      </c>
      <c r="J432" s="2">
        <f t="shared" si="40"/>
        <v>26</v>
      </c>
      <c r="K432" s="35" t="str">
        <f t="shared" ca="1" si="41"/>
        <v>INSERT INTO ETFValue (DataDate, TimeCategory, ProductType, ProductLink, ProductCode, ProductName, NAV, Price, RecTime) VALUES ('2021/5/14','1', 'Stock', '8043','8043','蜜望實','26','26','15:15:01');</v>
      </c>
    </row>
    <row r="433" spans="1:11">
      <c r="A433" s="21" t="str">
        <f t="shared" ca="1" si="36"/>
        <v>2021/5/14</v>
      </c>
      <c r="B433" s="22" t="str">
        <f t="shared" ca="1" si="37"/>
        <v>15:15:01</v>
      </c>
      <c r="C433" s="23">
        <v>1</v>
      </c>
      <c r="D433" t="str">
        <f t="shared" si="38"/>
        <v>Stock</v>
      </c>
      <c r="E433" s="26" t="str">
        <f t="shared" si="39"/>
        <v>8044</v>
      </c>
      <c r="F433" s="3" t="s">
        <v>1000</v>
      </c>
      <c r="G433" s="2" t="s">
        <v>2293</v>
      </c>
      <c r="H433" s="2">
        <v>105</v>
      </c>
      <c r="J433" s="2">
        <f t="shared" si="40"/>
        <v>105</v>
      </c>
      <c r="K433" s="35" t="str">
        <f t="shared" ca="1" si="41"/>
        <v>INSERT INTO ETFValue (DataDate, TimeCategory, ProductType, ProductLink, ProductCode, ProductName, NAV, Price, RecTime) VALUES ('2021/5/14','1', 'Stock', '8044','8044','網家','105','105','15:15:01');</v>
      </c>
    </row>
    <row r="434" spans="1:11">
      <c r="A434" s="21" t="str">
        <f t="shared" ca="1" si="36"/>
        <v>2021/5/14</v>
      </c>
      <c r="B434" s="22" t="str">
        <f t="shared" ca="1" si="37"/>
        <v>15:15:01</v>
      </c>
      <c r="C434" s="23">
        <v>1</v>
      </c>
      <c r="D434" t="str">
        <f t="shared" si="38"/>
        <v>Stock</v>
      </c>
      <c r="E434" s="26" t="str">
        <f t="shared" si="39"/>
        <v>8046</v>
      </c>
      <c r="F434" s="3" t="s">
        <v>829</v>
      </c>
      <c r="G434" s="2" t="s">
        <v>2294</v>
      </c>
      <c r="H434" s="2">
        <v>290</v>
      </c>
      <c r="J434" s="2">
        <f t="shared" si="40"/>
        <v>290</v>
      </c>
      <c r="K434" s="35" t="str">
        <f t="shared" ca="1" si="41"/>
        <v>INSERT INTO ETFValue (DataDate, TimeCategory, ProductType, ProductLink, ProductCode, ProductName, NAV, Price, RecTime) VALUES ('2021/5/14','1', 'Stock', '8046','8046','南電','290','290','15:15:01');</v>
      </c>
    </row>
    <row r="435" spans="1:11">
      <c r="A435" s="21" t="str">
        <f t="shared" ca="1" si="36"/>
        <v>2021/5/14</v>
      </c>
      <c r="B435" s="22" t="str">
        <f t="shared" ca="1" si="37"/>
        <v>15:15:01</v>
      </c>
      <c r="C435" s="23">
        <v>1</v>
      </c>
      <c r="D435" t="str">
        <f t="shared" si="38"/>
        <v>Stock</v>
      </c>
      <c r="E435" s="26" t="str">
        <f t="shared" si="39"/>
        <v>8049</v>
      </c>
      <c r="F435" s="3" t="s">
        <v>1001</v>
      </c>
      <c r="G435" s="2" t="s">
        <v>2295</v>
      </c>
      <c r="H435" s="2">
        <v>22.6</v>
      </c>
      <c r="J435" s="2">
        <f t="shared" si="40"/>
        <v>22.6</v>
      </c>
      <c r="K435" s="35" t="str">
        <f t="shared" ca="1" si="41"/>
        <v>INSERT INTO ETFValue (DataDate, TimeCategory, ProductType, ProductLink, ProductCode, ProductName, NAV, Price, RecTime) VALUES ('2021/5/14','1', 'Stock', '8049','8049','晶采','22.6','22.6','15:15:01');</v>
      </c>
    </row>
    <row r="436" spans="1:11">
      <c r="A436" s="21" t="str">
        <f t="shared" ca="1" si="36"/>
        <v>2021/5/14</v>
      </c>
      <c r="B436" s="22" t="str">
        <f t="shared" ca="1" si="37"/>
        <v>15:15:01</v>
      </c>
      <c r="C436" s="23">
        <v>1</v>
      </c>
      <c r="D436" t="str">
        <f t="shared" si="38"/>
        <v>Stock</v>
      </c>
      <c r="E436" s="26" t="str">
        <f t="shared" si="39"/>
        <v>8064</v>
      </c>
      <c r="F436" s="3" t="s">
        <v>1002</v>
      </c>
      <c r="G436" s="2" t="s">
        <v>2296</v>
      </c>
      <c r="H436" s="2">
        <v>15.1</v>
      </c>
      <c r="J436" s="2">
        <f t="shared" si="40"/>
        <v>15.1</v>
      </c>
      <c r="K436" s="35" t="str">
        <f t="shared" ca="1" si="41"/>
        <v>INSERT INTO ETFValue (DataDate, TimeCategory, ProductType, ProductLink, ProductCode, ProductName, NAV, Price, RecTime) VALUES ('2021/5/14','1', 'Stock', '8064','8064','東捷','15.1','15.1','15:15:01');</v>
      </c>
    </row>
    <row r="437" spans="1:11">
      <c r="A437" s="21" t="str">
        <f t="shared" ca="1" si="36"/>
        <v>2021/5/14</v>
      </c>
      <c r="B437" s="22" t="str">
        <f t="shared" ca="1" si="37"/>
        <v>15:15:01</v>
      </c>
      <c r="C437" s="23">
        <v>1</v>
      </c>
      <c r="D437" t="str">
        <f t="shared" si="38"/>
        <v>Stock</v>
      </c>
      <c r="E437" s="26" t="str">
        <f t="shared" si="39"/>
        <v>8066</v>
      </c>
      <c r="F437" s="3" t="s">
        <v>1003</v>
      </c>
      <c r="G437" s="2" t="s">
        <v>2297</v>
      </c>
      <c r="H437" s="2">
        <v>48.15</v>
      </c>
      <c r="J437" s="2">
        <f t="shared" si="40"/>
        <v>48.15</v>
      </c>
      <c r="K437" s="35" t="str">
        <f t="shared" ca="1" si="41"/>
        <v>INSERT INTO ETFValue (DataDate, TimeCategory, ProductType, ProductLink, ProductCode, ProductName, NAV, Price, RecTime) VALUES ('2021/5/14','1', 'Stock', '8066','8066','來思達','48.15','48.15','15:15:01');</v>
      </c>
    </row>
    <row r="438" spans="1:11">
      <c r="A438" s="21" t="str">
        <f t="shared" ca="1" si="36"/>
        <v>2021/5/14</v>
      </c>
      <c r="B438" s="22" t="str">
        <f t="shared" ca="1" si="37"/>
        <v>15:15:01</v>
      </c>
      <c r="C438" s="23">
        <v>1</v>
      </c>
      <c r="D438" t="str">
        <f t="shared" si="38"/>
        <v>Stock</v>
      </c>
      <c r="E438" s="26" t="str">
        <f t="shared" si="39"/>
        <v>8069</v>
      </c>
      <c r="F438" s="3" t="s">
        <v>1004</v>
      </c>
      <c r="G438" s="2" t="s">
        <v>2298</v>
      </c>
      <c r="H438" s="2">
        <v>56.8</v>
      </c>
      <c r="J438" s="2">
        <f t="shared" si="40"/>
        <v>56.8</v>
      </c>
      <c r="K438" s="35" t="str">
        <f t="shared" ca="1" si="41"/>
        <v>INSERT INTO ETFValue (DataDate, TimeCategory, ProductType, ProductLink, ProductCode, ProductName, NAV, Price, RecTime) VALUES ('2021/5/14','1', 'Stock', '8069','8069','元太','56.8','56.8','15:15:01');</v>
      </c>
    </row>
    <row r="439" spans="1:11">
      <c r="A439" s="21" t="str">
        <f t="shared" ca="1" si="36"/>
        <v>2021/5/14</v>
      </c>
      <c r="B439" s="22" t="str">
        <f t="shared" ca="1" si="37"/>
        <v>15:15:01</v>
      </c>
      <c r="C439" s="23">
        <v>1</v>
      </c>
      <c r="D439" t="str">
        <f t="shared" si="38"/>
        <v>Stock</v>
      </c>
      <c r="E439" s="26" t="str">
        <f t="shared" si="39"/>
        <v>8071</v>
      </c>
      <c r="F439" s="3" t="s">
        <v>1077</v>
      </c>
      <c r="G439" s="2" t="s">
        <v>2299</v>
      </c>
      <c r="H439" s="2">
        <v>11.9</v>
      </c>
      <c r="J439" s="2">
        <f t="shared" si="40"/>
        <v>11.9</v>
      </c>
      <c r="K439" s="35" t="str">
        <f t="shared" ca="1" si="41"/>
        <v>INSERT INTO ETFValue (DataDate, TimeCategory, ProductType, ProductLink, ProductCode, ProductName, NAV, Price, RecTime) VALUES ('2021/5/14','1', 'Stock', '8071','8071','能率網通','11.9','11.9','15:15:01');</v>
      </c>
    </row>
    <row r="440" spans="1:11">
      <c r="A440" s="21" t="str">
        <f t="shared" ca="1" si="36"/>
        <v>2021/5/14</v>
      </c>
      <c r="B440" s="22" t="str">
        <f t="shared" ca="1" si="37"/>
        <v>15:15:01</v>
      </c>
      <c r="C440" s="23">
        <v>1</v>
      </c>
      <c r="D440" t="str">
        <f t="shared" si="38"/>
        <v>Stock</v>
      </c>
      <c r="E440" s="26" t="str">
        <f t="shared" si="39"/>
        <v>8076</v>
      </c>
      <c r="F440" s="3" t="s">
        <v>1005</v>
      </c>
      <c r="G440" s="2" t="s">
        <v>2300</v>
      </c>
      <c r="H440" s="2">
        <v>27.55</v>
      </c>
      <c r="J440" s="2">
        <f t="shared" si="40"/>
        <v>27.55</v>
      </c>
      <c r="K440" s="35" t="str">
        <f t="shared" ca="1" si="41"/>
        <v>INSERT INTO ETFValue (DataDate, TimeCategory, ProductType, ProductLink, ProductCode, ProductName, NAV, Price, RecTime) VALUES ('2021/5/14','1', 'Stock', '8076','8076','伍豐','27.55','27.55','15:15:01');</v>
      </c>
    </row>
    <row r="441" spans="1:11">
      <c r="A441" s="21" t="str">
        <f t="shared" ca="1" si="36"/>
        <v>2021/5/14</v>
      </c>
      <c r="B441" s="22" t="str">
        <f t="shared" ca="1" si="37"/>
        <v>15:15:01</v>
      </c>
      <c r="C441" s="23">
        <v>1</v>
      </c>
      <c r="D441" t="str">
        <f t="shared" si="38"/>
        <v>Stock</v>
      </c>
      <c r="E441" s="26" t="str">
        <f t="shared" si="39"/>
        <v>8086</v>
      </c>
      <c r="F441" s="3" t="s">
        <v>1006</v>
      </c>
      <c r="G441" s="2" t="s">
        <v>2301</v>
      </c>
      <c r="H441" s="2">
        <v>116</v>
      </c>
      <c r="J441" s="2">
        <f t="shared" si="40"/>
        <v>116</v>
      </c>
      <c r="K441" s="35" t="str">
        <f t="shared" ca="1" si="41"/>
        <v>INSERT INTO ETFValue (DataDate, TimeCategory, ProductType, ProductLink, ProductCode, ProductName, NAV, Price, RecTime) VALUES ('2021/5/14','1', 'Stock', '8086','8086','宏捷科','116','116','15:15:01');</v>
      </c>
    </row>
    <row r="442" spans="1:11">
      <c r="A442" s="21" t="str">
        <f t="shared" ca="1" si="36"/>
        <v>2021/5/14</v>
      </c>
      <c r="B442" s="22" t="str">
        <f t="shared" ca="1" si="37"/>
        <v>15:15:01</v>
      </c>
      <c r="C442" s="23">
        <v>1</v>
      </c>
      <c r="D442" t="str">
        <f t="shared" si="38"/>
        <v>Stock</v>
      </c>
      <c r="E442" s="26" t="str">
        <f t="shared" si="39"/>
        <v>8091</v>
      </c>
      <c r="F442" s="3" t="s">
        <v>1007</v>
      </c>
      <c r="G442" s="2" t="s">
        <v>2302</v>
      </c>
      <c r="H442" s="2">
        <v>59.3</v>
      </c>
      <c r="J442" s="2">
        <f t="shared" si="40"/>
        <v>59.3</v>
      </c>
      <c r="K442" s="35" t="str">
        <f t="shared" ca="1" si="41"/>
        <v>INSERT INTO ETFValue (DataDate, TimeCategory, ProductType, ProductLink, ProductCode, ProductName, NAV, Price, RecTime) VALUES ('2021/5/14','1', 'Stock', '8091','8091','翔名','59.3','59.3','15:15:01');</v>
      </c>
    </row>
    <row r="443" spans="1:11">
      <c r="A443" s="21" t="str">
        <f t="shared" ca="1" si="36"/>
        <v>2021/5/14</v>
      </c>
      <c r="B443" s="22" t="str">
        <f t="shared" ca="1" si="37"/>
        <v>15:15:01</v>
      </c>
      <c r="C443" s="23">
        <v>1</v>
      </c>
      <c r="D443" t="str">
        <f t="shared" si="38"/>
        <v>Stock</v>
      </c>
      <c r="E443" s="26" t="str">
        <f t="shared" si="39"/>
        <v>8110</v>
      </c>
      <c r="F443" s="3" t="s">
        <v>830</v>
      </c>
      <c r="G443" s="2" t="s">
        <v>2303</v>
      </c>
      <c r="H443" s="2">
        <v>13.6</v>
      </c>
      <c r="J443" s="2">
        <f t="shared" si="40"/>
        <v>13.6</v>
      </c>
      <c r="K443" s="35" t="str">
        <f t="shared" ca="1" si="41"/>
        <v>INSERT INTO ETFValue (DataDate, TimeCategory, ProductType, ProductLink, ProductCode, ProductName, NAV, Price, RecTime) VALUES ('2021/5/14','1', 'Stock', '8110','8110','華東','13.6','13.6','15:15:01');</v>
      </c>
    </row>
    <row r="444" spans="1:11">
      <c r="A444" s="21" t="str">
        <f t="shared" ca="1" si="36"/>
        <v>2021/5/14</v>
      </c>
      <c r="B444" s="22" t="str">
        <f t="shared" ca="1" si="37"/>
        <v>15:15:01</v>
      </c>
      <c r="C444" s="23">
        <v>1</v>
      </c>
      <c r="D444" t="str">
        <f t="shared" si="38"/>
        <v>Stock</v>
      </c>
      <c r="E444" s="26" t="str">
        <f t="shared" si="39"/>
        <v>8121</v>
      </c>
      <c r="F444" s="3" t="s">
        <v>1008</v>
      </c>
      <c r="G444" s="2" t="s">
        <v>2304</v>
      </c>
      <c r="H444" s="2">
        <v>15.25</v>
      </c>
      <c r="J444" s="2">
        <f t="shared" si="40"/>
        <v>15.25</v>
      </c>
      <c r="K444" s="35" t="str">
        <f t="shared" ca="1" si="41"/>
        <v>INSERT INTO ETFValue (DataDate, TimeCategory, ProductType, ProductLink, ProductCode, ProductName, NAV, Price, RecTime) VALUES ('2021/5/14','1', 'Stock', '8121','8121','越峰','15.25','15.25','15:15:01');</v>
      </c>
    </row>
    <row r="445" spans="1:11">
      <c r="A445" s="21" t="str">
        <f t="shared" ca="1" si="36"/>
        <v>2021/5/14</v>
      </c>
      <c r="B445" s="22" t="str">
        <f t="shared" ca="1" si="37"/>
        <v>15:15:01</v>
      </c>
      <c r="C445" s="23">
        <v>1</v>
      </c>
      <c r="D445" t="str">
        <f t="shared" si="38"/>
        <v>Stock</v>
      </c>
      <c r="E445" s="26" t="str">
        <f t="shared" si="39"/>
        <v>8131</v>
      </c>
      <c r="F445" s="3" t="s">
        <v>786</v>
      </c>
      <c r="G445" s="2" t="s">
        <v>2305</v>
      </c>
      <c r="H445" s="2">
        <v>38</v>
      </c>
      <c r="J445" s="2">
        <f t="shared" si="40"/>
        <v>38</v>
      </c>
      <c r="K445" s="35" t="str">
        <f t="shared" ca="1" si="41"/>
        <v>INSERT INTO ETFValue (DataDate, TimeCategory, ProductType, ProductLink, ProductCode, ProductName, NAV, Price, RecTime) VALUES ('2021/5/14','1', 'Stock', '8131','8131','福懋科','38','38','15:15:01');</v>
      </c>
    </row>
    <row r="446" spans="1:11">
      <c r="A446" s="21" t="str">
        <f t="shared" ca="1" si="36"/>
        <v>2021/5/14</v>
      </c>
      <c r="B446" s="22" t="str">
        <f t="shared" ca="1" si="37"/>
        <v>15:15:01</v>
      </c>
      <c r="C446" s="23">
        <v>1</v>
      </c>
      <c r="D446" t="str">
        <f t="shared" si="38"/>
        <v>Stock</v>
      </c>
      <c r="E446" s="26" t="str">
        <f t="shared" si="39"/>
        <v>8150</v>
      </c>
      <c r="F446" s="3" t="s">
        <v>831</v>
      </c>
      <c r="G446" s="2" t="s">
        <v>2306</v>
      </c>
      <c r="H446" s="2">
        <v>42.35</v>
      </c>
      <c r="J446" s="2">
        <f t="shared" si="40"/>
        <v>42.35</v>
      </c>
      <c r="K446" s="35" t="str">
        <f t="shared" ca="1" si="41"/>
        <v>INSERT INTO ETFValue (DataDate, TimeCategory, ProductType, ProductLink, ProductCode, ProductName, NAV, Price, RecTime) VALUES ('2021/5/14','1', 'Stock', '8150','8150','南茂','42.35','42.35','15:15:01');</v>
      </c>
    </row>
    <row r="447" spans="1:11">
      <c r="A447" s="21" t="str">
        <f t="shared" ca="1" si="36"/>
        <v>2021/5/14</v>
      </c>
      <c r="B447" s="22" t="str">
        <f t="shared" ca="1" si="37"/>
        <v>15:15:01</v>
      </c>
      <c r="C447" s="23">
        <v>1</v>
      </c>
      <c r="D447" t="str">
        <f t="shared" si="38"/>
        <v>Stock</v>
      </c>
      <c r="E447" s="26" t="str">
        <f t="shared" si="39"/>
        <v>8155</v>
      </c>
      <c r="F447" s="3" t="s">
        <v>1009</v>
      </c>
      <c r="G447" s="2" t="s">
        <v>2307</v>
      </c>
      <c r="H447" s="2">
        <v>94.4</v>
      </c>
      <c r="J447" s="2">
        <f t="shared" si="40"/>
        <v>94.4</v>
      </c>
      <c r="K447" s="35" t="str">
        <f t="shared" ca="1" si="41"/>
        <v>INSERT INTO ETFValue (DataDate, TimeCategory, ProductType, ProductLink, ProductCode, ProductName, NAV, Price, RecTime) VALUES ('2021/5/14','1', 'Stock', '8155','8155','博智','94.4','94.4','15:15:01');</v>
      </c>
    </row>
    <row r="448" spans="1:11">
      <c r="A448" s="21" t="str">
        <f t="shared" ca="1" si="36"/>
        <v>2021/5/14</v>
      </c>
      <c r="B448" s="22" t="str">
        <f t="shared" ca="1" si="37"/>
        <v>15:15:01</v>
      </c>
      <c r="C448" s="23">
        <v>1</v>
      </c>
      <c r="D448" t="str">
        <f t="shared" si="38"/>
        <v>Stock</v>
      </c>
      <c r="E448" s="26" t="str">
        <f t="shared" si="39"/>
        <v>8163</v>
      </c>
      <c r="F448" s="3" t="s">
        <v>787</v>
      </c>
      <c r="G448" s="2" t="s">
        <v>2308</v>
      </c>
      <c r="H448" s="2">
        <v>41.4</v>
      </c>
      <c r="J448" s="2">
        <f t="shared" si="40"/>
        <v>41.4</v>
      </c>
      <c r="K448" s="35" t="str">
        <f t="shared" ca="1" si="41"/>
        <v>INSERT INTO ETFValue (DataDate, TimeCategory, ProductType, ProductLink, ProductCode, ProductName, NAV, Price, RecTime) VALUES ('2021/5/14','1', 'Stock', '8163','8163','達方','41.4','41.4','15:15:01');</v>
      </c>
    </row>
    <row r="449" spans="1:11">
      <c r="A449" s="21" t="str">
        <f t="shared" ca="1" si="36"/>
        <v>2021/5/14</v>
      </c>
      <c r="B449" s="22" t="str">
        <f t="shared" ca="1" si="37"/>
        <v>15:15:01</v>
      </c>
      <c r="C449" s="23">
        <v>1</v>
      </c>
      <c r="D449" t="str">
        <f t="shared" si="38"/>
        <v>Stock</v>
      </c>
      <c r="E449" s="26" t="str">
        <f t="shared" si="39"/>
        <v>8213</v>
      </c>
      <c r="F449" s="3" t="s">
        <v>811</v>
      </c>
      <c r="G449" s="2" t="s">
        <v>2309</v>
      </c>
      <c r="H449" s="2">
        <v>46.85</v>
      </c>
      <c r="J449" s="2">
        <f t="shared" si="40"/>
        <v>46.85</v>
      </c>
      <c r="K449" s="35" t="str">
        <f t="shared" ca="1" si="41"/>
        <v>INSERT INTO ETFValue (DataDate, TimeCategory, ProductType, ProductLink, ProductCode, ProductName, NAV, Price, RecTime) VALUES ('2021/5/14','1', 'Stock', '8213','8213','志超','46.85','46.85','15:15:01');</v>
      </c>
    </row>
    <row r="450" spans="1:11">
      <c r="A450" s="21" t="str">
        <f t="shared" ca="1" si="36"/>
        <v>2021/5/14</v>
      </c>
      <c r="B450" s="22" t="str">
        <f t="shared" ca="1" si="37"/>
        <v>15:15:01</v>
      </c>
      <c r="C450" s="23">
        <v>1</v>
      </c>
      <c r="D450" t="str">
        <f t="shared" si="38"/>
        <v>Stock</v>
      </c>
      <c r="E450" s="26" t="str">
        <f t="shared" si="39"/>
        <v>8255</v>
      </c>
      <c r="F450" s="3" t="s">
        <v>1010</v>
      </c>
      <c r="G450" s="2" t="s">
        <v>2310</v>
      </c>
      <c r="H450" s="2">
        <v>104</v>
      </c>
      <c r="J450" s="2">
        <f t="shared" si="40"/>
        <v>104</v>
      </c>
      <c r="K450" s="35" t="str">
        <f t="shared" ca="1" si="41"/>
        <v>INSERT INTO ETFValue (DataDate, TimeCategory, ProductType, ProductLink, ProductCode, ProductName, NAV, Price, RecTime) VALUES ('2021/5/14','1', 'Stock', '8255','8255','朋程','104','104','15:15:01');</v>
      </c>
    </row>
    <row r="451" spans="1:11">
      <c r="A451" s="21" t="str">
        <f t="shared" ca="1" si="36"/>
        <v>2021/5/14</v>
      </c>
      <c r="B451" s="22" t="str">
        <f t="shared" ca="1" si="37"/>
        <v>15:15:01</v>
      </c>
      <c r="C451" s="23">
        <v>1</v>
      </c>
      <c r="D451" t="str">
        <f t="shared" si="38"/>
        <v>Stock</v>
      </c>
      <c r="E451" s="26" t="str">
        <f t="shared" si="39"/>
        <v>8279</v>
      </c>
      <c r="F451" s="3" t="s">
        <v>1011</v>
      </c>
      <c r="G451" s="2" t="s">
        <v>2311</v>
      </c>
      <c r="H451" s="2">
        <v>103</v>
      </c>
      <c r="J451" s="2">
        <f t="shared" si="40"/>
        <v>103</v>
      </c>
      <c r="K451" s="35" t="str">
        <f t="shared" ca="1" si="41"/>
        <v>INSERT INTO ETFValue (DataDate, TimeCategory, ProductType, ProductLink, ProductCode, ProductName, NAV, Price, RecTime) VALUES ('2021/5/14','1', 'Stock', '8279','8279','生展','103','103','15:15:01');</v>
      </c>
    </row>
    <row r="452" spans="1:11">
      <c r="A452" s="21" t="str">
        <f t="shared" ca="1" si="36"/>
        <v>2021/5/14</v>
      </c>
      <c r="B452" s="22" t="str">
        <f t="shared" ca="1" si="37"/>
        <v>15:15:01</v>
      </c>
      <c r="C452" s="23">
        <v>1</v>
      </c>
      <c r="D452" t="str">
        <f t="shared" si="38"/>
        <v>Stock</v>
      </c>
      <c r="E452" s="26" t="str">
        <f t="shared" si="39"/>
        <v>8299</v>
      </c>
      <c r="F452" s="3" t="s">
        <v>432</v>
      </c>
      <c r="G452" s="2" t="s">
        <v>2312</v>
      </c>
      <c r="H452" s="2">
        <v>450</v>
      </c>
      <c r="J452" s="2">
        <f t="shared" si="40"/>
        <v>450</v>
      </c>
      <c r="K452" s="35" t="str">
        <f t="shared" ca="1" si="41"/>
        <v>INSERT INTO ETFValue (DataDate, TimeCategory, ProductType, ProductLink, ProductCode, ProductName, NAV, Price, RecTime) VALUES ('2021/5/14','1', 'Stock', '8299','8299','群聯','450','450','15:15:01');</v>
      </c>
    </row>
    <row r="453" spans="1:11">
      <c r="A453" s="21" t="str">
        <f t="shared" ca="1" si="36"/>
        <v>2021/5/14</v>
      </c>
      <c r="B453" s="22" t="str">
        <f t="shared" ca="1" si="37"/>
        <v>15:15:01</v>
      </c>
      <c r="C453" s="23">
        <v>1</v>
      </c>
      <c r="D453" t="str">
        <f t="shared" si="38"/>
        <v>Stock</v>
      </c>
      <c r="E453" s="26" t="str">
        <f t="shared" si="39"/>
        <v>8341</v>
      </c>
      <c r="F453" s="3" t="s">
        <v>349</v>
      </c>
      <c r="G453" s="2" t="s">
        <v>2313</v>
      </c>
      <c r="H453" s="2">
        <v>209</v>
      </c>
      <c r="J453" s="2">
        <f t="shared" si="40"/>
        <v>209</v>
      </c>
      <c r="K453" s="35" t="str">
        <f t="shared" ca="1" si="41"/>
        <v>INSERT INTO ETFValue (DataDate, TimeCategory, ProductType, ProductLink, ProductCode, ProductName, NAV, Price, RecTime) VALUES ('2021/5/14','1', 'Stock', '8341','8341','日友','209','209','15:15:01');</v>
      </c>
    </row>
    <row r="454" spans="1:11">
      <c r="A454" s="21" t="str">
        <f t="shared" ca="1" si="36"/>
        <v>2021/5/14</v>
      </c>
      <c r="B454" s="22" t="str">
        <f t="shared" ca="1" si="37"/>
        <v>15:15:01</v>
      </c>
      <c r="C454" s="23">
        <v>1</v>
      </c>
      <c r="D454" t="str">
        <f t="shared" si="38"/>
        <v>Stock</v>
      </c>
      <c r="E454" s="26" t="str">
        <f t="shared" si="39"/>
        <v>8349</v>
      </c>
      <c r="F454" s="3" t="s">
        <v>1012</v>
      </c>
      <c r="G454" s="2" t="s">
        <v>2314</v>
      </c>
      <c r="H454" s="2">
        <v>64.7</v>
      </c>
      <c r="J454" s="2">
        <f t="shared" si="40"/>
        <v>64.7</v>
      </c>
      <c r="K454" s="35" t="str">
        <f t="shared" ca="1" si="41"/>
        <v>INSERT INTO ETFValue (DataDate, TimeCategory, ProductType, ProductLink, ProductCode, ProductName, NAV, Price, RecTime) VALUES ('2021/5/14','1', 'Stock', '8349','8349','恒耀','64.7','64.7','15:15:01');</v>
      </c>
    </row>
    <row r="455" spans="1:11">
      <c r="A455" s="21" t="str">
        <f t="shared" ref="A455:A490" ca="1" si="42">TEXT($Q$1,"yyyy/m/dd")</f>
        <v>2021/5/14</v>
      </c>
      <c r="B455" s="22" t="str">
        <f t="shared" ref="B455:B490" ca="1" si="43">$Q$2</f>
        <v>15:15:01</v>
      </c>
      <c r="C455" s="23">
        <v>1</v>
      </c>
      <c r="D455" t="str">
        <f t="shared" ref="D455:D486" si="44">IF(LEFT(G455,2)="00","ETF","Stock")</f>
        <v>Stock</v>
      </c>
      <c r="E455" s="26" t="str">
        <f t="shared" ref="E455:E486" si="45">F455</f>
        <v>8358</v>
      </c>
      <c r="F455" s="3" t="s">
        <v>1013</v>
      </c>
      <c r="G455" s="2" t="s">
        <v>2315</v>
      </c>
      <c r="H455" s="2">
        <v>73.8</v>
      </c>
      <c r="J455" s="2">
        <f t="shared" ref="J455:J490" si="46">IF($H455&lt;&gt;"",$H455,$I455)</f>
        <v>73.8</v>
      </c>
      <c r="K455" s="35" t="str">
        <f t="shared" ref="K455:K486" ca="1" si="47">"INSERT INTO ETFValue (DataDate, TimeCategory, ProductType, ProductLink, ProductCode, ProductName, NAV, Price, RecTime) VALUES ("&amp;"'"&amp;TEXT(A455,"yyyy/m/dd")&amp;"','"&amp; C455&amp;"', '"&amp;D455&amp;"', '"&amp;E455&amp;"','"&amp;F455&amp;"','"&amp;G455&amp;"','"&amp;ROUND(J455,4)&amp;"','"&amp;J455&amp;"','"&amp;TEXT($Q$2,"hh:mm:ss")&amp;"');"</f>
        <v>INSERT INTO ETFValue (DataDate, TimeCategory, ProductType, ProductLink, ProductCode, ProductName, NAV, Price, RecTime) VALUES ('2021/5/14','1', 'Stock', '8358','8358','金居','73.8','73.8','15:15:01');</v>
      </c>
    </row>
    <row r="456" spans="1:11">
      <c r="A456" s="21" t="str">
        <f t="shared" ca="1" si="42"/>
        <v>2021/5/14</v>
      </c>
      <c r="B456" s="22" t="str">
        <f t="shared" ca="1" si="43"/>
        <v>15:15:01</v>
      </c>
      <c r="C456" s="23">
        <v>1</v>
      </c>
      <c r="D456" t="str">
        <f t="shared" si="44"/>
        <v>Stock</v>
      </c>
      <c r="E456" s="26" t="str">
        <f t="shared" si="45"/>
        <v>8383</v>
      </c>
      <c r="F456" s="3" t="s">
        <v>1014</v>
      </c>
      <c r="G456" s="2" t="s">
        <v>2316</v>
      </c>
      <c r="H456" s="2">
        <v>39.299999999999997</v>
      </c>
      <c r="J456" s="2">
        <f t="shared" si="46"/>
        <v>39.299999999999997</v>
      </c>
      <c r="K456" s="35" t="str">
        <f t="shared" ca="1" si="47"/>
        <v>INSERT INTO ETFValue (DataDate, TimeCategory, ProductType, ProductLink, ProductCode, ProductName, NAV, Price, RecTime) VALUES ('2021/5/14','1', 'Stock', '8383','8383','千附','39.3','39.3','15:15:01');</v>
      </c>
    </row>
    <row r="457" spans="1:11">
      <c r="A457" s="21" t="str">
        <f t="shared" ca="1" si="42"/>
        <v>2021/5/14</v>
      </c>
      <c r="B457" s="22" t="str">
        <f t="shared" ca="1" si="43"/>
        <v>15:15:01</v>
      </c>
      <c r="C457" s="23">
        <v>1</v>
      </c>
      <c r="D457" t="str">
        <f t="shared" si="44"/>
        <v>Stock</v>
      </c>
      <c r="E457" s="26" t="str">
        <f t="shared" si="45"/>
        <v>8403</v>
      </c>
      <c r="F457" s="3" t="s">
        <v>1015</v>
      </c>
      <c r="G457" s="2" t="s">
        <v>2317</v>
      </c>
      <c r="H457" s="2">
        <v>31.2</v>
      </c>
      <c r="J457" s="2">
        <f t="shared" si="46"/>
        <v>31.2</v>
      </c>
      <c r="K457" s="35" t="str">
        <f t="shared" ca="1" si="47"/>
        <v>INSERT INTO ETFValue (DataDate, TimeCategory, ProductType, ProductLink, ProductCode, ProductName, NAV, Price, RecTime) VALUES ('2021/5/14','1', 'Stock', '8403','8403','盛弘','31.2','31.2','15:15:01');</v>
      </c>
    </row>
    <row r="458" spans="1:11">
      <c r="A458" s="21" t="str">
        <f t="shared" ca="1" si="42"/>
        <v>2021/5/14</v>
      </c>
      <c r="B458" s="22" t="str">
        <f t="shared" ca="1" si="43"/>
        <v>15:15:01</v>
      </c>
      <c r="C458" s="23">
        <v>1</v>
      </c>
      <c r="D458" t="str">
        <f t="shared" si="44"/>
        <v>Stock</v>
      </c>
      <c r="E458" s="26" t="str">
        <f t="shared" si="45"/>
        <v>8406</v>
      </c>
      <c r="F458" s="3" t="s">
        <v>1016</v>
      </c>
      <c r="G458" s="2" t="s">
        <v>2318</v>
      </c>
      <c r="H458" s="2">
        <v>155.5</v>
      </c>
      <c r="J458" s="2">
        <f t="shared" si="46"/>
        <v>155.5</v>
      </c>
      <c r="K458" s="35" t="str">
        <f t="shared" ca="1" si="47"/>
        <v>INSERT INTO ETFValue (DataDate, TimeCategory, ProductType, ProductLink, ProductCode, ProductName, NAV, Price, RecTime) VALUES ('2021/5/14','1', 'Stock', '8406','8406','金可-KY','155.5','155.5','15:15:01');</v>
      </c>
    </row>
    <row r="459" spans="1:11">
      <c r="A459" s="21" t="str">
        <f t="shared" ca="1" si="42"/>
        <v>2021/5/14</v>
      </c>
      <c r="B459" s="22" t="str">
        <f t="shared" ca="1" si="43"/>
        <v>15:15:01</v>
      </c>
      <c r="C459" s="23">
        <v>1</v>
      </c>
      <c r="D459" t="str">
        <f t="shared" si="44"/>
        <v>Stock</v>
      </c>
      <c r="E459" s="26" t="str">
        <f t="shared" si="45"/>
        <v>8415</v>
      </c>
      <c r="F459" s="3" t="s">
        <v>1017</v>
      </c>
      <c r="G459" s="2" t="s">
        <v>2319</v>
      </c>
      <c r="H459" s="2">
        <v>32.799999999999997</v>
      </c>
      <c r="J459" s="2">
        <f t="shared" si="46"/>
        <v>32.799999999999997</v>
      </c>
      <c r="K459" s="35" t="str">
        <f t="shared" ca="1" si="47"/>
        <v>INSERT INTO ETFValue (DataDate, TimeCategory, ProductType, ProductLink, ProductCode, ProductName, NAV, Price, RecTime) VALUES ('2021/5/14','1', 'Stock', '8415','8415','大國鋼','32.8','32.8','15:15:01');</v>
      </c>
    </row>
    <row r="460" spans="1:11">
      <c r="A460" s="21" t="str">
        <f t="shared" ca="1" si="42"/>
        <v>2021/5/14</v>
      </c>
      <c r="B460" s="22" t="str">
        <f t="shared" ca="1" si="43"/>
        <v>15:15:01</v>
      </c>
      <c r="C460" s="23">
        <v>1</v>
      </c>
      <c r="D460" t="str">
        <f t="shared" si="44"/>
        <v>Stock</v>
      </c>
      <c r="E460" s="26" t="str">
        <f t="shared" si="45"/>
        <v>8416</v>
      </c>
      <c r="F460" s="3" t="s">
        <v>1018</v>
      </c>
      <c r="G460" s="2" t="s">
        <v>2320</v>
      </c>
      <c r="H460" s="2">
        <v>117</v>
      </c>
      <c r="J460" s="2">
        <f t="shared" si="46"/>
        <v>117</v>
      </c>
      <c r="K460" s="35" t="str">
        <f t="shared" ca="1" si="47"/>
        <v>INSERT INTO ETFValue (DataDate, TimeCategory, ProductType, ProductLink, ProductCode, ProductName, NAV, Price, RecTime) VALUES ('2021/5/14','1', 'Stock', '8416','8416','實威','117','117','15:15:01');</v>
      </c>
    </row>
    <row r="461" spans="1:11">
      <c r="A461" s="21" t="str">
        <f t="shared" ca="1" si="42"/>
        <v>2021/5/14</v>
      </c>
      <c r="B461" s="22" t="str">
        <f t="shared" ca="1" si="43"/>
        <v>15:15:01</v>
      </c>
      <c r="C461" s="23">
        <v>1</v>
      </c>
      <c r="D461" t="str">
        <f t="shared" si="44"/>
        <v>Stock</v>
      </c>
      <c r="E461" s="26" t="str">
        <f t="shared" si="45"/>
        <v>8432</v>
      </c>
      <c r="F461" s="3" t="s">
        <v>1019</v>
      </c>
      <c r="G461" s="2" t="s">
        <v>2321</v>
      </c>
      <c r="H461" s="2">
        <v>42.4</v>
      </c>
      <c r="J461" s="2">
        <f t="shared" si="46"/>
        <v>42.4</v>
      </c>
      <c r="K461" s="35" t="str">
        <f t="shared" ca="1" si="47"/>
        <v>INSERT INTO ETFValue (DataDate, TimeCategory, ProductType, ProductLink, ProductCode, ProductName, NAV, Price, RecTime) VALUES ('2021/5/14','1', 'Stock', '8432','8432','東生華','42.4','42.4','15:15:01');</v>
      </c>
    </row>
    <row r="462" spans="1:11">
      <c r="A462" s="21" t="str">
        <f t="shared" ca="1" si="42"/>
        <v>2021/5/14</v>
      </c>
      <c r="B462" s="22" t="str">
        <f t="shared" ca="1" si="43"/>
        <v>15:15:01</v>
      </c>
      <c r="C462" s="23">
        <v>1</v>
      </c>
      <c r="D462" t="str">
        <f t="shared" si="44"/>
        <v>Stock</v>
      </c>
      <c r="E462" s="26" t="str">
        <f t="shared" si="45"/>
        <v>8436</v>
      </c>
      <c r="F462" s="3" t="s">
        <v>1020</v>
      </c>
      <c r="G462" s="2" t="s">
        <v>2322</v>
      </c>
      <c r="H462" s="2">
        <v>235</v>
      </c>
      <c r="J462" s="2">
        <f t="shared" si="46"/>
        <v>235</v>
      </c>
      <c r="K462" s="35" t="str">
        <f t="shared" ca="1" si="47"/>
        <v>INSERT INTO ETFValue (DataDate, TimeCategory, ProductType, ProductLink, ProductCode, ProductName, NAV, Price, RecTime) VALUES ('2021/5/14','1', 'Stock', '8436','8436','大江','235','235','15:15:01');</v>
      </c>
    </row>
    <row r="463" spans="1:11">
      <c r="A463" s="21" t="str">
        <f t="shared" ca="1" si="42"/>
        <v>2021/5/14</v>
      </c>
      <c r="B463" s="22" t="str">
        <f t="shared" ca="1" si="43"/>
        <v>15:15:01</v>
      </c>
      <c r="C463" s="23">
        <v>1</v>
      </c>
      <c r="D463" t="str">
        <f t="shared" si="44"/>
        <v>Stock</v>
      </c>
      <c r="E463" s="26" t="str">
        <f t="shared" si="45"/>
        <v>8446</v>
      </c>
      <c r="F463" s="3" t="s">
        <v>1021</v>
      </c>
      <c r="G463" s="2" t="s">
        <v>2323</v>
      </c>
      <c r="H463" s="2">
        <v>91.8</v>
      </c>
      <c r="J463" s="2">
        <f t="shared" si="46"/>
        <v>91.8</v>
      </c>
      <c r="K463" s="35" t="str">
        <f t="shared" ca="1" si="47"/>
        <v>INSERT INTO ETFValue (DataDate, TimeCategory, ProductType, ProductLink, ProductCode, ProductName, NAV, Price, RecTime) VALUES ('2021/5/14','1', 'Stock', '8446','8446','華研','91.8','91.8','15:15:01');</v>
      </c>
    </row>
    <row r="464" spans="1:11">
      <c r="A464" s="21" t="str">
        <f t="shared" ca="1" si="42"/>
        <v>2021/5/14</v>
      </c>
      <c r="B464" s="22" t="str">
        <f t="shared" ca="1" si="43"/>
        <v>15:15:01</v>
      </c>
      <c r="C464" s="23">
        <v>1</v>
      </c>
      <c r="D464" t="str">
        <f t="shared" si="44"/>
        <v>Stock</v>
      </c>
      <c r="E464" s="26" t="str">
        <f t="shared" si="45"/>
        <v>8454</v>
      </c>
      <c r="F464" s="3" t="s">
        <v>350</v>
      </c>
      <c r="G464" s="2" t="s">
        <v>2324</v>
      </c>
      <c r="H464" s="2">
        <v>1075</v>
      </c>
      <c r="J464" s="2">
        <f t="shared" si="46"/>
        <v>1075</v>
      </c>
      <c r="K464" s="35" t="str">
        <f t="shared" ca="1" si="47"/>
        <v>INSERT INTO ETFValue (DataDate, TimeCategory, ProductType, ProductLink, ProductCode, ProductName, NAV, Price, RecTime) VALUES ('2021/5/14','1', 'Stock', '8454','8454','富邦媒','1075','1075','15:15:01');</v>
      </c>
    </row>
    <row r="465" spans="1:11">
      <c r="A465" s="21" t="str">
        <f t="shared" ca="1" si="42"/>
        <v>2021/5/14</v>
      </c>
      <c r="B465" s="22" t="str">
        <f t="shared" ca="1" si="43"/>
        <v>15:15:01</v>
      </c>
      <c r="C465" s="23">
        <v>1</v>
      </c>
      <c r="D465" t="str">
        <f t="shared" si="44"/>
        <v>Stock</v>
      </c>
      <c r="E465" s="26" t="str">
        <f t="shared" si="45"/>
        <v>8464</v>
      </c>
      <c r="F465" s="3" t="s">
        <v>351</v>
      </c>
      <c r="G465" s="2" t="s">
        <v>2325</v>
      </c>
      <c r="H465" s="2">
        <v>386.5</v>
      </c>
      <c r="J465" s="2">
        <f t="shared" si="46"/>
        <v>386.5</v>
      </c>
      <c r="K465" s="35" t="str">
        <f t="shared" ca="1" si="47"/>
        <v>INSERT INTO ETFValue (DataDate, TimeCategory, ProductType, ProductLink, ProductCode, ProductName, NAV, Price, RecTime) VALUES ('2021/5/14','1', 'Stock', '8464','8464','億豐','386.5','386.5','15:15:01');</v>
      </c>
    </row>
    <row r="466" spans="1:11">
      <c r="A466" s="21" t="str">
        <f t="shared" ca="1" si="42"/>
        <v>2021/5/14</v>
      </c>
      <c r="B466" s="22" t="str">
        <f t="shared" ca="1" si="43"/>
        <v>15:15:01</v>
      </c>
      <c r="C466" s="23">
        <v>1</v>
      </c>
      <c r="D466" t="str">
        <f t="shared" si="44"/>
        <v>Stock</v>
      </c>
      <c r="E466" s="26" t="str">
        <f t="shared" si="45"/>
        <v>8489</v>
      </c>
      <c r="F466" s="3" t="s">
        <v>1022</v>
      </c>
      <c r="G466" s="2" t="s">
        <v>2326</v>
      </c>
      <c r="H466" s="2">
        <v>37.85</v>
      </c>
      <c r="J466" s="2">
        <f t="shared" si="46"/>
        <v>37.85</v>
      </c>
      <c r="K466" s="35" t="str">
        <f t="shared" ca="1" si="47"/>
        <v>INSERT INTO ETFValue (DataDate, TimeCategory, ProductType, ProductLink, ProductCode, ProductName, NAV, Price, RecTime) VALUES ('2021/5/14','1', 'Stock', '8489','8489','三貝德','37.85','37.85','15:15:01');</v>
      </c>
    </row>
    <row r="467" spans="1:11">
      <c r="A467" s="21" t="str">
        <f t="shared" ca="1" si="42"/>
        <v>2021/5/14</v>
      </c>
      <c r="B467" s="22" t="str">
        <f t="shared" ca="1" si="43"/>
        <v>15:15:01</v>
      </c>
      <c r="C467" s="23">
        <v>1</v>
      </c>
      <c r="D467" t="str">
        <f t="shared" si="44"/>
        <v>Stock</v>
      </c>
      <c r="E467" s="26" t="str">
        <f t="shared" si="45"/>
        <v>8916</v>
      </c>
      <c r="F467" s="3" t="s">
        <v>1023</v>
      </c>
      <c r="G467" s="2" t="s">
        <v>2327</v>
      </c>
      <c r="H467" s="2">
        <v>42.6</v>
      </c>
      <c r="J467" s="2">
        <f t="shared" si="46"/>
        <v>42.6</v>
      </c>
      <c r="K467" s="35" t="str">
        <f t="shared" ca="1" si="47"/>
        <v>INSERT INTO ETFValue (DataDate, TimeCategory, ProductType, ProductLink, ProductCode, ProductName, NAV, Price, RecTime) VALUES ('2021/5/14','1', 'Stock', '8916','8916','光隆','42.6','42.6','15:15:01');</v>
      </c>
    </row>
    <row r="468" spans="1:11">
      <c r="A468" s="21" t="str">
        <f t="shared" ca="1" si="42"/>
        <v>2021/5/14</v>
      </c>
      <c r="B468" s="22" t="str">
        <f t="shared" ca="1" si="43"/>
        <v>15:15:01</v>
      </c>
      <c r="C468" s="23">
        <v>1</v>
      </c>
      <c r="D468" t="str">
        <f t="shared" si="44"/>
        <v>Stock</v>
      </c>
      <c r="E468" s="26" t="str">
        <f t="shared" si="45"/>
        <v>8924</v>
      </c>
      <c r="F468" s="3" t="s">
        <v>1024</v>
      </c>
      <c r="G468" s="2" t="s">
        <v>2328</v>
      </c>
      <c r="H468" s="2">
        <v>111.5</v>
      </c>
      <c r="J468" s="2">
        <f t="shared" si="46"/>
        <v>111.5</v>
      </c>
      <c r="K468" s="35" t="str">
        <f t="shared" ca="1" si="47"/>
        <v>INSERT INTO ETFValue (DataDate, TimeCategory, ProductType, ProductLink, ProductCode, ProductName, NAV, Price, RecTime) VALUES ('2021/5/14','1', 'Stock', '8924','8924','大田','111.5','111.5','15:15:01');</v>
      </c>
    </row>
    <row r="469" spans="1:11">
      <c r="A469" s="21" t="str">
        <f t="shared" ca="1" si="42"/>
        <v>2021/5/14</v>
      </c>
      <c r="B469" s="22" t="str">
        <f t="shared" ca="1" si="43"/>
        <v>15:15:01</v>
      </c>
      <c r="C469" s="23">
        <v>1</v>
      </c>
      <c r="D469" t="str">
        <f t="shared" si="44"/>
        <v>Stock</v>
      </c>
      <c r="E469" s="26" t="str">
        <f t="shared" si="45"/>
        <v>8926</v>
      </c>
      <c r="F469" s="3" t="s">
        <v>788</v>
      </c>
      <c r="G469" s="2" t="s">
        <v>2329</v>
      </c>
      <c r="H469" s="2">
        <v>38.549999999999997</v>
      </c>
      <c r="J469" s="2">
        <f t="shared" si="46"/>
        <v>38.549999999999997</v>
      </c>
      <c r="K469" s="35" t="str">
        <f t="shared" ca="1" si="47"/>
        <v>INSERT INTO ETFValue (DataDate, TimeCategory, ProductType, ProductLink, ProductCode, ProductName, NAV, Price, RecTime) VALUES ('2021/5/14','1', 'Stock', '8926','8926','台汽電','38.55','38.55','15:15:01');</v>
      </c>
    </row>
    <row r="470" spans="1:11">
      <c r="A470" s="21" t="str">
        <f t="shared" ca="1" si="42"/>
        <v>2021/5/14</v>
      </c>
      <c r="B470" s="22" t="str">
        <f t="shared" ca="1" si="43"/>
        <v>15:15:01</v>
      </c>
      <c r="C470" s="23">
        <v>1</v>
      </c>
      <c r="D470" t="str">
        <f t="shared" si="44"/>
        <v>Stock</v>
      </c>
      <c r="E470" s="26" t="str">
        <f t="shared" si="45"/>
        <v>8936</v>
      </c>
      <c r="F470" s="3" t="s">
        <v>1025</v>
      </c>
      <c r="G470" s="2" t="s">
        <v>2330</v>
      </c>
      <c r="H470" s="2">
        <v>26.85</v>
      </c>
      <c r="J470" s="2">
        <f t="shared" si="46"/>
        <v>26.85</v>
      </c>
      <c r="K470" s="35" t="str">
        <f t="shared" ca="1" si="47"/>
        <v>INSERT INTO ETFValue (DataDate, TimeCategory, ProductType, ProductLink, ProductCode, ProductName, NAV, Price, RecTime) VALUES ('2021/5/14','1', 'Stock', '8936','8936','國統','26.85','26.85','15:15:01');</v>
      </c>
    </row>
    <row r="471" spans="1:11">
      <c r="A471" s="21" t="str">
        <f t="shared" ca="1" si="42"/>
        <v>2021/5/14</v>
      </c>
      <c r="B471" s="22" t="str">
        <f t="shared" ca="1" si="43"/>
        <v>15:15:01</v>
      </c>
      <c r="C471" s="23">
        <v>1</v>
      </c>
      <c r="D471" t="str">
        <f t="shared" si="44"/>
        <v>Stock</v>
      </c>
      <c r="E471" s="26" t="str">
        <f t="shared" si="45"/>
        <v>8938</v>
      </c>
      <c r="F471" s="3" t="s">
        <v>1026</v>
      </c>
      <c r="G471" s="2" t="s">
        <v>2331</v>
      </c>
      <c r="H471" s="2">
        <v>64</v>
      </c>
      <c r="J471" s="2">
        <f t="shared" si="46"/>
        <v>64</v>
      </c>
      <c r="K471" s="35" t="str">
        <f t="shared" ca="1" si="47"/>
        <v>INSERT INTO ETFValue (DataDate, TimeCategory, ProductType, ProductLink, ProductCode, ProductName, NAV, Price, RecTime) VALUES ('2021/5/14','1', 'Stock', '8938','8938','明安','64','64','15:15:01');</v>
      </c>
    </row>
    <row r="472" spans="1:11">
      <c r="A472" s="21" t="str">
        <f t="shared" ca="1" si="42"/>
        <v>2021/5/14</v>
      </c>
      <c r="B472" s="22" t="str">
        <f t="shared" ca="1" si="43"/>
        <v>15:15:01</v>
      </c>
      <c r="C472" s="23">
        <v>1</v>
      </c>
      <c r="D472" t="str">
        <f t="shared" si="44"/>
        <v>Stock</v>
      </c>
      <c r="E472" s="26" t="str">
        <f t="shared" si="45"/>
        <v>8942</v>
      </c>
      <c r="F472" s="3" t="s">
        <v>1027</v>
      </c>
      <c r="G472" s="2" t="s">
        <v>2332</v>
      </c>
      <c r="H472" s="2">
        <v>64.5</v>
      </c>
      <c r="J472" s="2">
        <f t="shared" si="46"/>
        <v>64.5</v>
      </c>
      <c r="K472" s="35" t="str">
        <f t="shared" ca="1" si="47"/>
        <v>INSERT INTO ETFValue (DataDate, TimeCategory, ProductType, ProductLink, ProductCode, ProductName, NAV, Price, RecTime) VALUES ('2021/5/14','1', 'Stock', '8942','8942','森鉅','64.5','64.5','15:15:01');</v>
      </c>
    </row>
    <row r="473" spans="1:11">
      <c r="A473" s="21" t="str">
        <f t="shared" ca="1" si="42"/>
        <v>2021/5/14</v>
      </c>
      <c r="B473" s="22" t="str">
        <f t="shared" ca="1" si="43"/>
        <v>15:15:01</v>
      </c>
      <c r="C473" s="23">
        <v>1</v>
      </c>
      <c r="D473" t="str">
        <f t="shared" si="44"/>
        <v>Stock</v>
      </c>
      <c r="E473" s="26" t="str">
        <f t="shared" si="45"/>
        <v>9904</v>
      </c>
      <c r="F473" s="3" t="s">
        <v>352</v>
      </c>
      <c r="G473" s="2" t="s">
        <v>2333</v>
      </c>
      <c r="H473" s="2">
        <v>31.5</v>
      </c>
      <c r="J473" s="2">
        <f t="shared" si="46"/>
        <v>31.5</v>
      </c>
      <c r="K473" s="35" t="str">
        <f t="shared" ca="1" si="47"/>
        <v>INSERT INTO ETFValue (DataDate, TimeCategory, ProductType, ProductLink, ProductCode, ProductName, NAV, Price, RecTime) VALUES ('2021/5/14','1', 'Stock', '9904','9904','寶成','31.5','31.5','15:15:01');</v>
      </c>
    </row>
    <row r="474" spans="1:11">
      <c r="A474" s="21" t="str">
        <f t="shared" ca="1" si="42"/>
        <v>2021/5/14</v>
      </c>
      <c r="B474" s="22" t="str">
        <f t="shared" ca="1" si="43"/>
        <v>15:15:01</v>
      </c>
      <c r="C474" s="23">
        <v>1</v>
      </c>
      <c r="D474" t="str">
        <f t="shared" si="44"/>
        <v>Stock</v>
      </c>
      <c r="E474" s="26" t="str">
        <f t="shared" si="45"/>
        <v>9907</v>
      </c>
      <c r="F474" s="3" t="s">
        <v>766</v>
      </c>
      <c r="G474" s="2" t="s">
        <v>2334</v>
      </c>
      <c r="H474" s="2">
        <v>12.55</v>
      </c>
      <c r="J474" s="2">
        <f t="shared" si="46"/>
        <v>12.55</v>
      </c>
      <c r="K474" s="35" t="str">
        <f t="shared" ca="1" si="47"/>
        <v>INSERT INTO ETFValue (DataDate, TimeCategory, ProductType, ProductLink, ProductCode, ProductName, NAV, Price, RecTime) VALUES ('2021/5/14','1', 'Stock', '9907','9907','統一實','12.55','12.55','15:15:01');</v>
      </c>
    </row>
    <row r="475" spans="1:11">
      <c r="A475" s="21" t="str">
        <f t="shared" ca="1" si="42"/>
        <v>2021/5/14</v>
      </c>
      <c r="B475" s="22" t="str">
        <f t="shared" ca="1" si="43"/>
        <v>15:15:01</v>
      </c>
      <c r="C475" s="23">
        <v>1</v>
      </c>
      <c r="D475" t="str">
        <f t="shared" si="44"/>
        <v>Stock</v>
      </c>
      <c r="E475" s="26" t="str">
        <f t="shared" si="45"/>
        <v>9910</v>
      </c>
      <c r="F475" s="3" t="s">
        <v>353</v>
      </c>
      <c r="G475" s="2" t="s">
        <v>2335</v>
      </c>
      <c r="H475" s="2">
        <v>197.5</v>
      </c>
      <c r="J475" s="2">
        <f t="shared" si="46"/>
        <v>197.5</v>
      </c>
      <c r="K475" s="35" t="str">
        <f t="shared" ca="1" si="47"/>
        <v>INSERT INTO ETFValue (DataDate, TimeCategory, ProductType, ProductLink, ProductCode, ProductName, NAV, Price, RecTime) VALUES ('2021/5/14','1', 'Stock', '9910','9910','豐泰','197.5','197.5','15:15:01');</v>
      </c>
    </row>
    <row r="476" spans="1:11">
      <c r="A476" s="21" t="str">
        <f t="shared" ca="1" si="42"/>
        <v>2021/5/14</v>
      </c>
      <c r="B476" s="22" t="str">
        <f t="shared" ca="1" si="43"/>
        <v>15:15:01</v>
      </c>
      <c r="C476" s="23">
        <v>1</v>
      </c>
      <c r="D476" t="str">
        <f t="shared" si="44"/>
        <v>Stock</v>
      </c>
      <c r="E476" s="26" t="str">
        <f t="shared" si="45"/>
        <v>9914</v>
      </c>
      <c r="F476" s="3" t="s">
        <v>354</v>
      </c>
      <c r="G476" s="2" t="s">
        <v>2336</v>
      </c>
      <c r="H476" s="2">
        <v>318</v>
      </c>
      <c r="J476" s="2">
        <f t="shared" si="46"/>
        <v>318</v>
      </c>
      <c r="K476" s="35" t="str">
        <f t="shared" ca="1" si="47"/>
        <v>INSERT INTO ETFValue (DataDate, TimeCategory, ProductType, ProductLink, ProductCode, ProductName, NAV, Price, RecTime) VALUES ('2021/5/14','1', 'Stock', '9914','9914','美利達','318','318','15:15:01');</v>
      </c>
    </row>
    <row r="477" spans="1:11">
      <c r="A477" s="21" t="str">
        <f t="shared" ca="1" si="42"/>
        <v>2021/5/14</v>
      </c>
      <c r="B477" s="22" t="str">
        <f t="shared" ca="1" si="43"/>
        <v>15:15:01</v>
      </c>
      <c r="C477" s="23">
        <v>1</v>
      </c>
      <c r="D477" t="str">
        <f t="shared" si="44"/>
        <v>Stock</v>
      </c>
      <c r="E477" s="26" t="str">
        <f t="shared" si="45"/>
        <v>9917</v>
      </c>
      <c r="F477" s="3" t="s">
        <v>355</v>
      </c>
      <c r="G477" s="2" t="s">
        <v>2337</v>
      </c>
      <c r="H477" s="2">
        <v>92.2</v>
      </c>
      <c r="J477" s="2">
        <f t="shared" si="46"/>
        <v>92.2</v>
      </c>
      <c r="K477" s="35" t="str">
        <f t="shared" ca="1" si="47"/>
        <v>INSERT INTO ETFValue (DataDate, TimeCategory, ProductType, ProductLink, ProductCode, ProductName, NAV, Price, RecTime) VALUES ('2021/5/14','1', 'Stock', '9917','9917','中保科','92.2','92.2','15:15:01');</v>
      </c>
    </row>
    <row r="478" spans="1:11">
      <c r="A478" s="21" t="str">
        <f t="shared" ca="1" si="42"/>
        <v>2021/5/14</v>
      </c>
      <c r="B478" s="22" t="str">
        <f t="shared" ca="1" si="43"/>
        <v>15:15:01</v>
      </c>
      <c r="C478" s="23">
        <v>1</v>
      </c>
      <c r="D478" t="str">
        <f t="shared" si="44"/>
        <v>Stock</v>
      </c>
      <c r="E478" s="26" t="str">
        <f t="shared" si="45"/>
        <v>9921</v>
      </c>
      <c r="F478" s="3" t="s">
        <v>356</v>
      </c>
      <c r="G478" s="2" t="s">
        <v>2338</v>
      </c>
      <c r="H478" s="2">
        <v>322.5</v>
      </c>
      <c r="J478" s="2">
        <f t="shared" si="46"/>
        <v>322.5</v>
      </c>
      <c r="K478" s="35" t="str">
        <f t="shared" ca="1" si="47"/>
        <v>INSERT INTO ETFValue (DataDate, TimeCategory, ProductType, ProductLink, ProductCode, ProductName, NAV, Price, RecTime) VALUES ('2021/5/14','1', 'Stock', '9921','9921','巨大','322.5','322.5','15:15:01');</v>
      </c>
    </row>
    <row r="479" spans="1:11">
      <c r="A479" s="21" t="str">
        <f t="shared" ca="1" si="42"/>
        <v>2021/5/14</v>
      </c>
      <c r="B479" s="22" t="str">
        <f t="shared" ca="1" si="43"/>
        <v>15:15:01</v>
      </c>
      <c r="C479" s="23">
        <v>1</v>
      </c>
      <c r="D479" t="str">
        <f t="shared" si="44"/>
        <v>Stock</v>
      </c>
      <c r="E479" s="26" t="str">
        <f t="shared" si="45"/>
        <v>9925</v>
      </c>
      <c r="F479" s="3" t="s">
        <v>832</v>
      </c>
      <c r="G479" s="2" t="s">
        <v>2339</v>
      </c>
      <c r="H479" s="2">
        <v>37.65</v>
      </c>
      <c r="J479" s="2">
        <f t="shared" si="46"/>
        <v>37.65</v>
      </c>
      <c r="K479" s="35" t="str">
        <f t="shared" ca="1" si="47"/>
        <v>INSERT INTO ETFValue (DataDate, TimeCategory, ProductType, ProductLink, ProductCode, ProductName, NAV, Price, RecTime) VALUES ('2021/5/14','1', 'Stock', '9925','9925','新保','37.65','37.65','15:15:01');</v>
      </c>
    </row>
    <row r="480" spans="1:11">
      <c r="A480" s="21" t="str">
        <f t="shared" ca="1" si="42"/>
        <v>2021/5/14</v>
      </c>
      <c r="B480" s="22" t="str">
        <f t="shared" ca="1" si="43"/>
        <v>15:15:01</v>
      </c>
      <c r="C480" s="23">
        <v>1</v>
      </c>
      <c r="D480" t="str">
        <f t="shared" si="44"/>
        <v>Stock</v>
      </c>
      <c r="E480" s="26" t="str">
        <f t="shared" si="45"/>
        <v>9933</v>
      </c>
      <c r="F480" s="3" t="s">
        <v>357</v>
      </c>
      <c r="G480" s="2" t="s">
        <v>2340</v>
      </c>
      <c r="H480" s="2">
        <v>36.6</v>
      </c>
      <c r="J480" s="2">
        <f t="shared" si="46"/>
        <v>36.6</v>
      </c>
      <c r="K480" s="35" t="str">
        <f t="shared" ca="1" si="47"/>
        <v>INSERT INTO ETFValue (DataDate, TimeCategory, ProductType, ProductLink, ProductCode, ProductName, NAV, Price, RecTime) VALUES ('2021/5/14','1', 'Stock', '9933','9933','中鼎','36.6','36.6','15:15:01');</v>
      </c>
    </row>
    <row r="481" spans="1:11">
      <c r="A481" s="21" t="str">
        <f t="shared" ca="1" si="42"/>
        <v>2021/5/14</v>
      </c>
      <c r="B481" s="22" t="str">
        <f t="shared" ca="1" si="43"/>
        <v>15:15:01</v>
      </c>
      <c r="C481" s="23">
        <v>1</v>
      </c>
      <c r="D481" t="str">
        <f t="shared" si="44"/>
        <v>Stock</v>
      </c>
      <c r="E481" s="26" t="str">
        <f t="shared" si="45"/>
        <v>9937</v>
      </c>
      <c r="F481" s="3" t="s">
        <v>833</v>
      </c>
      <c r="G481" s="2" t="s">
        <v>2341</v>
      </c>
      <c r="H481" s="2">
        <v>47.3</v>
      </c>
      <c r="J481" s="2">
        <f t="shared" si="46"/>
        <v>47.3</v>
      </c>
      <c r="K481" s="35" t="str">
        <f t="shared" ca="1" si="47"/>
        <v>INSERT INTO ETFValue (DataDate, TimeCategory, ProductType, ProductLink, ProductCode, ProductName, NAV, Price, RecTime) VALUES ('2021/5/14','1', 'Stock', '9937','9937','全國','47.3','47.3','15:15:01');</v>
      </c>
    </row>
    <row r="482" spans="1:11">
      <c r="A482" s="21" t="str">
        <f t="shared" ca="1" si="42"/>
        <v>2021/5/14</v>
      </c>
      <c r="B482" s="22" t="str">
        <f t="shared" ca="1" si="43"/>
        <v>15:15:01</v>
      </c>
      <c r="C482" s="23">
        <v>1</v>
      </c>
      <c r="D482" t="str">
        <f t="shared" si="44"/>
        <v>Stock</v>
      </c>
      <c r="E482" s="26" t="str">
        <f t="shared" si="45"/>
        <v>9940</v>
      </c>
      <c r="F482" s="3" t="s">
        <v>834</v>
      </c>
      <c r="G482" s="2" t="s">
        <v>2342</v>
      </c>
      <c r="H482" s="2">
        <v>31.65</v>
      </c>
      <c r="J482" s="2">
        <f t="shared" si="46"/>
        <v>31.65</v>
      </c>
      <c r="K482" s="35" t="str">
        <f t="shared" ca="1" si="47"/>
        <v>INSERT INTO ETFValue (DataDate, TimeCategory, ProductType, ProductLink, ProductCode, ProductName, NAV, Price, RecTime) VALUES ('2021/5/14','1', 'Stock', '9940','9940','信義','31.65','31.65','15:15:01');</v>
      </c>
    </row>
    <row r="483" spans="1:11">
      <c r="A483" s="21" t="str">
        <f t="shared" ca="1" si="42"/>
        <v>2021/5/14</v>
      </c>
      <c r="B483" s="22" t="str">
        <f t="shared" ca="1" si="43"/>
        <v>15:15:01</v>
      </c>
      <c r="C483" s="23">
        <v>1</v>
      </c>
      <c r="D483" t="str">
        <f t="shared" si="44"/>
        <v>Stock</v>
      </c>
      <c r="E483" s="26" t="str">
        <f t="shared" si="45"/>
        <v>9941</v>
      </c>
      <c r="F483" s="3" t="s">
        <v>358</v>
      </c>
      <c r="G483" s="2" t="s">
        <v>2343</v>
      </c>
      <c r="H483" s="2">
        <v>130.5</v>
      </c>
      <c r="J483" s="2">
        <f t="shared" si="46"/>
        <v>130.5</v>
      </c>
      <c r="K483" s="35" t="str">
        <f t="shared" ca="1" si="47"/>
        <v>INSERT INTO ETFValue (DataDate, TimeCategory, ProductType, ProductLink, ProductCode, ProductName, NAV, Price, RecTime) VALUES ('2021/5/14','1', 'Stock', '9941','9941','裕融','130.5','130.5','15:15:01');</v>
      </c>
    </row>
    <row r="484" spans="1:11">
      <c r="A484" s="21" t="str">
        <f t="shared" ca="1" si="42"/>
        <v>2021/5/14</v>
      </c>
      <c r="B484" s="22" t="str">
        <f t="shared" ca="1" si="43"/>
        <v>15:15:01</v>
      </c>
      <c r="C484" s="23">
        <v>1</v>
      </c>
      <c r="D484" t="str">
        <f t="shared" si="44"/>
        <v>Stock</v>
      </c>
      <c r="E484" s="26" t="str">
        <f t="shared" si="45"/>
        <v>9943</v>
      </c>
      <c r="F484" s="3" t="s">
        <v>835</v>
      </c>
      <c r="G484" s="2" t="s">
        <v>2344</v>
      </c>
      <c r="H484" s="2">
        <v>62.1</v>
      </c>
      <c r="J484" s="2">
        <f t="shared" si="46"/>
        <v>62.1</v>
      </c>
      <c r="K484" s="35" t="str">
        <f t="shared" ca="1" si="47"/>
        <v>INSERT INTO ETFValue (DataDate, TimeCategory, ProductType, ProductLink, ProductCode, ProductName, NAV, Price, RecTime) VALUES ('2021/5/14','1', 'Stock', '9943','9943','好樂迪','62.1','62.1','15:15:01');</v>
      </c>
    </row>
    <row r="485" spans="1:11">
      <c r="A485" s="21" t="str">
        <f t="shared" ca="1" si="42"/>
        <v>2021/5/14</v>
      </c>
      <c r="B485" s="22" t="str">
        <f t="shared" ca="1" si="43"/>
        <v>15:15:01</v>
      </c>
      <c r="C485" s="23">
        <v>1</v>
      </c>
      <c r="D485" t="str">
        <f t="shared" si="44"/>
        <v>Stock</v>
      </c>
      <c r="E485" s="26" t="str">
        <f t="shared" si="45"/>
        <v>9945</v>
      </c>
      <c r="F485" s="3" t="s">
        <v>359</v>
      </c>
      <c r="G485" s="2" t="s">
        <v>2345</v>
      </c>
      <c r="H485" s="2">
        <v>51</v>
      </c>
      <c r="J485" s="2">
        <f t="shared" si="46"/>
        <v>51</v>
      </c>
      <c r="K485" s="35" t="str">
        <f t="shared" ca="1" si="47"/>
        <v>INSERT INTO ETFValue (DataDate, TimeCategory, ProductType, ProductLink, ProductCode, ProductName, NAV, Price, RecTime) VALUES ('2021/5/14','1', 'Stock', '9945','9945','潤泰新','51','51','15:15:01');</v>
      </c>
    </row>
    <row r="486" spans="1:11">
      <c r="A486" s="21" t="str">
        <f t="shared" ca="1" si="42"/>
        <v>2021/5/14</v>
      </c>
      <c r="B486" s="22" t="str">
        <f t="shared" ca="1" si="43"/>
        <v>15:15:01</v>
      </c>
      <c r="C486" s="23">
        <v>1</v>
      </c>
      <c r="D486" t="str">
        <f t="shared" si="44"/>
        <v>Stock</v>
      </c>
      <c r="E486" s="26" t="str">
        <f t="shared" si="45"/>
        <v>9951</v>
      </c>
      <c r="F486" s="3" t="s">
        <v>1028</v>
      </c>
      <c r="G486" s="2" t="s">
        <v>2346</v>
      </c>
      <c r="H486" s="2">
        <v>83.9</v>
      </c>
      <c r="J486" s="2">
        <f t="shared" si="46"/>
        <v>83.9</v>
      </c>
      <c r="K486" s="35" t="str">
        <f t="shared" ca="1" si="47"/>
        <v>INSERT INTO ETFValue (DataDate, TimeCategory, ProductType, ProductLink, ProductCode, ProductName, NAV, Price, RecTime) VALUES ('2021/5/14','1', 'Stock', '9951','9951','皇田','83.9','83.9','15:15:01');</v>
      </c>
    </row>
    <row r="487" spans="1:11">
      <c r="A487" s="21" t="str">
        <f t="shared" ca="1" si="42"/>
        <v>2021/5/14</v>
      </c>
      <c r="B487" s="22" t="str">
        <f t="shared" ca="1" si="43"/>
        <v>15:15:01</v>
      </c>
      <c r="C487" s="23">
        <v>1</v>
      </c>
      <c r="D487" t="str">
        <f>IF(LEFT(G487,2)="00","ETF","Stock")</f>
        <v>Stock</v>
      </c>
      <c r="E487" s="26" t="str">
        <f>F487</f>
        <v>3042</v>
      </c>
      <c r="F487" s="3" t="s">
        <v>1339</v>
      </c>
      <c r="G487" s="2" t="s">
        <v>2347</v>
      </c>
      <c r="H487" s="2">
        <v>93.3</v>
      </c>
      <c r="J487" s="2">
        <f t="shared" si="46"/>
        <v>93.3</v>
      </c>
      <c r="K487" s="35" t="str">
        <f ca="1">"INSERT INTO ETFValue (DataDate, TimeCategory, ProductType, ProductLink, ProductCode, ProductName, NAV, Price, RecTime) VALUES ("&amp;"'"&amp;TEXT(A487,"yyyy/m/dd")&amp;"','"&amp; C487&amp;"', '"&amp;D487&amp;"', '"&amp;E487&amp;"','"&amp;F487&amp;"','"&amp;G487&amp;"','"&amp;ROUND(J487,4)&amp;"','"&amp;J487&amp;"','"&amp;TEXT($Q$2,"hh:mm:ss")&amp;"');"</f>
        <v>INSERT INTO ETFValue (DataDate, TimeCategory, ProductType, ProductLink, ProductCode, ProductName, NAV, Price, RecTime) VALUES ('2021/5/14','1', 'Stock', '3042','3042','晶技','93.3','93.3','15:15:01');</v>
      </c>
    </row>
    <row r="488" spans="1:11">
      <c r="A488" s="21" t="str">
        <f t="shared" ca="1" si="42"/>
        <v>2021/5/14</v>
      </c>
      <c r="B488" s="22" t="str">
        <f t="shared" ca="1" si="43"/>
        <v>15:15:01</v>
      </c>
      <c r="C488" s="23">
        <v>1</v>
      </c>
      <c r="D488" t="str">
        <f>IF(LEFT(G488,2)="00","ETF","Stock")</f>
        <v>Stock</v>
      </c>
      <c r="E488" s="26" t="str">
        <f>F488</f>
        <v>3653</v>
      </c>
      <c r="F488" s="3" t="s">
        <v>1340</v>
      </c>
      <c r="G488" s="2" t="s">
        <v>2348</v>
      </c>
      <c r="H488" s="2">
        <v>262</v>
      </c>
      <c r="J488" s="2">
        <f t="shared" si="46"/>
        <v>262</v>
      </c>
      <c r="K488" s="35" t="str">
        <f ca="1">"INSERT INTO ETFValue (DataDate, TimeCategory, ProductType, ProductLink, ProductCode, ProductName, NAV, Price, RecTime) VALUES ("&amp;"'"&amp;TEXT(A488,"yyyy/m/dd")&amp;"','"&amp; C488&amp;"', '"&amp;D488&amp;"', '"&amp;E488&amp;"','"&amp;F488&amp;"','"&amp;G488&amp;"','"&amp;ROUND(J488,4)&amp;"','"&amp;J488&amp;"','"&amp;TEXT($Q$2,"hh:mm:ss")&amp;"');"</f>
        <v>INSERT INTO ETFValue (DataDate, TimeCategory, ProductType, ProductLink, ProductCode, ProductName, NAV, Price, RecTime) VALUES ('2021/5/14','1', 'Stock', '3653','3653','健策','262','262','15:15:01');</v>
      </c>
    </row>
    <row r="489" spans="1:11">
      <c r="A489" s="21" t="str">
        <f t="shared" ca="1" si="42"/>
        <v>2021/5/14</v>
      </c>
      <c r="B489" s="22" t="str">
        <f t="shared" ca="1" si="43"/>
        <v>15:15:01</v>
      </c>
      <c r="C489" s="23">
        <v>1</v>
      </c>
      <c r="D489" t="str">
        <f>IF(LEFT(G489,2)="00","ETF","Stock")</f>
        <v>Stock</v>
      </c>
      <c r="E489" s="26" t="str">
        <f>F489</f>
        <v>6257</v>
      </c>
      <c r="F489" s="3" t="s">
        <v>1341</v>
      </c>
      <c r="G489" s="2" t="s">
        <v>2349</v>
      </c>
      <c r="H489" s="2">
        <v>48.1</v>
      </c>
      <c r="J489" s="2">
        <f t="shared" si="46"/>
        <v>48.1</v>
      </c>
      <c r="K489" s="35" t="str">
        <f ca="1">"INSERT INTO ETFValue (DataDate, TimeCategory, ProductType, ProductLink, ProductCode, ProductName, NAV, Price, RecTime) VALUES ("&amp;"'"&amp;TEXT(A489,"yyyy/m/dd")&amp;"','"&amp; C489&amp;"', '"&amp;D489&amp;"', '"&amp;E489&amp;"','"&amp;F489&amp;"','"&amp;G489&amp;"','"&amp;ROUND(J489,4)&amp;"','"&amp;J489&amp;"','"&amp;TEXT($Q$2,"hh:mm:ss")&amp;"');"</f>
        <v>INSERT INTO ETFValue (DataDate, TimeCategory, ProductType, ProductLink, ProductCode, ProductName, NAV, Price, RecTime) VALUES ('2021/5/14','1', 'Stock', '6257','6257','矽格','48.1','48.1','15:15:01');</v>
      </c>
    </row>
    <row r="490" spans="1:11">
      <c r="A490" s="21" t="str">
        <f t="shared" ca="1" si="42"/>
        <v>2021/5/14</v>
      </c>
      <c r="B490" s="22" t="str">
        <f t="shared" ca="1" si="43"/>
        <v>15:15:01</v>
      </c>
      <c r="C490" s="23">
        <v>1</v>
      </c>
      <c r="D490" t="str">
        <f>IF(LEFT(G490,2)="00","ETF","Stock")</f>
        <v>Stock</v>
      </c>
      <c r="E490" s="26" t="str">
        <f>F490</f>
        <v>8210</v>
      </c>
      <c r="F490" s="3" t="s">
        <v>1342</v>
      </c>
      <c r="G490" s="2" t="s">
        <v>2350</v>
      </c>
      <c r="H490" s="2">
        <v>77</v>
      </c>
      <c r="J490" s="2">
        <f t="shared" si="46"/>
        <v>77</v>
      </c>
      <c r="K490" s="35" t="str">
        <f ca="1">"INSERT INTO ETFValue (DataDate, TimeCategory, ProductType, ProductLink, ProductCode, ProductName, NAV, Price, RecTime) VALUES ("&amp;"'"&amp;TEXT(A490,"yyyy/m/dd")&amp;"','"&amp; C490&amp;"', '"&amp;D490&amp;"', '"&amp;E490&amp;"','"&amp;F490&amp;"','"&amp;G490&amp;"','"&amp;ROUND(J490,4)&amp;"','"&amp;J490&amp;"','"&amp;TEXT($Q$2,"hh:mm:ss")&amp;"');"</f>
        <v>INSERT INTO ETFValue (DataDate, TimeCategory, ProductType, ProductLink, ProductCode, ProductName, NAV, Price, RecTime) VALUES ('2021/5/14','1', 'Stock', '8210','8210','勤誠','77','77','15:15:01');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X156"/>
  <sheetViews>
    <sheetView zoomScale="85" zoomScaleNormal="85" workbookViewId="0">
      <pane xSplit="8" ySplit="10" topLeftCell="I119" activePane="bottomRight" state="frozen"/>
      <selection pane="topRight" activeCell="I1" sqref="I1"/>
      <selection pane="bottomLeft" activeCell="A11" sqref="A11"/>
      <selection pane="bottomRight" activeCell="H2" sqref="H2:H151"/>
    </sheetView>
  </sheetViews>
  <sheetFormatPr defaultRowHeight="16.5"/>
  <cols>
    <col min="1" max="1" width="18.375" bestFit="1" customWidth="1"/>
    <col min="2" max="2" width="11.125" style="37" customWidth="1"/>
    <col min="3" max="3" width="10.875" customWidth="1"/>
    <col min="4" max="4" width="9.75" bestFit="1" customWidth="1"/>
    <col min="6" max="6" width="19.625" customWidth="1"/>
    <col min="7" max="7" width="21.875" style="13" customWidth="1"/>
    <col min="8" max="8" width="14" customWidth="1"/>
    <col min="10" max="10" width="9.5" bestFit="1" customWidth="1"/>
    <col min="13" max="13" width="9.75" bestFit="1" customWidth="1"/>
    <col min="14" max="14" width="14.625" bestFit="1" customWidth="1"/>
    <col min="15" max="15" width="14.375" hidden="1" customWidth="1"/>
    <col min="16" max="17" width="0" hidden="1" customWidth="1"/>
    <col min="18" max="18" width="12" hidden="1" customWidth="1"/>
    <col min="19" max="19" width="0" hidden="1" customWidth="1"/>
    <col min="20" max="20" width="14.125" bestFit="1" customWidth="1"/>
    <col min="21" max="23" width="9" style="13"/>
  </cols>
  <sheetData>
    <row r="1" spans="1:24">
      <c r="A1" t="s">
        <v>471</v>
      </c>
      <c r="B1" s="37" t="s">
        <v>474</v>
      </c>
      <c r="C1" s="9" t="s">
        <v>454</v>
      </c>
      <c r="D1" s="9" t="s">
        <v>442</v>
      </c>
      <c r="E1" s="9" t="s">
        <v>455</v>
      </c>
      <c r="F1" s="9" t="s">
        <v>456</v>
      </c>
      <c r="G1" s="9" t="s">
        <v>448</v>
      </c>
      <c r="H1" s="13" t="s">
        <v>718</v>
      </c>
      <c r="I1" s="9"/>
      <c r="L1" s="9" t="s">
        <v>472</v>
      </c>
      <c r="O1" s="9" t="s">
        <v>454</v>
      </c>
      <c r="P1" s="9" t="s">
        <v>442</v>
      </c>
      <c r="Q1" s="9" t="s">
        <v>443</v>
      </c>
      <c r="R1" s="9" t="s">
        <v>456</v>
      </c>
      <c r="S1" s="9" t="s">
        <v>448</v>
      </c>
      <c r="U1" s="9" t="s">
        <v>734</v>
      </c>
      <c r="V1" s="9" t="s">
        <v>746</v>
      </c>
      <c r="W1" s="9" t="s">
        <v>747</v>
      </c>
    </row>
    <row r="2" spans="1:24">
      <c r="A2" t="s">
        <v>462</v>
      </c>
      <c r="C2" s="9" t="s">
        <v>457</v>
      </c>
      <c r="D2" s="9" t="s">
        <v>458</v>
      </c>
      <c r="E2" s="9" t="s">
        <v>459</v>
      </c>
      <c r="F2" s="10">
        <f>RTD("kgi.tw.der.pricertdserver.2014.1",,C2 &amp;":"&amp; D2&amp;"@" &amp; E2)</f>
        <v>27.966999999999999</v>
      </c>
      <c r="G2" s="9" t="str">
        <f>RTD("kgi.tw.der.pricertdserver.2014.1",,C2 &amp; "_Time" &amp; ":" &amp; D2 &amp; "@" &amp; E2)</f>
        <v>20210514_151456274</v>
      </c>
      <c r="H2" s="9" t="s">
        <v>1087</v>
      </c>
      <c r="I2" s="9"/>
      <c r="M2" s="15" t="s">
        <v>467</v>
      </c>
      <c r="O2" s="7" t="s">
        <v>463</v>
      </c>
      <c r="P2" s="7" t="s">
        <v>449</v>
      </c>
      <c r="Q2" s="7" t="s">
        <v>459</v>
      </c>
      <c r="R2" s="12">
        <f>RTD("kgi.tw.der.pricertdserver.2014.1",,O2 &amp;":"&amp; P2&amp;"@" &amp; Q2)</f>
        <v>15827.089026480331</v>
      </c>
      <c r="S2" s="9" t="str">
        <f>RTD("kgi.tw.der.pricertdserver.2014.1",,O2 &amp; "_Time" &amp; ":" &amp; P2 &amp; "@" &amp; Q2)</f>
        <v>20210514_133257007</v>
      </c>
      <c r="T2" s="34">
        <f>F2/資料上傳!I225-1</f>
        <v>-2.8596961572846524E-4</v>
      </c>
      <c r="U2" s="13">
        <v>1</v>
      </c>
      <c r="V2" s="13" t="s">
        <v>739</v>
      </c>
      <c r="W2" s="13" t="s">
        <v>722</v>
      </c>
      <c r="X2">
        <f>U2</f>
        <v>1</v>
      </c>
    </row>
    <row r="3" spans="1:24">
      <c r="B3" s="36"/>
      <c r="C3" s="9" t="s">
        <v>701</v>
      </c>
      <c r="D3" s="9" t="s">
        <v>505</v>
      </c>
      <c r="E3" s="9" t="s">
        <v>507</v>
      </c>
      <c r="F3" s="16">
        <f>RTD("kgi.tw.der.pricertdserver.2014.1",,C3 &amp;":"&amp; D3&amp;"@" &amp; E3)</f>
        <v>4.3472</v>
      </c>
      <c r="G3" s="9" t="str">
        <f>RTD("kgi.tw.der.pricertdserver.2014.1",,C3 &amp; "_Time" &amp; ":" &amp; D3 &amp; "@" &amp; E3)</f>
        <v>20210514_151456286</v>
      </c>
      <c r="H3" s="9" t="s">
        <v>1081</v>
      </c>
      <c r="I3" s="9"/>
      <c r="M3" s="15" t="s">
        <v>469</v>
      </c>
      <c r="O3" s="7" t="s">
        <v>464</v>
      </c>
      <c r="P3" s="7" t="s">
        <v>449</v>
      </c>
      <c r="Q3" s="7" t="s">
        <v>459</v>
      </c>
      <c r="R3" s="12">
        <f>RTD("kgi.tw.der.pricertdserver.2014.1",,O3 &amp;":"&amp; P3&amp;"@" &amp; Q3)</f>
        <v>1449.6273935256588</v>
      </c>
      <c r="S3" s="9" t="str">
        <f>RTD("kgi.tw.der.pricertdserver.2014.1",,O3 &amp; "_Time" &amp; ":" &amp; P3 &amp; "@" &amp; Q3)</f>
        <v>20210514_133042028</v>
      </c>
      <c r="T3" s="34">
        <f>F3/資料上傳!I226-1</f>
        <v>1.6589861751152846E-3</v>
      </c>
      <c r="U3" s="13">
        <v>2</v>
      </c>
      <c r="V3" s="13" t="s">
        <v>728</v>
      </c>
      <c r="W3" s="13" t="s">
        <v>723</v>
      </c>
      <c r="X3">
        <f t="shared" ref="X3:X13" si="0">U3</f>
        <v>2</v>
      </c>
    </row>
    <row r="4" spans="1:24">
      <c r="B4" s="36"/>
      <c r="C4" s="9" t="s">
        <v>508</v>
      </c>
      <c r="D4" s="9" t="s">
        <v>505</v>
      </c>
      <c r="E4" s="9" t="s">
        <v>506</v>
      </c>
      <c r="F4" s="16">
        <f>RTD("kgi.tw.der.pricertdserver.2014.1",,C4 &amp;":"&amp; D4&amp;"@" &amp; E4)</f>
        <v>0.25569999999999998</v>
      </c>
      <c r="G4" s="9" t="str">
        <f>RTD("kgi.tw.der.pricertdserver.2014.1",,C4 &amp; "_Time" &amp; ":" &amp; D4 &amp; "@" &amp; E4)</f>
        <v>20210514_151459729</v>
      </c>
      <c r="H4" s="9" t="s">
        <v>1083</v>
      </c>
      <c r="I4" s="13"/>
      <c r="M4" s="15" t="s">
        <v>468</v>
      </c>
      <c r="O4" s="7" t="s">
        <v>465</v>
      </c>
      <c r="P4" s="7" t="s">
        <v>449</v>
      </c>
      <c r="Q4" s="7" t="s">
        <v>459</v>
      </c>
      <c r="R4" s="12">
        <f>RTD("kgi.tw.der.pricertdserver.2014.1",,O4 &amp;":"&amp; P4&amp;"@" &amp; Q4)</f>
        <v>761.17523309473415</v>
      </c>
      <c r="S4" s="9" t="str">
        <f>RTD("kgi.tw.der.pricertdserver.2014.1",,O4 &amp; "_Time" &amp; ":" &amp; P4 &amp; "@" &amp; Q4)</f>
        <v>20210514_133257007</v>
      </c>
      <c r="T4" s="34">
        <f>F4/資料上傳!I227-1</f>
        <v>1.1746280344555604E-3</v>
      </c>
      <c r="U4" s="13">
        <v>3</v>
      </c>
      <c r="V4" s="13" t="s">
        <v>740</v>
      </c>
      <c r="W4" s="13" t="s">
        <v>724</v>
      </c>
      <c r="X4">
        <f t="shared" si="0"/>
        <v>3</v>
      </c>
    </row>
    <row r="5" spans="1:24">
      <c r="B5" s="36"/>
      <c r="C5" t="s">
        <v>700</v>
      </c>
      <c r="D5" s="9" t="s">
        <v>505</v>
      </c>
      <c r="E5" s="9" t="s">
        <v>506</v>
      </c>
      <c r="F5" s="16">
        <f>RTD("kgi.tw.der.pricertdserver.2014.1",,C5 &amp;":"&amp; D5&amp;"@" &amp; E5)</f>
        <v>3.601</v>
      </c>
      <c r="G5" s="9" t="str">
        <f>RTD("kgi.tw.der.pricertdserver.2014.1",,C5 &amp; "_Time" &amp; ":" &amp; D5 &amp; "@" &amp; E5)</f>
        <v>20210514_151456298</v>
      </c>
      <c r="H5" s="9" t="s">
        <v>1085</v>
      </c>
      <c r="I5" s="13"/>
      <c r="M5" s="15" t="s">
        <v>470</v>
      </c>
      <c r="O5" s="7" t="s">
        <v>466</v>
      </c>
      <c r="P5" s="7" t="s">
        <v>449</v>
      </c>
      <c r="Q5" s="7" t="s">
        <v>459</v>
      </c>
      <c r="R5" s="12">
        <f>RTD("kgi.tw.der.pricertdserver.2014.1",,O5 &amp;":"&amp; P5&amp;"@" &amp; Q5)</f>
        <v>637.50961963869918</v>
      </c>
      <c r="S5" s="9" t="str">
        <f>RTD("kgi.tw.der.pricertdserver.2014.1",,O5 &amp; "_Time" &amp; ":" &amp; P5 &amp; "@" &amp; Q5)</f>
        <v>20210514_133105998</v>
      </c>
      <c r="T5" s="34">
        <f>F5/資料上傳!I228-1</f>
        <v>1.6664815020561718E-4</v>
      </c>
      <c r="U5" s="13">
        <v>4</v>
      </c>
      <c r="V5" s="13" t="s">
        <v>741</v>
      </c>
      <c r="W5" s="13" t="s">
        <v>725</v>
      </c>
      <c r="X5">
        <f t="shared" si="0"/>
        <v>4</v>
      </c>
    </row>
    <row r="6" spans="1:24">
      <c r="B6" s="36"/>
      <c r="C6" s="9" t="s">
        <v>502</v>
      </c>
      <c r="D6" s="9" t="s">
        <v>501</v>
      </c>
      <c r="E6" s="9" t="s">
        <v>503</v>
      </c>
      <c r="F6" s="17">
        <f>RTD("kgi.tw.der.pricertdserver.2014.1",,C6 &amp;":"&amp; D6&amp;"@" &amp; E6)</f>
        <v>6.4345999999999997</v>
      </c>
      <c r="G6" s="9" t="str">
        <f>RTD("kgi.tw.der.pricertdserver.2014.1",,C6 &amp; "_Time" &amp; ":" &amp; D6 &amp; "@" &amp; E6)</f>
        <v>20210514_151459750</v>
      </c>
      <c r="H6" s="13" t="s">
        <v>1086</v>
      </c>
      <c r="I6" s="13"/>
      <c r="T6" s="34">
        <f>F6/資料上傳!I229-1</f>
        <v>-1.4742167253767313E-3</v>
      </c>
      <c r="U6" s="13">
        <v>5</v>
      </c>
      <c r="V6" s="13" t="s">
        <v>742</v>
      </c>
      <c r="W6" s="13" t="s">
        <v>726</v>
      </c>
      <c r="X6">
        <f t="shared" si="0"/>
        <v>5</v>
      </c>
    </row>
    <row r="7" spans="1:24">
      <c r="B7" s="36"/>
      <c r="C7" s="9" t="s">
        <v>504</v>
      </c>
      <c r="D7" s="9" t="s">
        <v>505</v>
      </c>
      <c r="E7" s="9" t="s">
        <v>506</v>
      </c>
      <c r="F7" s="18">
        <f>RTD("kgi.tw.der.pricertdserver.2014.1",,C7 &amp;":"&amp; D7&amp;"@" &amp; E7)</f>
        <v>6.4333999999999998</v>
      </c>
      <c r="G7" s="9" t="str">
        <f>RTD("kgi.tw.der.pricertdserver.2014.1",,C7 &amp; "_Time" &amp; ":" &amp; D7 &amp; "@" &amp; E7)</f>
        <v>20210514_151433782</v>
      </c>
      <c r="H7" s="13" t="s">
        <v>721</v>
      </c>
      <c r="I7" s="13"/>
      <c r="J7" t="s">
        <v>1345</v>
      </c>
      <c r="L7" t="s">
        <v>1344</v>
      </c>
      <c r="M7" s="15" t="s">
        <v>1343</v>
      </c>
      <c r="N7" t="s">
        <v>1426</v>
      </c>
      <c r="T7" s="34">
        <f>F7/資料上傳!I230-1</f>
        <v>-1.6294480050901283E-3</v>
      </c>
      <c r="U7" s="13">
        <v>6</v>
      </c>
      <c r="V7" s="13" t="s">
        <v>743</v>
      </c>
      <c r="W7" s="13" t="s">
        <v>727</v>
      </c>
      <c r="X7">
        <f t="shared" si="0"/>
        <v>6</v>
      </c>
    </row>
    <row r="8" spans="1:24">
      <c r="A8" t="s">
        <v>475</v>
      </c>
      <c r="B8" s="38" t="str">
        <f>RIGHT(C8,2)&amp;"年"&amp;" - "&amp;M8&amp;"月"</f>
        <v>21年 - 6月</v>
      </c>
      <c r="C8" s="36" t="s">
        <v>1841</v>
      </c>
      <c r="D8" s="9" t="s">
        <v>460</v>
      </c>
      <c r="E8" s="9" t="s">
        <v>459</v>
      </c>
      <c r="F8" s="12">
        <f>RTD("kgi.tw.der.pricertdserver.2014.1",,C8 &amp;":"&amp; D8&amp;"@" &amp; E8)</f>
        <v>23.5</v>
      </c>
      <c r="G8" s="9" t="str">
        <f>RTD("kgi.tw.der.pricertdserver.2014.1",,C8 &amp; "_Time" &amp; ":" &amp; D8 &amp; "@" &amp; E8)</f>
        <v>20210514_151459351</v>
      </c>
      <c r="H8" s="13" t="str">
        <f>I8&amp;L8&amp;K8</f>
        <v>VXF1</v>
      </c>
      <c r="I8" s="13" t="str">
        <f t="shared" ref="I8:I80" si="1">IF(AND(D8="CBOT",LEFT(C8,2)="ZB"),"US",IF(AND(D8="ICE_EU",LEFT(C8,3)="BRN"),"LCOB",IF(AND(D8="SGX",LEFT(C8,2)="NK"),"SSI",IF(AND(D8="SGX",LEFT(C8,2)="CN"),"SCN",IF(AND(D8="SGX",LEFT(C8,2)="TW"),"STW",IF(LEFT(C8,5)="TOPIX","JTI",IF(RIGHT(LEFT(C8,3),1)="-",LEFT(C8,2),LEFT(C8,3))))))))</f>
        <v>VX</v>
      </c>
      <c r="J8" t="str">
        <f t="shared" ref="J8:J88" si="2">LEFT(RIGHT(C8,3),1)</f>
        <v>M</v>
      </c>
      <c r="K8" t="str">
        <f t="shared" ref="K8:K88" si="3">RIGHT(C8,1)</f>
        <v>1</v>
      </c>
      <c r="L8" t="str">
        <f t="shared" ref="L8:L84" si="4">VLOOKUP(J8,$V$1:$W$14,2,FALSE)</f>
        <v>F</v>
      </c>
      <c r="M8">
        <f>VLOOKUP($J8,$V$1:$X$13,3,FALSE)</f>
        <v>6</v>
      </c>
      <c r="U8" s="13">
        <v>7</v>
      </c>
      <c r="V8" s="13" t="s">
        <v>744</v>
      </c>
      <c r="W8" s="13" t="s">
        <v>728</v>
      </c>
      <c r="X8">
        <f t="shared" si="0"/>
        <v>7</v>
      </c>
    </row>
    <row r="9" spans="1:24">
      <c r="B9" s="38" t="str">
        <f t="shared" ref="B9:B72" si="5">RIGHT(C9,2)&amp;"年"&amp;" - "&amp;M9&amp;"月"</f>
        <v>21年 - 7月</v>
      </c>
      <c r="C9" s="36" t="s">
        <v>1843</v>
      </c>
      <c r="D9" s="9" t="s">
        <v>460</v>
      </c>
      <c r="E9" s="9" t="s">
        <v>459</v>
      </c>
      <c r="F9" s="12">
        <f>RTD("kgi.tw.der.pricertdserver.2014.1",,C9 &amp;":"&amp; D9&amp;"@" &amp; E9)</f>
        <v>24.43</v>
      </c>
      <c r="G9" s="9" t="str">
        <f>RTD("kgi.tw.der.pricertdserver.2014.1",,C9 &amp; "_Time" &amp; ":" &amp; D9 &amp; "@" &amp; E9)</f>
        <v>20210514_151459351</v>
      </c>
      <c r="H9" s="13" t="str">
        <f t="shared" ref="H9:H80" si="6">I9&amp;L9&amp;K9</f>
        <v>VXG1</v>
      </c>
      <c r="I9" s="13" t="str">
        <f t="shared" si="1"/>
        <v>VX</v>
      </c>
      <c r="J9" t="str">
        <f t="shared" si="2"/>
        <v>N</v>
      </c>
      <c r="K9" t="str">
        <f t="shared" si="3"/>
        <v>1</v>
      </c>
      <c r="L9" t="str">
        <f t="shared" si="4"/>
        <v>G</v>
      </c>
      <c r="M9">
        <f t="shared" ref="M9:M72" si="7">VLOOKUP($J9,$V$1:$X$13,3,FALSE)</f>
        <v>7</v>
      </c>
      <c r="U9" s="13">
        <v>8</v>
      </c>
      <c r="V9" s="13" t="s">
        <v>745</v>
      </c>
      <c r="W9" s="13" t="s">
        <v>729</v>
      </c>
      <c r="X9">
        <f t="shared" si="0"/>
        <v>8</v>
      </c>
    </row>
    <row r="10" spans="1:24">
      <c r="B10" s="38" t="str">
        <f t="shared" si="5"/>
        <v>21年 - 8月</v>
      </c>
      <c r="C10" s="36" t="s">
        <v>1845</v>
      </c>
      <c r="D10" s="9" t="s">
        <v>460</v>
      </c>
      <c r="E10" s="9" t="s">
        <v>459</v>
      </c>
      <c r="F10" s="12">
        <f>RTD("kgi.tw.der.pricertdserver.2014.1",,C10 &amp;":"&amp; D10&amp;"@" &amp; E10)</f>
        <v>24.7</v>
      </c>
      <c r="G10" s="9" t="str">
        <f>RTD("kgi.tw.der.pricertdserver.2014.1",,C10 &amp; "_Time" &amp; ":" &amp; D10 &amp; "@" &amp; E10)</f>
        <v>20210514_151458851</v>
      </c>
      <c r="H10" s="13" t="str">
        <f t="shared" si="6"/>
        <v>VXH1</v>
      </c>
      <c r="I10" s="13" t="str">
        <f t="shared" si="1"/>
        <v>VX</v>
      </c>
      <c r="J10" t="str">
        <f t="shared" si="2"/>
        <v>Q</v>
      </c>
      <c r="K10" t="str">
        <f t="shared" si="3"/>
        <v>1</v>
      </c>
      <c r="L10" t="str">
        <f t="shared" si="4"/>
        <v>H</v>
      </c>
      <c r="M10">
        <f t="shared" si="7"/>
        <v>8</v>
      </c>
      <c r="U10" s="13">
        <v>9</v>
      </c>
      <c r="V10" s="13" t="s">
        <v>735</v>
      </c>
      <c r="W10" s="13" t="s">
        <v>730</v>
      </c>
      <c r="X10">
        <f t="shared" si="0"/>
        <v>9</v>
      </c>
    </row>
    <row r="11" spans="1:24">
      <c r="B11" s="38" t="str">
        <f t="shared" si="5"/>
        <v>21年 - 9月</v>
      </c>
      <c r="C11" s="36" t="s">
        <v>2436</v>
      </c>
      <c r="D11" s="9" t="s">
        <v>460</v>
      </c>
      <c r="E11" s="9" t="s">
        <v>459</v>
      </c>
      <c r="F11" s="12">
        <f>RTD("kgi.tw.der.pricertdserver.2014.1",,C11 &amp;":"&amp; D11&amp;"@" &amp; E11)</f>
        <v>25.1</v>
      </c>
      <c r="G11" s="9" t="str">
        <f>RTD("kgi.tw.der.pricertdserver.2014.1",,C11 &amp; "_Time" &amp; ":" &amp; D11 &amp; "@" &amp; E11)</f>
        <v>20210514_151445850</v>
      </c>
      <c r="H11" s="13" t="str">
        <f>I11&amp;L11&amp;K11</f>
        <v>VXI1</v>
      </c>
      <c r="I11" s="13" t="str">
        <f>IF(AND(D11="CBOT",LEFT(C11,2)="ZB"),"US",IF(AND(D11="ICE_EU",LEFT(C11,3)="BRN"),"LCOB",IF(AND(D11="SGX",LEFT(C11,2)="NK"),"SSI",IF(AND(D11="SGX",LEFT(C11,2)="CN"),"SCN",IF(AND(D11="SGX",LEFT(C11,2)="TW"),"STW",IF(LEFT(C11,5)="TOPIX","JTI",IF(RIGHT(LEFT(C11,3),1)="-",LEFT(C11,2),LEFT(C11,3))))))))</f>
        <v>VX</v>
      </c>
      <c r="J11" t="str">
        <f>LEFT(RIGHT(C11,3),1)</f>
        <v>U</v>
      </c>
      <c r="K11" t="str">
        <f>RIGHT(C11,1)</f>
        <v>1</v>
      </c>
      <c r="L11" t="str">
        <f>VLOOKUP(J11,$V$1:$W$14,2,FALSE)</f>
        <v>I</v>
      </c>
      <c r="M11">
        <f t="shared" si="7"/>
        <v>9</v>
      </c>
      <c r="U11" s="13">
        <v>10</v>
      </c>
      <c r="V11" s="13" t="s">
        <v>736</v>
      </c>
      <c r="W11" s="13" t="s">
        <v>731</v>
      </c>
      <c r="X11">
        <f t="shared" si="0"/>
        <v>10</v>
      </c>
    </row>
    <row r="12" spans="1:24">
      <c r="B12" s="38" t="str">
        <f t="shared" si="5"/>
        <v>21年 - 10月</v>
      </c>
      <c r="C12" s="36" t="s">
        <v>2487</v>
      </c>
      <c r="D12" s="9" t="s">
        <v>460</v>
      </c>
      <c r="E12" s="9" t="s">
        <v>459</v>
      </c>
      <c r="F12" s="12">
        <f>RTD("kgi.tw.der.pricertdserver.2014.1",,C12 &amp;":"&amp; D12&amp;"@" &amp; E12)</f>
        <v>25.15</v>
      </c>
      <c r="G12" s="9" t="str">
        <f>RTD("kgi.tw.der.pricertdserver.2014.1",,C12 &amp; "_Time" &amp; ":" &amp; D12 &amp; "@" &amp; E12)</f>
        <v>20210514_151445084</v>
      </c>
      <c r="H12" s="13" t="str">
        <f t="shared" si="6"/>
        <v>VXJ1</v>
      </c>
      <c r="I12" s="13" t="str">
        <f t="shared" si="1"/>
        <v>VX</v>
      </c>
      <c r="J12" t="str">
        <f t="shared" si="2"/>
        <v>V</v>
      </c>
      <c r="K12" t="str">
        <f t="shared" si="3"/>
        <v>1</v>
      </c>
      <c r="L12" t="str">
        <f t="shared" si="4"/>
        <v>J</v>
      </c>
      <c r="M12">
        <f t="shared" si="7"/>
        <v>10</v>
      </c>
      <c r="U12" s="13">
        <v>11</v>
      </c>
      <c r="V12" s="13" t="s">
        <v>738</v>
      </c>
      <c r="W12" s="13" t="s">
        <v>732</v>
      </c>
      <c r="X12">
        <f t="shared" si="0"/>
        <v>11</v>
      </c>
    </row>
    <row r="13" spans="1:24">
      <c r="B13" s="38" t="str">
        <f t="shared" si="5"/>
        <v>21年 - 11月</v>
      </c>
      <c r="C13" s="36" t="s">
        <v>2498</v>
      </c>
      <c r="D13" s="9" t="s">
        <v>460</v>
      </c>
      <c r="E13" s="9" t="s">
        <v>459</v>
      </c>
      <c r="F13" s="12">
        <f>RTD("kgi.tw.der.pricertdserver.2014.1",,C13 &amp;":"&amp; D13&amp;"@" &amp; E13)</f>
        <v>24.92</v>
      </c>
      <c r="G13" s="9" t="str">
        <f>RTD("kgi.tw.der.pricertdserver.2014.1",,C13 &amp; "_Time" &amp; ":" &amp; D13 &amp; "@" &amp; E13)</f>
        <v>20210514_151414816</v>
      </c>
      <c r="H13" s="13" t="str">
        <f t="shared" si="6"/>
        <v>VXK1</v>
      </c>
      <c r="I13" s="13" t="str">
        <f t="shared" si="1"/>
        <v>VX</v>
      </c>
      <c r="J13" t="str">
        <f t="shared" si="2"/>
        <v>X</v>
      </c>
      <c r="K13" t="str">
        <f t="shared" si="3"/>
        <v>1</v>
      </c>
      <c r="L13" t="str">
        <f t="shared" si="4"/>
        <v>K</v>
      </c>
      <c r="M13">
        <f t="shared" si="7"/>
        <v>11</v>
      </c>
      <c r="U13" s="13">
        <v>12</v>
      </c>
      <c r="V13" s="13" t="s">
        <v>737</v>
      </c>
      <c r="W13" s="13" t="s">
        <v>733</v>
      </c>
      <c r="X13">
        <f t="shared" si="0"/>
        <v>12</v>
      </c>
    </row>
    <row r="14" spans="1:24">
      <c r="B14" s="38" t="str">
        <f t="shared" si="5"/>
        <v>21年 - 3月</v>
      </c>
      <c r="C14" s="36" t="s">
        <v>1416</v>
      </c>
      <c r="D14" s="9" t="s">
        <v>460</v>
      </c>
      <c r="E14" s="9" t="s">
        <v>459</v>
      </c>
      <c r="F14" s="12" t="e">
        <f>RTD("kgi.tw.der.pricertdserver.2014.1",,C14 &amp;":"&amp; D14&amp;"@" &amp; E14)</f>
        <v>#N/A</v>
      </c>
      <c r="G14" s="9" t="e">
        <f>RTD("kgi.tw.der.pricertdserver.2014.1",,C14 &amp; "_Time" &amp; ":" &amp; D14 &amp; "@" &amp; E14)</f>
        <v>#N/A</v>
      </c>
      <c r="H14" s="13" t="str">
        <f t="shared" si="6"/>
        <v>VXC1</v>
      </c>
      <c r="I14" s="13" t="str">
        <f t="shared" si="1"/>
        <v>VX</v>
      </c>
      <c r="J14" t="str">
        <f t="shared" si="2"/>
        <v>H</v>
      </c>
      <c r="K14" t="str">
        <f t="shared" si="3"/>
        <v>1</v>
      </c>
      <c r="L14" t="str">
        <f t="shared" si="4"/>
        <v>C</v>
      </c>
      <c r="M14">
        <f t="shared" si="7"/>
        <v>3</v>
      </c>
    </row>
    <row r="15" spans="1:24">
      <c r="B15" s="38" t="str">
        <f t="shared" si="5"/>
        <v>21年 - 4月</v>
      </c>
      <c r="C15" s="36" t="s">
        <v>1629</v>
      </c>
      <c r="D15" s="9" t="s">
        <v>460</v>
      </c>
      <c r="E15" s="9" t="s">
        <v>459</v>
      </c>
      <c r="F15" s="12" t="e">
        <f>RTD("kgi.tw.der.pricertdserver.2014.1",,C15 &amp;":"&amp; D15&amp;"@" &amp; E15)</f>
        <v>#N/A</v>
      </c>
      <c r="G15" s="9" t="e">
        <f>RTD("kgi.tw.der.pricertdserver.2014.1",,C15 &amp; "_Time" &amp; ":" &amp; D15 &amp; "@" &amp; E15)</f>
        <v>#N/A</v>
      </c>
      <c r="H15" s="13" t="str">
        <f t="shared" si="6"/>
        <v>VXD1</v>
      </c>
      <c r="I15" s="13" t="str">
        <f t="shared" si="1"/>
        <v>VX</v>
      </c>
      <c r="J15" t="str">
        <f t="shared" si="2"/>
        <v>J</v>
      </c>
      <c r="K15" t="str">
        <f t="shared" si="3"/>
        <v>1</v>
      </c>
      <c r="L15" t="str">
        <f t="shared" si="4"/>
        <v>D</v>
      </c>
      <c r="M15">
        <f t="shared" si="7"/>
        <v>4</v>
      </c>
    </row>
    <row r="16" spans="1:24">
      <c r="B16" s="38" t="str">
        <f t="shared" si="5"/>
        <v>21年 - 5月</v>
      </c>
      <c r="C16" s="36" t="s">
        <v>1785</v>
      </c>
      <c r="D16" s="9" t="s">
        <v>460</v>
      </c>
      <c r="E16" s="9" t="s">
        <v>459</v>
      </c>
      <c r="F16" s="12">
        <f>RTD("kgi.tw.der.pricertdserver.2014.1",,C16 &amp;":"&amp; D16&amp;"@" &amp; E16)</f>
        <v>21.8</v>
      </c>
      <c r="G16" s="9" t="str">
        <f>RTD("kgi.tw.der.pricertdserver.2014.1",,C16 &amp; "_Time" &amp; ":" &amp; D16 &amp; "@" &amp; E16)</f>
        <v>20210514_151459351</v>
      </c>
      <c r="H16" s="13" t="str">
        <f t="shared" si="6"/>
        <v>VXE1</v>
      </c>
      <c r="I16" s="13" t="str">
        <f t="shared" si="1"/>
        <v>VX</v>
      </c>
      <c r="J16" t="str">
        <f t="shared" si="2"/>
        <v>K</v>
      </c>
      <c r="K16" t="str">
        <f t="shared" si="3"/>
        <v>1</v>
      </c>
      <c r="L16" t="str">
        <f t="shared" si="4"/>
        <v>E</v>
      </c>
      <c r="M16">
        <f t="shared" si="7"/>
        <v>5</v>
      </c>
    </row>
    <row r="17" spans="1:13">
      <c r="A17" t="s">
        <v>476</v>
      </c>
      <c r="B17" s="38" t="str">
        <f t="shared" si="5"/>
        <v>21年 - 7月</v>
      </c>
      <c r="C17" s="14" t="s">
        <v>1834</v>
      </c>
      <c r="D17" s="9" t="s">
        <v>461</v>
      </c>
      <c r="E17" s="9" t="s">
        <v>459</v>
      </c>
      <c r="F17" s="12">
        <f>RTD("kgi.tw.der.pricertdserver.2014.1",,C17 &amp;":"&amp; D17&amp;"@" &amp; E17)</f>
        <v>63.88</v>
      </c>
      <c r="G17" s="9" t="str">
        <f>RTD("kgi.tw.der.pricertdserver.2014.1",,C17 &amp; "_Time" &amp; ":" &amp; D17 &amp; "@" &amp; E17)</f>
        <v>20210514_151459825</v>
      </c>
      <c r="H17" s="13" t="str">
        <f t="shared" si="6"/>
        <v>CLG1</v>
      </c>
      <c r="I17" s="13" t="str">
        <f t="shared" si="1"/>
        <v>CL</v>
      </c>
      <c r="J17" t="str">
        <f t="shared" si="2"/>
        <v>N</v>
      </c>
      <c r="K17" t="str">
        <f t="shared" si="3"/>
        <v>1</v>
      </c>
      <c r="L17" t="str">
        <f t="shared" si="4"/>
        <v>G</v>
      </c>
      <c r="M17">
        <f t="shared" si="7"/>
        <v>7</v>
      </c>
    </row>
    <row r="18" spans="1:13">
      <c r="B18" s="38" t="str">
        <f>RIGHT(C18,2)&amp;"年"&amp;" - "&amp;M18&amp;"月"</f>
        <v>21年 - 8月</v>
      </c>
      <c r="C18" s="14" t="s">
        <v>2529</v>
      </c>
      <c r="D18" s="9" t="s">
        <v>461</v>
      </c>
      <c r="E18" s="9" t="s">
        <v>459</v>
      </c>
      <c r="F18" s="12">
        <f>RTD("kgi.tw.der.pricertdserver.2014.1",,C18 &amp;":"&amp; D18&amp;"@" &amp; E18)</f>
        <v>63.73</v>
      </c>
      <c r="G18" s="9" t="str">
        <f>RTD("kgi.tw.der.pricertdserver.2014.1",,C18 &amp; "_Time" &amp; ":" &amp; D18 &amp; "@" &amp; E18)</f>
        <v>20210514_151459805</v>
      </c>
      <c r="H18" s="13" t="str">
        <f>I18&amp;L18&amp;K18</f>
        <v>CLH1</v>
      </c>
      <c r="I18" s="13" t="str">
        <f>IF(AND(D18="CBOT",LEFT(C18,2)="ZB"),"US",IF(AND(D18="ICE_EU",LEFT(C18,3)="BRN"),"LCOB",IF(AND(D18="SGX",LEFT(C18,2)="NK"),"SSI",IF(AND(D18="SGX",LEFT(C18,2)="CN"),"SCN",IF(AND(D18="SGX",LEFT(C18,2)="TW"),"STW",IF(LEFT(C18,5)="TOPIX","JTI",IF(RIGHT(LEFT(C18,3),1)="-",LEFT(C18,2),LEFT(C18,3))))))))</f>
        <v>CL</v>
      </c>
      <c r="J18" t="str">
        <f>LEFT(RIGHT(C18,3),1)</f>
        <v>Q</v>
      </c>
      <c r="K18" t="str">
        <f>RIGHT(C18,1)</f>
        <v>1</v>
      </c>
      <c r="L18" t="str">
        <f>VLOOKUP(J18,$V$1:$W$14,2,FALSE)</f>
        <v>H</v>
      </c>
      <c r="M18">
        <f>VLOOKUP($J18,$V$1:$X$13,3,FALSE)</f>
        <v>8</v>
      </c>
    </row>
    <row r="19" spans="1:13">
      <c r="B19" s="38" t="str">
        <f>RIGHT(C19,2)&amp;"年"&amp;" - "&amp;M19&amp;"月"</f>
        <v>21年 - 9月</v>
      </c>
      <c r="C19" s="14" t="s">
        <v>2531</v>
      </c>
      <c r="D19" s="9" t="s">
        <v>461</v>
      </c>
      <c r="E19" s="9" t="s">
        <v>459</v>
      </c>
      <c r="F19" s="12">
        <f>RTD("kgi.tw.der.pricertdserver.2014.1",,C19 &amp;":"&amp; D19&amp;"@" &amp; E19)</f>
        <v>63.42</v>
      </c>
      <c r="G19" s="9" t="str">
        <f>RTD("kgi.tw.der.pricertdserver.2014.1",,C19 &amp; "_Time" &amp; ":" &amp; D19 &amp; "@" &amp; E19)</f>
        <v>20210514_151459811</v>
      </c>
      <c r="H19" s="13" t="str">
        <f>I19&amp;L19&amp;K19</f>
        <v>CLI1</v>
      </c>
      <c r="I19" s="13" t="str">
        <f>IF(AND(D19="CBOT",LEFT(C19,2)="ZB"),"US",IF(AND(D19="ICE_EU",LEFT(C19,3)="BRN"),"LCOB",IF(AND(D19="SGX",LEFT(C19,2)="NK"),"SSI",IF(AND(D19="SGX",LEFT(C19,2)="CN"),"SCN",IF(AND(D19="SGX",LEFT(C19,2)="TW"),"STW",IF(LEFT(C19,5)="TOPIX","JTI",IF(RIGHT(LEFT(C19,3),1)="-",LEFT(C19,2),LEFT(C19,3))))))))</f>
        <v>CL</v>
      </c>
      <c r="J19" t="str">
        <f>LEFT(RIGHT(C19,3),1)</f>
        <v>U</v>
      </c>
      <c r="K19" t="str">
        <f>RIGHT(C19,1)</f>
        <v>1</v>
      </c>
      <c r="L19" t="str">
        <f>VLOOKUP(J19,$V$1:$W$14,2,FALSE)</f>
        <v>I</v>
      </c>
      <c r="M19">
        <f>VLOOKUP($J19,$V$1:$X$13,3,FALSE)</f>
        <v>9</v>
      </c>
    </row>
    <row r="20" spans="1:13">
      <c r="B20" s="38" t="str">
        <f t="shared" si="5"/>
        <v>21年 - 10月</v>
      </c>
      <c r="C20" s="14" t="s">
        <v>1835</v>
      </c>
      <c r="D20" s="9" t="s">
        <v>461</v>
      </c>
      <c r="E20" s="9" t="s">
        <v>459</v>
      </c>
      <c r="F20" s="12">
        <f>RTD("kgi.tw.der.pricertdserver.2014.1",,C20 &amp;":"&amp; D20&amp;"@" &amp; E20)</f>
        <v>62.87</v>
      </c>
      <c r="G20" s="9" t="str">
        <f>RTD("kgi.tw.der.pricertdserver.2014.1",,C20 &amp; "_Time" &amp; ":" &amp; D20 &amp; "@" &amp; E20)</f>
        <v>20210514_151459805</v>
      </c>
      <c r="H20" s="13" t="str">
        <f t="shared" si="6"/>
        <v>CLJ1</v>
      </c>
      <c r="I20" s="13" t="str">
        <f t="shared" si="1"/>
        <v>CL</v>
      </c>
      <c r="J20" t="str">
        <f t="shared" si="2"/>
        <v>V</v>
      </c>
      <c r="K20" t="str">
        <f t="shared" si="3"/>
        <v>1</v>
      </c>
      <c r="L20" t="str">
        <f t="shared" si="4"/>
        <v>J</v>
      </c>
      <c r="M20">
        <f t="shared" si="7"/>
        <v>10</v>
      </c>
    </row>
    <row r="21" spans="1:13">
      <c r="B21" s="38" t="str">
        <f t="shared" si="5"/>
        <v>21年 - 11月</v>
      </c>
      <c r="C21" s="14" t="s">
        <v>1837</v>
      </c>
      <c r="D21" s="9" t="s">
        <v>461</v>
      </c>
      <c r="E21" s="9" t="s">
        <v>459</v>
      </c>
      <c r="F21" s="12">
        <f>RTD("kgi.tw.der.pricertdserver.2014.1",,C21 &amp;":"&amp; D21&amp;"@" &amp; E21)</f>
        <v>62.63</v>
      </c>
      <c r="G21" s="9" t="str">
        <f>RTD("kgi.tw.der.pricertdserver.2014.1",,C21 &amp; "_Time" &amp; ":" &amp; D21 &amp; "@" &amp; E21)</f>
        <v>20210514_151459815</v>
      </c>
      <c r="H21" s="13" t="str">
        <f t="shared" si="6"/>
        <v>CLK1</v>
      </c>
      <c r="I21" s="13" t="str">
        <f t="shared" si="1"/>
        <v>CL</v>
      </c>
      <c r="J21" t="str">
        <f t="shared" si="2"/>
        <v>X</v>
      </c>
      <c r="K21" t="str">
        <f t="shared" si="3"/>
        <v>1</v>
      </c>
      <c r="L21" t="str">
        <f t="shared" si="4"/>
        <v>K</v>
      </c>
      <c r="M21">
        <f t="shared" si="7"/>
        <v>11</v>
      </c>
    </row>
    <row r="22" spans="1:13">
      <c r="B22" s="38" t="str">
        <f t="shared" si="5"/>
        <v>21年 - 12月</v>
      </c>
      <c r="C22" s="14" t="s">
        <v>1839</v>
      </c>
      <c r="D22" s="9" t="s">
        <v>461</v>
      </c>
      <c r="E22" s="9" t="s">
        <v>459</v>
      </c>
      <c r="F22" s="12">
        <f>RTD("kgi.tw.der.pricertdserver.2014.1",,C22 &amp;":"&amp; D22&amp;"@" &amp; E22)</f>
        <v>62.31</v>
      </c>
      <c r="G22" s="9" t="str">
        <f>RTD("kgi.tw.der.pricertdserver.2014.1",,C22 &amp; "_Time" &amp; ":" &amp; D22 &amp; "@" &amp; E22)</f>
        <v>20210514_151459805</v>
      </c>
      <c r="H22" s="13" t="str">
        <f t="shared" si="6"/>
        <v>CLL1</v>
      </c>
      <c r="I22" s="13" t="str">
        <f t="shared" si="1"/>
        <v>CL</v>
      </c>
      <c r="J22" t="str">
        <f t="shared" si="2"/>
        <v>Z</v>
      </c>
      <c r="K22" t="str">
        <f t="shared" si="3"/>
        <v>1</v>
      </c>
      <c r="L22" t="str">
        <f t="shared" si="4"/>
        <v>L</v>
      </c>
      <c r="M22">
        <f t="shared" si="7"/>
        <v>12</v>
      </c>
    </row>
    <row r="23" spans="1:13">
      <c r="B23" s="38" t="str">
        <f t="shared" si="5"/>
        <v>21年 - 3月</v>
      </c>
      <c r="C23" s="14" t="s">
        <v>1372</v>
      </c>
      <c r="D23" s="9" t="s">
        <v>461</v>
      </c>
      <c r="E23" s="9" t="s">
        <v>459</v>
      </c>
      <c r="F23" s="12" t="e">
        <f>RTD("kgi.tw.der.pricertdserver.2014.1",,C23 &amp;":"&amp; D23&amp;"@" &amp; E23)</f>
        <v>#N/A</v>
      </c>
      <c r="G23" s="9" t="e">
        <f>RTD("kgi.tw.der.pricertdserver.2014.1",,C23 &amp; "_Time" &amp; ":" &amp; D23 &amp; "@" &amp; E23)</f>
        <v>#N/A</v>
      </c>
      <c r="H23" s="13" t="str">
        <f t="shared" si="6"/>
        <v>CLC1</v>
      </c>
      <c r="I23" s="13" t="str">
        <f t="shared" si="1"/>
        <v>CL</v>
      </c>
      <c r="J23" t="str">
        <f t="shared" si="2"/>
        <v>H</v>
      </c>
      <c r="K23" t="str">
        <f t="shared" si="3"/>
        <v>1</v>
      </c>
      <c r="L23" t="str">
        <f t="shared" si="4"/>
        <v>C</v>
      </c>
      <c r="M23">
        <f t="shared" si="7"/>
        <v>3</v>
      </c>
    </row>
    <row r="24" spans="1:13">
      <c r="B24" s="38" t="str">
        <f t="shared" si="5"/>
        <v>21年 - 4月</v>
      </c>
      <c r="C24" s="14" t="s">
        <v>1374</v>
      </c>
      <c r="D24" s="9" t="s">
        <v>461</v>
      </c>
      <c r="E24" s="9" t="s">
        <v>459</v>
      </c>
      <c r="F24" s="12" t="e">
        <f>RTD("kgi.tw.der.pricertdserver.2014.1",,C24 &amp;":"&amp; D24&amp;"@" &amp; E24)</f>
        <v>#N/A</v>
      </c>
      <c r="G24" s="9" t="e">
        <f>RTD("kgi.tw.der.pricertdserver.2014.1",,C24 &amp; "_Time" &amp; ":" &amp; D24 &amp; "@" &amp; E24)</f>
        <v>#N/A</v>
      </c>
      <c r="H24" s="13" t="str">
        <f t="shared" si="6"/>
        <v>CLD1</v>
      </c>
      <c r="I24" s="13" t="str">
        <f t="shared" si="1"/>
        <v>CL</v>
      </c>
      <c r="J24" t="str">
        <f t="shared" si="2"/>
        <v>J</v>
      </c>
      <c r="K24" t="str">
        <f t="shared" si="3"/>
        <v>1</v>
      </c>
      <c r="L24" t="str">
        <f t="shared" si="4"/>
        <v>D</v>
      </c>
      <c r="M24">
        <f t="shared" si="7"/>
        <v>4</v>
      </c>
    </row>
    <row r="25" spans="1:13">
      <c r="B25" s="38" t="str">
        <f t="shared" si="5"/>
        <v>21年 - 5月</v>
      </c>
      <c r="C25" s="14" t="s">
        <v>1630</v>
      </c>
      <c r="D25" s="9" t="s">
        <v>461</v>
      </c>
      <c r="E25" s="9" t="s">
        <v>459</v>
      </c>
      <c r="F25" s="12" t="e">
        <f>RTD("kgi.tw.der.pricertdserver.2014.1",,C25 &amp;":"&amp; D25&amp;"@" &amp; E25)</f>
        <v>#N/A</v>
      </c>
      <c r="G25" s="9" t="e">
        <f>RTD("kgi.tw.der.pricertdserver.2014.1",,C25 &amp; "_Time" &amp; ":" &amp; D25 &amp; "@" &amp; E25)</f>
        <v>#N/A</v>
      </c>
      <c r="H25" s="13" t="str">
        <f t="shared" si="6"/>
        <v>CLE1</v>
      </c>
      <c r="I25" s="13" t="str">
        <f t="shared" si="1"/>
        <v>CL</v>
      </c>
      <c r="J25" t="str">
        <f t="shared" si="2"/>
        <v>K</v>
      </c>
      <c r="K25" t="str">
        <f t="shared" si="3"/>
        <v>1</v>
      </c>
      <c r="L25" t="str">
        <f t="shared" si="4"/>
        <v>E</v>
      </c>
      <c r="M25">
        <f t="shared" si="7"/>
        <v>5</v>
      </c>
    </row>
    <row r="26" spans="1:13">
      <c r="B26" s="38" t="str">
        <f t="shared" si="5"/>
        <v>21年 - 6月</v>
      </c>
      <c r="C26" s="14" t="s">
        <v>1631</v>
      </c>
      <c r="D26" s="9" t="s">
        <v>461</v>
      </c>
      <c r="E26" s="9" t="s">
        <v>459</v>
      </c>
      <c r="F26" s="12">
        <f>RTD("kgi.tw.der.pricertdserver.2014.1",,C26 &amp;":"&amp; D26&amp;"@" &amp; E26)</f>
        <v>63.87</v>
      </c>
      <c r="G26" s="9" t="str">
        <f>RTD("kgi.tw.der.pricertdserver.2014.1",,C26 &amp; "_Time" &amp; ":" &amp; D26 &amp; "@" &amp; E26)</f>
        <v>20210514_151459801</v>
      </c>
      <c r="H26" s="13" t="str">
        <f t="shared" si="6"/>
        <v>CLF1</v>
      </c>
      <c r="I26" s="13" t="str">
        <f t="shared" si="1"/>
        <v>CL</v>
      </c>
      <c r="J26" t="str">
        <f t="shared" si="2"/>
        <v>M</v>
      </c>
      <c r="K26" t="str">
        <f t="shared" si="3"/>
        <v>1</v>
      </c>
      <c r="L26" t="str">
        <f t="shared" si="4"/>
        <v>F</v>
      </c>
      <c r="M26">
        <f t="shared" si="7"/>
        <v>6</v>
      </c>
    </row>
    <row r="27" spans="1:13">
      <c r="A27" t="s">
        <v>477</v>
      </c>
      <c r="B27" s="38" t="str">
        <f t="shared" si="5"/>
        <v>21年 - 12月</v>
      </c>
      <c r="C27" s="14" t="s">
        <v>2415</v>
      </c>
      <c r="D27" s="9" t="s">
        <v>473</v>
      </c>
      <c r="E27" s="9" t="s">
        <v>459</v>
      </c>
      <c r="F27" s="12">
        <f>RTD("kgi.tw.der.pricertdserver.2014.1",,C27 &amp;":"&amp; D27&amp;"@" &amp; E27)</f>
        <v>4099.75</v>
      </c>
      <c r="G27" s="9" t="str">
        <f>RTD("kgi.tw.der.pricertdserver.2014.1",,C27 &amp; "_Time" &amp; ":" &amp; D27 &amp; "@" &amp; E27)</f>
        <v>20210514_151459554</v>
      </c>
      <c r="H27" s="13" t="str">
        <f t="shared" si="6"/>
        <v>ESL1</v>
      </c>
      <c r="I27" s="13" t="str">
        <f t="shared" si="1"/>
        <v>ES</v>
      </c>
      <c r="J27" t="str">
        <f t="shared" si="2"/>
        <v>Z</v>
      </c>
      <c r="K27" t="str">
        <f t="shared" si="3"/>
        <v>1</v>
      </c>
      <c r="L27" t="str">
        <f t="shared" si="4"/>
        <v>L</v>
      </c>
      <c r="M27">
        <f t="shared" si="7"/>
        <v>12</v>
      </c>
    </row>
    <row r="28" spans="1:13">
      <c r="B28" s="38" t="str">
        <f t="shared" si="5"/>
        <v>21年 - 3月</v>
      </c>
      <c r="C28" s="14" t="s">
        <v>1376</v>
      </c>
      <c r="D28" s="9" t="s">
        <v>473</v>
      </c>
      <c r="E28" s="9" t="s">
        <v>459</v>
      </c>
      <c r="F28" s="12" t="e">
        <f>RTD("kgi.tw.der.pricertdserver.2014.1",,C28 &amp;":"&amp; D28&amp;"@" &amp; E28)</f>
        <v>#N/A</v>
      </c>
      <c r="G28" s="9" t="e">
        <f>RTD("kgi.tw.der.pricertdserver.2014.1",,C28 &amp; "_Time" &amp; ":" &amp; D28 &amp; "@" &amp; E28)</f>
        <v>#N/A</v>
      </c>
      <c r="H28" s="13" t="str">
        <f t="shared" si="6"/>
        <v>ESC1</v>
      </c>
      <c r="I28" s="13" t="str">
        <f t="shared" si="1"/>
        <v>ES</v>
      </c>
      <c r="J28" t="str">
        <f t="shared" si="2"/>
        <v>H</v>
      </c>
      <c r="K28" t="str">
        <f t="shared" si="3"/>
        <v>1</v>
      </c>
      <c r="L28" t="str">
        <f t="shared" si="4"/>
        <v>C</v>
      </c>
      <c r="M28">
        <f t="shared" si="7"/>
        <v>3</v>
      </c>
    </row>
    <row r="29" spans="1:13">
      <c r="B29" s="38" t="str">
        <f t="shared" si="5"/>
        <v>21年 - 6月</v>
      </c>
      <c r="C29" s="14" t="s">
        <v>1400</v>
      </c>
      <c r="D29" s="9" t="s">
        <v>473</v>
      </c>
      <c r="E29" s="9" t="s">
        <v>459</v>
      </c>
      <c r="F29" s="12">
        <f>RTD("kgi.tw.der.pricertdserver.2014.1",,C29 &amp;":"&amp; D29&amp;"@" &amp; E29)</f>
        <v>4130</v>
      </c>
      <c r="G29" s="9" t="str">
        <f>RTD("kgi.tw.der.pricertdserver.2014.1",,C29 &amp; "_Time" &amp; ":" &amp; D29 &amp; "@" &amp; E29)</f>
        <v>20210514_151459464</v>
      </c>
      <c r="H29" s="13" t="str">
        <f>I29&amp;L29&amp;K29</f>
        <v>ESF1</v>
      </c>
      <c r="I29" s="13" t="str">
        <f>IF(AND(D29="CBOT",LEFT(C29,2)="ZB"),"US",IF(AND(D29="ICE_EU",LEFT(C29,3)="BRN"),"LCOB",IF(AND(D29="SGX",LEFT(C29,2)="NK"),"SSI",IF(AND(D29="SGX",LEFT(C29,2)="CN"),"SCN",IF(AND(D29="SGX",LEFT(C29,2)="TW"),"STW",IF(LEFT(C29,5)="TOPIX","JTI",IF(RIGHT(LEFT(C29,3),1)="-",LEFT(C29,2),LEFT(C29,3))))))))</f>
        <v>ES</v>
      </c>
      <c r="J29" t="str">
        <f>LEFT(RIGHT(C29,3),1)</f>
        <v>M</v>
      </c>
      <c r="K29" t="str">
        <f>RIGHT(C29,1)</f>
        <v>1</v>
      </c>
      <c r="L29" t="str">
        <f>VLOOKUP(J29,$V$1:$W$14,2,FALSE)</f>
        <v>F</v>
      </c>
      <c r="M29">
        <f t="shared" si="7"/>
        <v>6</v>
      </c>
    </row>
    <row r="30" spans="1:13">
      <c r="B30" s="38" t="str">
        <f t="shared" si="5"/>
        <v>21年 - 9月</v>
      </c>
      <c r="C30" s="14" t="s">
        <v>2533</v>
      </c>
      <c r="D30" s="9" t="s">
        <v>473</v>
      </c>
      <c r="E30" s="9" t="s">
        <v>459</v>
      </c>
      <c r="F30" s="12">
        <f>RTD("kgi.tw.der.pricertdserver.2014.1",,C30 &amp;":"&amp; D30&amp;"@" &amp; E30)</f>
        <v>4121</v>
      </c>
      <c r="G30" s="9" t="str">
        <f>RTD("kgi.tw.der.pricertdserver.2014.1",,C30 &amp; "_Time" &amp; ":" &amp; D30 &amp; "@" &amp; E30)</f>
        <v>20210514_151459229</v>
      </c>
      <c r="H30" s="13" t="str">
        <f>I30&amp;L30&amp;K30</f>
        <v>ESI1</v>
      </c>
      <c r="I30" s="13" t="str">
        <f>IF(AND(D30="CBOT",LEFT(C30,2)="ZB"),"US",IF(AND(D30="ICE_EU",LEFT(C30,3)="BRN"),"LCOB",IF(AND(D30="SGX",LEFT(C30,2)="NK"),"SSI",IF(AND(D30="SGX",LEFT(C30,2)="CN"),"SCN",IF(AND(D30="SGX",LEFT(C30,2)="TW"),"STW",IF(LEFT(C30,5)="TOPIX","JTI",IF(RIGHT(LEFT(C30,3),1)="-",LEFT(C30,2),LEFT(C30,3))))))))</f>
        <v>ES</v>
      </c>
      <c r="J30" t="str">
        <f>LEFT(RIGHT(C30,3),1)</f>
        <v>U</v>
      </c>
      <c r="K30" t="str">
        <f>RIGHT(C30,1)</f>
        <v>1</v>
      </c>
      <c r="L30" t="str">
        <f>VLOOKUP(J30,$V$1:$W$14,2,FALSE)</f>
        <v>I</v>
      </c>
      <c r="M30">
        <f t="shared" si="7"/>
        <v>9</v>
      </c>
    </row>
    <row r="31" spans="1:13">
      <c r="A31" t="s">
        <v>479</v>
      </c>
      <c r="B31" s="38" t="str">
        <f t="shared" si="5"/>
        <v>21年 - 12月</v>
      </c>
      <c r="C31" s="14" t="s">
        <v>2417</v>
      </c>
      <c r="D31" s="9" t="s">
        <v>473</v>
      </c>
      <c r="E31" s="9" t="s">
        <v>459</v>
      </c>
      <c r="F31" s="12">
        <f>RTD("kgi.tw.der.pricertdserver.2014.1",,C31 &amp;":"&amp; D31&amp;"@" &amp; E31)</f>
        <v>0</v>
      </c>
      <c r="G31" s="9" t="str">
        <f>RTD("kgi.tw.der.pricertdserver.2014.1",,C31 &amp; "_Time" &amp; ":" &amp; D31 &amp; "@" &amp; E31)</f>
        <v>20210514_151458851</v>
      </c>
      <c r="H31" s="13" t="str">
        <f t="shared" si="6"/>
        <v>NQL1</v>
      </c>
      <c r="I31" s="13" t="str">
        <f t="shared" si="1"/>
        <v>NQ</v>
      </c>
      <c r="J31" t="str">
        <f t="shared" si="2"/>
        <v>Z</v>
      </c>
      <c r="K31" t="str">
        <f t="shared" si="3"/>
        <v>1</v>
      </c>
      <c r="L31" t="str">
        <f t="shared" si="4"/>
        <v>L</v>
      </c>
      <c r="M31">
        <f t="shared" si="7"/>
        <v>12</v>
      </c>
    </row>
    <row r="32" spans="1:13">
      <c r="B32" s="38" t="str">
        <f t="shared" si="5"/>
        <v>21年 - 3月</v>
      </c>
      <c r="C32" s="14" t="s">
        <v>1378</v>
      </c>
      <c r="D32" s="9" t="s">
        <v>473</v>
      </c>
      <c r="E32" s="9" t="s">
        <v>459</v>
      </c>
      <c r="F32" s="12" t="e">
        <f>RTD("kgi.tw.der.pricertdserver.2014.1",,C32 &amp;":"&amp; D32&amp;"@" &amp; E32)</f>
        <v>#N/A</v>
      </c>
      <c r="G32" s="9" t="e">
        <f>RTD("kgi.tw.der.pricertdserver.2014.1",,C32 &amp; "_Time" &amp; ":" &amp; D32 &amp; "@" &amp; E32)</f>
        <v>#N/A</v>
      </c>
      <c r="H32" s="13" t="str">
        <f t="shared" si="6"/>
        <v>NQC1</v>
      </c>
      <c r="I32" s="13" t="str">
        <f t="shared" si="1"/>
        <v>NQ</v>
      </c>
      <c r="J32" t="str">
        <f t="shared" si="2"/>
        <v>H</v>
      </c>
      <c r="K32" t="str">
        <f t="shared" si="3"/>
        <v>1</v>
      </c>
      <c r="L32" t="str">
        <f t="shared" si="4"/>
        <v>C</v>
      </c>
      <c r="M32">
        <f t="shared" si="7"/>
        <v>3</v>
      </c>
    </row>
    <row r="33" spans="1:13">
      <c r="B33" s="38" t="str">
        <f t="shared" si="5"/>
        <v>21年 - 6月</v>
      </c>
      <c r="C33" s="14" t="s">
        <v>1402</v>
      </c>
      <c r="D33" s="9" t="s">
        <v>473</v>
      </c>
      <c r="E33" s="9" t="s">
        <v>459</v>
      </c>
      <c r="F33" s="12">
        <f>RTD("kgi.tw.der.pricertdserver.2014.1",,C33 &amp;":"&amp; D33&amp;"@" &amp; E33)</f>
        <v>13197.75</v>
      </c>
      <c r="G33" s="9" t="str">
        <f>RTD("kgi.tw.der.pricertdserver.2014.1",,C33 &amp; "_Time" &amp; ":" &amp; D33 &amp; "@" &amp; E33)</f>
        <v>20210514_151459601</v>
      </c>
      <c r="H33" s="13" t="str">
        <f>I33&amp;L33&amp;K33</f>
        <v>NQF1</v>
      </c>
      <c r="I33" s="13" t="str">
        <f>IF(AND(D33="CBOT",LEFT(C33,2)="ZB"),"US",IF(AND(D33="ICE_EU",LEFT(C33,3)="BRN"),"LCOB",IF(AND(D33="SGX",LEFT(C33,2)="NK"),"SSI",IF(AND(D33="SGX",LEFT(C33,2)="CN"),"SCN",IF(AND(D33="SGX",LEFT(C33,2)="TW"),"STW",IF(LEFT(C33,5)="TOPIX","JTI",IF(RIGHT(LEFT(C33,3),1)="-",LEFT(C33,2),LEFT(C33,3))))))))</f>
        <v>NQ</v>
      </c>
      <c r="J33" t="str">
        <f>LEFT(RIGHT(C33,3),1)</f>
        <v>M</v>
      </c>
      <c r="K33" t="str">
        <f>RIGHT(C33,1)</f>
        <v>1</v>
      </c>
      <c r="L33" t="str">
        <f>VLOOKUP(J33,$V$1:$W$14,2,FALSE)</f>
        <v>F</v>
      </c>
      <c r="M33">
        <f t="shared" si="7"/>
        <v>6</v>
      </c>
    </row>
    <row r="34" spans="1:13">
      <c r="B34" s="38" t="str">
        <f t="shared" si="5"/>
        <v>21年 - 9月</v>
      </c>
      <c r="C34" s="14" t="s">
        <v>2535</v>
      </c>
      <c r="D34" s="9" t="s">
        <v>473</v>
      </c>
      <c r="E34" s="9" t="s">
        <v>459</v>
      </c>
      <c r="F34" s="12">
        <f>RTD("kgi.tw.der.pricertdserver.2014.1",,C34 &amp;":"&amp; D34&amp;"@" &amp; E34)</f>
        <v>13200.5</v>
      </c>
      <c r="G34" s="9" t="str">
        <f>RTD("kgi.tw.der.pricertdserver.2014.1",,C34 &amp; "_Time" &amp; ":" &amp; D34 &amp; "@" &amp; E34)</f>
        <v>20210514_151459351</v>
      </c>
      <c r="H34" s="13" t="str">
        <f>I34&amp;L34&amp;K34</f>
        <v>NQI1</v>
      </c>
      <c r="I34" s="13" t="str">
        <f>IF(AND(D34="CBOT",LEFT(C34,2)="ZB"),"US",IF(AND(D34="ICE_EU",LEFT(C34,3)="BRN"),"LCOB",IF(AND(D34="SGX",LEFT(C34,2)="NK"),"SSI",IF(AND(D34="SGX",LEFT(C34,2)="CN"),"SCN",IF(AND(D34="SGX",LEFT(C34,2)="TW"),"STW",IF(LEFT(C34,5)="TOPIX","JTI",IF(RIGHT(LEFT(C34,3),1)="-",LEFT(C34,2),LEFT(C34,3))))))))</f>
        <v>NQ</v>
      </c>
      <c r="J34" t="str">
        <f>LEFT(RIGHT(C34,3),1)</f>
        <v>U</v>
      </c>
      <c r="K34" t="str">
        <f>RIGHT(C34,1)</f>
        <v>1</v>
      </c>
      <c r="L34" t="str">
        <f>VLOOKUP(J34,$V$1:$W$14,2,FALSE)</f>
        <v>I</v>
      </c>
      <c r="M34">
        <f t="shared" si="7"/>
        <v>9</v>
      </c>
    </row>
    <row r="35" spans="1:13">
      <c r="A35" t="s">
        <v>480</v>
      </c>
      <c r="B35" s="38" t="str">
        <f t="shared" si="5"/>
        <v>21年 - 12月</v>
      </c>
      <c r="C35" s="14" t="s">
        <v>2419</v>
      </c>
      <c r="D35" s="9" t="s">
        <v>478</v>
      </c>
      <c r="E35" s="9" t="s">
        <v>459</v>
      </c>
      <c r="F35" s="12">
        <f>RTD("kgi.tw.der.pricertdserver.2014.1",,C35 &amp;":"&amp; D35&amp;"@" &amp; E35)</f>
        <v>-7.9228162514264338E+28</v>
      </c>
      <c r="G35" s="9" t="str">
        <f>RTD("kgi.tw.der.pricertdserver.2014.1",,C35 &amp; "_Time" &amp; ":" &amp; D35 &amp; "@" &amp; E35)</f>
        <v>20210514_151458558</v>
      </c>
      <c r="H35" s="13" t="str">
        <f t="shared" si="6"/>
        <v>YML1</v>
      </c>
      <c r="I35" s="13" t="str">
        <f t="shared" si="1"/>
        <v>YM</v>
      </c>
      <c r="J35" t="str">
        <f t="shared" si="2"/>
        <v>Z</v>
      </c>
      <c r="K35" t="str">
        <f t="shared" si="3"/>
        <v>1</v>
      </c>
      <c r="L35" t="str">
        <f t="shared" si="4"/>
        <v>L</v>
      </c>
      <c r="M35">
        <f t="shared" si="7"/>
        <v>12</v>
      </c>
    </row>
    <row r="36" spans="1:13">
      <c r="B36" s="38" t="str">
        <f t="shared" si="5"/>
        <v>21年 - 3月</v>
      </c>
      <c r="C36" s="14" t="s">
        <v>1380</v>
      </c>
      <c r="D36" s="9" t="s">
        <v>478</v>
      </c>
      <c r="E36" s="9" t="s">
        <v>459</v>
      </c>
      <c r="F36" s="12" t="e">
        <f>RTD("kgi.tw.der.pricertdserver.2014.1",,C36 &amp;":"&amp; D36&amp;"@" &amp; E36)</f>
        <v>#N/A</v>
      </c>
      <c r="G36" s="9" t="e">
        <f>RTD("kgi.tw.der.pricertdserver.2014.1",,C36 &amp; "_Time" &amp; ":" &amp; D36 &amp; "@" &amp; E36)</f>
        <v>#N/A</v>
      </c>
      <c r="H36" s="13" t="str">
        <f t="shared" si="6"/>
        <v>YMC1</v>
      </c>
      <c r="I36" s="13" t="str">
        <f t="shared" si="1"/>
        <v>YM</v>
      </c>
      <c r="J36" t="str">
        <f t="shared" si="2"/>
        <v>H</v>
      </c>
      <c r="K36" t="str">
        <f t="shared" si="3"/>
        <v>1</v>
      </c>
      <c r="L36" t="str">
        <f t="shared" si="4"/>
        <v>C</v>
      </c>
      <c r="M36">
        <f t="shared" si="7"/>
        <v>3</v>
      </c>
    </row>
    <row r="37" spans="1:13">
      <c r="B37" s="38" t="str">
        <f t="shared" si="5"/>
        <v>21年 - 6月</v>
      </c>
      <c r="C37" s="14" t="s">
        <v>1404</v>
      </c>
      <c r="D37" s="9" t="s">
        <v>478</v>
      </c>
      <c r="E37" s="9" t="s">
        <v>459</v>
      </c>
      <c r="F37" s="12">
        <f>RTD("kgi.tw.der.pricertdserver.2014.1",,C37 &amp;":"&amp; D37&amp;"@" &amp; E37)</f>
        <v>34107</v>
      </c>
      <c r="G37" s="9" t="str">
        <f>RTD("kgi.tw.der.pricertdserver.2014.1",,C37 &amp; "_Time" &amp; ":" &amp; D37 &amp; "@" &amp; E37)</f>
        <v>20210514_151459409</v>
      </c>
      <c r="H37" s="13" t="str">
        <f>I37&amp;L37&amp;K37</f>
        <v>YMF1</v>
      </c>
      <c r="I37" s="13" t="str">
        <f>IF(AND(D37="CBOT",LEFT(C37,2)="ZB"),"US",IF(AND(D37="ICE_EU",LEFT(C37,3)="BRN"),"LCOB",IF(AND(D37="SGX",LEFT(C37,2)="NK"),"SSI",IF(AND(D37="SGX",LEFT(C37,2)="CN"),"SCN",IF(AND(D37="SGX",LEFT(C37,2)="TW"),"STW",IF(LEFT(C37,5)="TOPIX","JTI",IF(RIGHT(LEFT(C37,3),1)="-",LEFT(C37,2),LEFT(C37,3))))))))</f>
        <v>YM</v>
      </c>
      <c r="J37" t="str">
        <f>LEFT(RIGHT(C37,3),1)</f>
        <v>M</v>
      </c>
      <c r="K37" t="str">
        <f>RIGHT(C37,1)</f>
        <v>1</v>
      </c>
      <c r="L37" t="str">
        <f>VLOOKUP(J37,$V$1:$W$14,2,FALSE)</f>
        <v>F</v>
      </c>
      <c r="M37">
        <f t="shared" si="7"/>
        <v>6</v>
      </c>
    </row>
    <row r="38" spans="1:13">
      <c r="B38" s="38" t="str">
        <f t="shared" si="5"/>
        <v>21年 - 9月</v>
      </c>
      <c r="C38" s="14" t="s">
        <v>2537</v>
      </c>
      <c r="D38" s="9" t="s">
        <v>478</v>
      </c>
      <c r="E38" s="9" t="s">
        <v>459</v>
      </c>
      <c r="F38" s="12">
        <f>RTD("kgi.tw.der.pricertdserver.2014.1",,C38 &amp;":"&amp; D38&amp;"@" &amp; E38)</f>
        <v>34000</v>
      </c>
      <c r="G38" s="9" t="str">
        <f>RTD("kgi.tw.der.pricertdserver.2014.1",,C38 &amp; "_Time" &amp; ":" &amp; D38 &amp; "@" &amp; E38)</f>
        <v>20210514_151459689</v>
      </c>
      <c r="H38" s="13" t="str">
        <f>I38&amp;L38&amp;K38</f>
        <v>YMI1</v>
      </c>
      <c r="I38" s="13" t="str">
        <f>IF(AND(D38="CBOT",LEFT(C38,2)="ZB"),"US",IF(AND(D38="ICE_EU",LEFT(C38,3)="BRN"),"LCOB",IF(AND(D38="SGX",LEFT(C38,2)="NK"),"SSI",IF(AND(D38="SGX",LEFT(C38,2)="CN"),"SCN",IF(AND(D38="SGX",LEFT(C38,2)="TW"),"STW",IF(LEFT(C38,5)="TOPIX","JTI",IF(RIGHT(LEFT(C38,3),1)="-",LEFT(C38,2),LEFT(C38,3))))))))</f>
        <v>YM</v>
      </c>
      <c r="J38" t="str">
        <f>LEFT(RIGHT(C38,3),1)</f>
        <v>U</v>
      </c>
      <c r="K38" t="str">
        <f>RIGHT(C38,1)</f>
        <v>1</v>
      </c>
      <c r="L38" t="str">
        <f>VLOOKUP(J38,$V$1:$W$14,2,FALSE)</f>
        <v>I</v>
      </c>
      <c r="M38">
        <f t="shared" si="7"/>
        <v>9</v>
      </c>
    </row>
    <row r="39" spans="1:13">
      <c r="A39" t="s">
        <v>481</v>
      </c>
      <c r="B39" s="38" t="str">
        <f t="shared" si="5"/>
        <v>21年 - 7月</v>
      </c>
      <c r="C39" s="14" t="s">
        <v>2673</v>
      </c>
      <c r="D39" s="9" t="s">
        <v>482</v>
      </c>
      <c r="E39" s="9" t="s">
        <v>459</v>
      </c>
      <c r="F39" s="12" t="e">
        <f>RTD("kgi.tw.der.pricertdserver.2014.1",,C39 &amp;":"&amp; D39&amp;"@" &amp; E39)</f>
        <v>#N/A</v>
      </c>
      <c r="G39" s="9" t="e">
        <f>RTD("kgi.tw.der.pricertdserver.2014.1",,C39 &amp; "_Time" &amp; ":" &amp; D39 &amp; "@" &amp; E39)</f>
        <v>#N/A</v>
      </c>
      <c r="H39" s="13" t="str">
        <f t="shared" si="6"/>
        <v>HSIG1</v>
      </c>
      <c r="I39" s="13" t="str">
        <f t="shared" si="1"/>
        <v>HSI</v>
      </c>
      <c r="J39" t="str">
        <f t="shared" si="2"/>
        <v>N</v>
      </c>
      <c r="K39" t="str">
        <f t="shared" si="3"/>
        <v>1</v>
      </c>
      <c r="L39" t="str">
        <f t="shared" si="4"/>
        <v>G</v>
      </c>
      <c r="M39">
        <f t="shared" si="7"/>
        <v>7</v>
      </c>
    </row>
    <row r="40" spans="1:13">
      <c r="B40" s="38" t="str">
        <f t="shared" si="5"/>
        <v>21年 - 8月</v>
      </c>
      <c r="C40" s="14" t="s">
        <v>2675</v>
      </c>
      <c r="D40" s="9" t="s">
        <v>482</v>
      </c>
      <c r="E40" s="9" t="s">
        <v>459</v>
      </c>
      <c r="F40" s="12" t="e">
        <f>RTD("kgi.tw.der.pricertdserver.2014.1",,C40 &amp;":"&amp; D40&amp;"@" &amp; E40)</f>
        <v>#N/A</v>
      </c>
      <c r="G40" s="9" t="e">
        <f>RTD("kgi.tw.der.pricertdserver.2014.1",,C40 &amp; "_Time" &amp; ":" &amp; D40 &amp; "@" &amp; E40)</f>
        <v>#N/A</v>
      </c>
      <c r="H40" s="13" t="str">
        <f>I40&amp;L40&amp;K40</f>
        <v>HSIH1</v>
      </c>
      <c r="I40" s="13" t="str">
        <f>IF(AND(D40="CBOT",LEFT(C40,2)="ZB"),"US",IF(AND(D40="ICE_EU",LEFT(C40,3)="BRN"),"LCOB",IF(AND(D40="SGX",LEFT(C40,2)="NK"),"SSI",IF(AND(D40="SGX",LEFT(C40,2)="CN"),"SCN",IF(AND(D40="SGX",LEFT(C40,2)="TW"),"STW",IF(LEFT(C40,5)="TOPIX","JTI",IF(RIGHT(LEFT(C40,3),1)="-",LEFT(C40,2),LEFT(C40,3))))))))</f>
        <v>HSI</v>
      </c>
      <c r="J40" t="str">
        <f>LEFT(RIGHT(C40,3),1)</f>
        <v>Q</v>
      </c>
      <c r="K40" t="str">
        <f>RIGHT(C40,1)</f>
        <v>1</v>
      </c>
      <c r="L40" t="str">
        <f>VLOOKUP(J40,$V$1:$W$14,2,FALSE)</f>
        <v>H</v>
      </c>
      <c r="M40">
        <f t="shared" si="7"/>
        <v>8</v>
      </c>
    </row>
    <row r="41" spans="1:13">
      <c r="B41" s="38" t="str">
        <f t="shared" si="5"/>
        <v>21年 - 5月</v>
      </c>
      <c r="C41" s="14" t="s">
        <v>2539</v>
      </c>
      <c r="D41" s="9" t="s">
        <v>482</v>
      </c>
      <c r="E41" s="9" t="s">
        <v>459</v>
      </c>
      <c r="F41" s="12">
        <f>RTD("kgi.tw.der.pricertdserver.2014.1",,C41 &amp;":"&amp; D41&amp;"@" &amp; E41)</f>
        <v>27893</v>
      </c>
      <c r="G41" s="9" t="str">
        <f>RTD("kgi.tw.der.pricertdserver.2014.1",,C41 &amp; "_Time" &amp; ":" &amp; D41 &amp; "@" &amp; E41)</f>
        <v>20210514_151459773</v>
      </c>
      <c r="H41" s="13" t="str">
        <f t="shared" si="6"/>
        <v>HSIE1</v>
      </c>
      <c r="I41" s="13" t="str">
        <f t="shared" si="1"/>
        <v>HSI</v>
      </c>
      <c r="J41" t="str">
        <f t="shared" si="2"/>
        <v>K</v>
      </c>
      <c r="K41" t="str">
        <f t="shared" si="3"/>
        <v>1</v>
      </c>
      <c r="L41" t="str">
        <f t="shared" si="4"/>
        <v>E</v>
      </c>
      <c r="M41">
        <f t="shared" si="7"/>
        <v>5</v>
      </c>
    </row>
    <row r="42" spans="1:13">
      <c r="B42" s="38" t="str">
        <f t="shared" si="5"/>
        <v>21年 - 6月</v>
      </c>
      <c r="C42" s="14" t="s">
        <v>2541</v>
      </c>
      <c r="D42" s="9" t="s">
        <v>482</v>
      </c>
      <c r="E42" s="9" t="s">
        <v>459</v>
      </c>
      <c r="F42" s="12">
        <f>RTD("kgi.tw.der.pricertdserver.2014.1",,C42 &amp;":"&amp; D42&amp;"@" &amp; E42)</f>
        <v>27748</v>
      </c>
      <c r="G42" s="9" t="str">
        <f>RTD("kgi.tw.der.pricertdserver.2014.1",,C42 &amp; "_Time" &amp; ":" &amp; D42 &amp; "@" &amp; E42)</f>
        <v>20210514_151459773</v>
      </c>
      <c r="H42" s="13" t="str">
        <f>I42&amp;L42&amp;K42</f>
        <v>HSIF1</v>
      </c>
      <c r="I42" s="13" t="str">
        <f>IF(AND(D42="CBOT",LEFT(C42,2)="ZB"),"US",IF(AND(D42="ICE_EU",LEFT(C42,3)="BRN"),"LCOB",IF(AND(D42="SGX",LEFT(C42,2)="NK"),"SSI",IF(AND(D42="SGX",LEFT(C42,2)="CN"),"SCN",IF(AND(D42="SGX",LEFT(C42,2)="TW"),"STW",IF(LEFT(C42,5)="TOPIX","JTI",IF(RIGHT(LEFT(C42,3),1)="-",LEFT(C42,2),LEFT(C42,3))))))))</f>
        <v>HSI</v>
      </c>
      <c r="J42" t="str">
        <f>LEFT(RIGHT(C42,3),1)</f>
        <v>M</v>
      </c>
      <c r="K42" t="str">
        <f>RIGHT(C42,1)</f>
        <v>1</v>
      </c>
      <c r="L42" t="str">
        <f>VLOOKUP(J42,$V$1:$W$14,2,FALSE)</f>
        <v>F</v>
      </c>
      <c r="M42">
        <f t="shared" si="7"/>
        <v>6</v>
      </c>
    </row>
    <row r="43" spans="1:13">
      <c r="A43" t="s">
        <v>483</v>
      </c>
      <c r="B43" s="38" t="str">
        <f t="shared" si="5"/>
        <v>21年 - 5月</v>
      </c>
      <c r="C43" s="14" t="s">
        <v>2543</v>
      </c>
      <c r="D43" s="9" t="s">
        <v>482</v>
      </c>
      <c r="E43" s="9" t="s">
        <v>459</v>
      </c>
      <c r="F43" s="12">
        <f>RTD("kgi.tw.der.pricertdserver.2014.1",,C43 &amp;":"&amp; D43&amp;"@" &amp; E43)</f>
        <v>27893</v>
      </c>
      <c r="G43" s="9" t="str">
        <f>RTD("kgi.tw.der.pricertdserver.2014.1",,C43 &amp; "_Time" &amp; ":" &amp; D43 &amp; "@" &amp; E43)</f>
        <v>20210514_151459773</v>
      </c>
      <c r="H43" s="13" t="str">
        <f t="shared" si="6"/>
        <v>MHIE1</v>
      </c>
      <c r="I43" s="13" t="str">
        <f t="shared" si="1"/>
        <v>MHI</v>
      </c>
      <c r="J43" t="str">
        <f t="shared" si="2"/>
        <v>K</v>
      </c>
      <c r="K43" t="str">
        <f t="shared" si="3"/>
        <v>1</v>
      </c>
      <c r="L43" t="str">
        <f t="shared" si="4"/>
        <v>E</v>
      </c>
      <c r="M43">
        <f t="shared" si="7"/>
        <v>5</v>
      </c>
    </row>
    <row r="44" spans="1:13">
      <c r="A44" t="s">
        <v>496</v>
      </c>
      <c r="B44" s="38" t="str">
        <f t="shared" si="5"/>
        <v>21年 - 6月</v>
      </c>
      <c r="C44" s="14" t="s">
        <v>2545</v>
      </c>
      <c r="D44" s="9" t="s">
        <v>482</v>
      </c>
      <c r="E44" s="9" t="s">
        <v>459</v>
      </c>
      <c r="F44" s="12">
        <f>RTD("kgi.tw.der.pricertdserver.2014.1",,C44 &amp;":"&amp; D44&amp;"@" &amp; E44)</f>
        <v>27742</v>
      </c>
      <c r="G44" s="9" t="str">
        <f>RTD("kgi.tw.der.pricertdserver.2014.1",,C44 &amp; "_Time" &amp; ":" &amp; D44 &amp; "@" &amp; E44)</f>
        <v>20210514_151459773</v>
      </c>
      <c r="H44" s="13" t="str">
        <f t="shared" si="6"/>
        <v>MHIF1</v>
      </c>
      <c r="I44" s="13" t="str">
        <f t="shared" si="1"/>
        <v>MHI</v>
      </c>
      <c r="J44" t="str">
        <f t="shared" si="2"/>
        <v>M</v>
      </c>
      <c r="K44" t="str">
        <f t="shared" si="3"/>
        <v>1</v>
      </c>
      <c r="L44" t="str">
        <f t="shared" si="4"/>
        <v>F</v>
      </c>
      <c r="M44">
        <f t="shared" si="7"/>
        <v>6</v>
      </c>
    </row>
    <row r="45" spans="1:13">
      <c r="B45" s="38" t="str">
        <f t="shared" si="5"/>
        <v>21年 - 3月</v>
      </c>
      <c r="C45" s="14" t="s">
        <v>2385</v>
      </c>
      <c r="D45" s="9" t="s">
        <v>482</v>
      </c>
      <c r="E45" s="9" t="s">
        <v>459</v>
      </c>
      <c r="F45" s="12" t="e">
        <f>RTD("kgi.tw.der.pricertdserver.2014.1",,C45 &amp;":"&amp; D45&amp;"@" &amp; E45)</f>
        <v>#N/A</v>
      </c>
      <c r="G45" s="9" t="e">
        <f>RTD("kgi.tw.der.pricertdserver.2014.1",,C45 &amp; "_Time" &amp; ":" &amp; D45 &amp; "@" &amp; E45)</f>
        <v>#N/A</v>
      </c>
      <c r="H45" s="13" t="str">
        <f t="shared" si="6"/>
        <v>MHIC1</v>
      </c>
      <c r="I45" s="13" t="str">
        <f t="shared" si="1"/>
        <v>MHI</v>
      </c>
      <c r="J45" t="str">
        <f t="shared" si="2"/>
        <v>H</v>
      </c>
      <c r="K45" t="str">
        <f t="shared" si="3"/>
        <v>1</v>
      </c>
      <c r="L45" t="str">
        <f t="shared" si="4"/>
        <v>C</v>
      </c>
      <c r="M45">
        <f t="shared" si="7"/>
        <v>3</v>
      </c>
    </row>
    <row r="46" spans="1:13">
      <c r="B46" s="38" t="str">
        <f t="shared" si="5"/>
        <v>21年 - 4月</v>
      </c>
      <c r="C46" s="14" t="s">
        <v>2387</v>
      </c>
      <c r="D46" s="9" t="s">
        <v>482</v>
      </c>
      <c r="E46" s="9" t="s">
        <v>459</v>
      </c>
      <c r="F46" s="12" t="e">
        <f>RTD("kgi.tw.der.pricertdserver.2014.1",,C46 &amp;":"&amp; D46&amp;"@" &amp; E46)</f>
        <v>#N/A</v>
      </c>
      <c r="G46" s="9" t="e">
        <f>RTD("kgi.tw.der.pricertdserver.2014.1",,C46 &amp; "_Time" &amp; ":" &amp; D46 &amp; "@" &amp; E46)</f>
        <v>#N/A</v>
      </c>
      <c r="H46" s="13" t="str">
        <f t="shared" si="6"/>
        <v>MHID1</v>
      </c>
      <c r="I46" s="13" t="str">
        <f t="shared" si="1"/>
        <v>MHI</v>
      </c>
      <c r="J46" t="str">
        <f t="shared" si="2"/>
        <v>J</v>
      </c>
      <c r="K46" t="str">
        <f t="shared" si="3"/>
        <v>1</v>
      </c>
      <c r="L46" t="str">
        <f t="shared" si="4"/>
        <v>D</v>
      </c>
      <c r="M46">
        <f t="shared" si="7"/>
        <v>4</v>
      </c>
    </row>
    <row r="47" spans="1:13">
      <c r="A47" t="s">
        <v>484</v>
      </c>
      <c r="B47" s="38" t="str">
        <f t="shared" si="5"/>
        <v>21年 - 5月</v>
      </c>
      <c r="C47" s="11" t="s">
        <v>2547</v>
      </c>
      <c r="D47" s="9" t="s">
        <v>485</v>
      </c>
      <c r="E47" s="9" t="s">
        <v>459</v>
      </c>
      <c r="F47" s="12">
        <f>RTD("kgi.tw.der.pricertdserver.2014.1",,C47 &amp;":"&amp; D47&amp;"@" &amp; E47)</f>
        <v>17276</v>
      </c>
      <c r="G47" s="9" t="str">
        <f>RTD("kgi.tw.der.pricertdserver.2014.1",,C47 &amp; "_Time" &amp; ":" &amp; D47 &amp; "@" &amp; E47)</f>
        <v>20210514_151459739</v>
      </c>
      <c r="H47" s="13" t="str">
        <f t="shared" si="6"/>
        <v>SCNE1</v>
      </c>
      <c r="I47" s="13" t="str">
        <f t="shared" si="1"/>
        <v>SCN</v>
      </c>
      <c r="J47" t="str">
        <f t="shared" si="2"/>
        <v>K</v>
      </c>
      <c r="K47" t="str">
        <f t="shared" si="3"/>
        <v>1</v>
      </c>
      <c r="L47" t="str">
        <f t="shared" si="4"/>
        <v>E</v>
      </c>
      <c r="M47">
        <f t="shared" si="7"/>
        <v>5</v>
      </c>
    </row>
    <row r="48" spans="1:13">
      <c r="B48" s="38" t="str">
        <f t="shared" si="5"/>
        <v>21年 - 7月</v>
      </c>
      <c r="C48" s="11" t="s">
        <v>2549</v>
      </c>
      <c r="D48" s="9" t="s">
        <v>485</v>
      </c>
      <c r="E48" s="9" t="s">
        <v>459</v>
      </c>
      <c r="F48" s="12">
        <f>RTD("kgi.tw.der.pricertdserver.2014.1",,C48 &amp;":"&amp; D48&amp;"@" &amp; E48)</f>
        <v>17000</v>
      </c>
      <c r="G48" s="9" t="str">
        <f>RTD("kgi.tw.der.pricertdserver.2014.1",,C48 &amp; "_Time" &amp; ":" &amp; D48 &amp; "@" &amp; E48)</f>
        <v>20210514_150716039</v>
      </c>
      <c r="H48" s="13" t="str">
        <f t="shared" si="6"/>
        <v>SCNG1</v>
      </c>
      <c r="I48" s="13" t="str">
        <f t="shared" si="1"/>
        <v>SCN</v>
      </c>
      <c r="J48" t="str">
        <f t="shared" si="2"/>
        <v>N</v>
      </c>
      <c r="K48" t="str">
        <f t="shared" si="3"/>
        <v>1</v>
      </c>
      <c r="L48" t="str">
        <f t="shared" si="4"/>
        <v>G</v>
      </c>
      <c r="M48">
        <f t="shared" si="7"/>
        <v>7</v>
      </c>
    </row>
    <row r="49" spans="1:13">
      <c r="B49" s="38" t="str">
        <f t="shared" si="5"/>
        <v>21年 - 4月</v>
      </c>
      <c r="C49" s="11" t="s">
        <v>2383</v>
      </c>
      <c r="D49" s="9" t="s">
        <v>485</v>
      </c>
      <c r="E49" s="9" t="s">
        <v>459</v>
      </c>
      <c r="F49" s="12" t="e">
        <f>RTD("kgi.tw.der.pricertdserver.2014.1",,C49 &amp;":"&amp; D49&amp;"@" &amp; E49)</f>
        <v>#N/A</v>
      </c>
      <c r="G49" s="9" t="e">
        <f>RTD("kgi.tw.der.pricertdserver.2014.1",,C49 &amp; "_Time" &amp; ":" &amp; D49 &amp; "@" &amp; E49)</f>
        <v>#N/A</v>
      </c>
      <c r="H49" s="13" t="str">
        <f t="shared" si="6"/>
        <v>SCND1</v>
      </c>
      <c r="I49" s="13" t="str">
        <f t="shared" si="1"/>
        <v>SCN</v>
      </c>
      <c r="J49" t="str">
        <f t="shared" si="2"/>
        <v>J</v>
      </c>
      <c r="K49" t="str">
        <f t="shared" si="3"/>
        <v>1</v>
      </c>
      <c r="L49" t="str">
        <f t="shared" si="4"/>
        <v>D</v>
      </c>
      <c r="M49">
        <f t="shared" si="7"/>
        <v>4</v>
      </c>
    </row>
    <row r="50" spans="1:13">
      <c r="B50" s="38" t="str">
        <f t="shared" si="5"/>
        <v>21年 - 8月</v>
      </c>
      <c r="C50" s="11" t="s">
        <v>2671</v>
      </c>
      <c r="D50" s="9" t="s">
        <v>485</v>
      </c>
      <c r="E50" s="9" t="s">
        <v>459</v>
      </c>
      <c r="F50" s="12" t="e">
        <f>RTD("kgi.tw.der.pricertdserver.2014.1",,C50 &amp;":"&amp; D50&amp;"@" &amp; E50)</f>
        <v>#N/A</v>
      </c>
      <c r="G50" s="9" t="e">
        <f>RTD("kgi.tw.der.pricertdserver.2014.1",,C50 &amp; "_Time" &amp; ":" &amp; D50 &amp; "@" &amp; E50)</f>
        <v>#N/A</v>
      </c>
      <c r="H50" s="13" t="str">
        <f>I50&amp;L50&amp;K50</f>
        <v>SCNH1</v>
      </c>
      <c r="I50" s="13" t="str">
        <f>IF(AND(D50="CBOT",LEFT(C50,2)="ZB"),"US",IF(AND(D50="ICE_EU",LEFT(C50,3)="BRN"),"LCOB",IF(AND(D50="SGX",LEFT(C50,2)="NK"),"SSI",IF(AND(D50="SGX",LEFT(C50,2)="CN"),"SCN",IF(AND(D50="SGX",LEFT(C50,2)="TW"),"STW",IF(LEFT(C50,5)="TOPIX","JTI",IF(RIGHT(LEFT(C50,3),1)="-",LEFT(C50,2),LEFT(C50,3))))))))</f>
        <v>SCN</v>
      </c>
      <c r="J50" t="str">
        <f>LEFT(RIGHT(C50,3),1)</f>
        <v>Q</v>
      </c>
      <c r="K50" t="str">
        <f>RIGHT(C50,1)</f>
        <v>1</v>
      </c>
      <c r="L50" t="str">
        <f>VLOOKUP(J50,$V$1:$W$14,2,FALSE)</f>
        <v>H</v>
      </c>
      <c r="M50">
        <f t="shared" si="7"/>
        <v>8</v>
      </c>
    </row>
    <row r="51" spans="1:13">
      <c r="B51" s="38" t="str">
        <f t="shared" si="5"/>
        <v>21年 - 6月</v>
      </c>
      <c r="C51" s="11" t="s">
        <v>1632</v>
      </c>
      <c r="D51" s="9" t="s">
        <v>485</v>
      </c>
      <c r="E51" s="9" t="s">
        <v>459</v>
      </c>
      <c r="F51" s="12">
        <f>RTD("kgi.tw.der.pricertdserver.2014.1",,C51 &amp;":"&amp; D51&amp;"@" &amp; E51)</f>
        <v>17177</v>
      </c>
      <c r="G51" s="9" t="str">
        <f>RTD("kgi.tw.der.pricertdserver.2014.1",,C51 &amp; "_Time" &amp; ":" &amp; D51 &amp; "@" &amp; E51)</f>
        <v>20210514_151457156</v>
      </c>
      <c r="H51" s="13" t="str">
        <f>I51&amp;L51&amp;K51</f>
        <v>SCNF1</v>
      </c>
      <c r="I51" s="13" t="str">
        <f>IF(AND(D51="CBOT",LEFT(C51,2)="ZB"),"US",IF(AND(D51="ICE_EU",LEFT(C51,3)="BRN"),"LCOB",IF(AND(D51="SGX",LEFT(C51,2)="NK"),"SSI",IF(AND(D51="SGX",LEFT(C51,2)="CN"),"SCN",IF(AND(D51="SGX",LEFT(C51,2)="TW"),"STW",IF(LEFT(C51,5)="TOPIX","JTI",IF(RIGHT(LEFT(C51,3),1)="-",LEFT(C51,2),LEFT(C51,3))))))))</f>
        <v>SCN</v>
      </c>
      <c r="J51" t="str">
        <f>LEFT(RIGHT(C51,3),1)</f>
        <v>M</v>
      </c>
      <c r="K51" t="str">
        <f>RIGHT(C51,1)</f>
        <v>1</v>
      </c>
      <c r="L51" t="str">
        <f>VLOOKUP(J51,$V$1:$W$14,2,FALSE)</f>
        <v>F</v>
      </c>
      <c r="M51">
        <f t="shared" si="7"/>
        <v>6</v>
      </c>
    </row>
    <row r="52" spans="1:13">
      <c r="B52" s="38" t="str">
        <f t="shared" si="5"/>
        <v>20年 - 12月</v>
      </c>
      <c r="C52" s="11" t="s">
        <v>2469</v>
      </c>
      <c r="D52" s="9" t="s">
        <v>485</v>
      </c>
      <c r="E52" s="9" t="s">
        <v>459</v>
      </c>
      <c r="F52" s="12" t="e">
        <f>RTD("kgi.tw.der.pricertdserver.2014.1",,C52 &amp;":"&amp; D52&amp;"@" &amp; E52)</f>
        <v>#N/A</v>
      </c>
      <c r="G52" s="9" t="e">
        <f>RTD("kgi.tw.der.pricertdserver.2014.1",,C52 &amp; "_Time" &amp; ":" &amp; D52 &amp; "@" &amp; E52)</f>
        <v>#N/A</v>
      </c>
      <c r="H52" s="13" t="str">
        <f>I52&amp;L52&amp;K52</f>
        <v>SCNL0</v>
      </c>
      <c r="I52" s="13" t="str">
        <f>IF(AND(D52="CBOT",LEFT(C52,2)="ZB"),"US",IF(AND(D52="ICE_EU",LEFT(C52,3)="BRN"),"LCOB",IF(AND(D52="SGX",LEFT(C52,2)="NK"),"SSI",IF(AND(D52="SGX",LEFT(C52,2)="CN"),"SCN",IF(AND(D52="SGX",LEFT(C52,2)="TW"),"STW",IF(LEFT(C52,5)="TOPIX","JTI",IF(RIGHT(LEFT(C52,3),1)="-",LEFT(C52,2),LEFT(C52,3))))))))</f>
        <v>SCN</v>
      </c>
      <c r="J52" t="str">
        <f>LEFT(RIGHT(C52,3),1)</f>
        <v>Z</v>
      </c>
      <c r="K52" t="str">
        <f>RIGHT(C52,1)</f>
        <v>0</v>
      </c>
      <c r="L52" t="str">
        <f>VLOOKUP(J52,$V$1:$W$14,2,FALSE)</f>
        <v>L</v>
      </c>
      <c r="M52">
        <f t="shared" si="7"/>
        <v>12</v>
      </c>
    </row>
    <row r="53" spans="1:13">
      <c r="A53" t="s">
        <v>1103</v>
      </c>
      <c r="B53" s="38" t="str">
        <f t="shared" si="5"/>
        <v>21年 - 6月</v>
      </c>
      <c r="C53" s="11" t="s">
        <v>2423</v>
      </c>
      <c r="D53" s="9" t="s">
        <v>486</v>
      </c>
      <c r="E53" s="9" t="s">
        <v>459</v>
      </c>
      <c r="F53" s="12">
        <f>RTD("kgi.tw.der.pricertdserver.2014.1",,C53 &amp;":"&amp; D53&amp;"@" &amp; E53)</f>
        <v>182.8125</v>
      </c>
      <c r="G53" s="9" t="str">
        <f>RTD("kgi.tw.der.pricertdserver.2014.1",,C53 &amp; "_Time" &amp; ":" &amp; D53 &amp; "@" &amp; E53)</f>
        <v>20210514_151459664</v>
      </c>
      <c r="H53" s="13" t="str">
        <f t="shared" si="6"/>
        <v>UBF1</v>
      </c>
      <c r="I53" s="13" t="str">
        <f t="shared" si="1"/>
        <v>UB</v>
      </c>
      <c r="J53" t="str">
        <f t="shared" si="2"/>
        <v>M</v>
      </c>
      <c r="K53" t="str">
        <f t="shared" si="3"/>
        <v>1</v>
      </c>
      <c r="L53" t="str">
        <f t="shared" si="4"/>
        <v>F</v>
      </c>
      <c r="M53">
        <f t="shared" si="7"/>
        <v>6</v>
      </c>
    </row>
    <row r="54" spans="1:13">
      <c r="B54" s="38" t="str">
        <f t="shared" si="5"/>
        <v>21年 - 9月</v>
      </c>
      <c r="C54" s="11" t="s">
        <v>2421</v>
      </c>
      <c r="D54" s="9" t="s">
        <v>478</v>
      </c>
      <c r="E54" s="9" t="s">
        <v>459</v>
      </c>
      <c r="F54" s="12">
        <f>RTD("kgi.tw.der.pricertdserver.2014.1",,C54 &amp;":"&amp; D54&amp;"@" &amp; E54)</f>
        <v>181.03125</v>
      </c>
      <c r="G54" s="9" t="str">
        <f>RTD("kgi.tw.der.pricertdserver.2014.1",,C54 &amp; "_Time" &amp; ":" &amp; D54 &amp; "@" &amp; E54)</f>
        <v>20210514_151459398</v>
      </c>
      <c r="H54" s="13" t="str">
        <f>I54&amp;L54&amp;K54</f>
        <v>UBI1</v>
      </c>
      <c r="I54" s="13" t="str">
        <f>IF(AND(D54="CBOT",LEFT(C54,2)="ZB"),"US",IF(AND(D54="ICE_EU",LEFT(C54,3)="BRN"),"LCOB",IF(AND(D54="SGX",LEFT(C54,2)="NK"),"SSI",IF(AND(D54="SGX",LEFT(C54,2)="CN"),"SCN",IF(AND(D54="SGX",LEFT(C54,2)="TW"),"STW",IF(LEFT(C54,5)="TOPIX","JTI",IF(RIGHT(LEFT(C54,3),1)="-",LEFT(C54,2),LEFT(C54,3))))))))</f>
        <v>UB</v>
      </c>
      <c r="J54" t="str">
        <f>LEFT(RIGHT(C54,3),1)</f>
        <v>U</v>
      </c>
      <c r="K54" t="str">
        <f>RIGHT(C54,1)</f>
        <v>1</v>
      </c>
      <c r="L54" t="str">
        <f>VLOOKUP(J54,$V$1:$W$14,2,FALSE)</f>
        <v>I</v>
      </c>
      <c r="M54">
        <f t="shared" si="7"/>
        <v>9</v>
      </c>
    </row>
    <row r="55" spans="1:13">
      <c r="B55" s="38" t="str">
        <f t="shared" si="5"/>
        <v>21年 - 12月</v>
      </c>
      <c r="C55" s="11" t="s">
        <v>2669</v>
      </c>
      <c r="D55" s="9" t="s">
        <v>478</v>
      </c>
      <c r="E55" s="9" t="s">
        <v>459</v>
      </c>
      <c r="F55" s="12" t="e">
        <f>RTD("kgi.tw.der.pricertdserver.2014.1",,C55 &amp;":"&amp; D55&amp;"@" &amp; E55)</f>
        <v>#N/A</v>
      </c>
      <c r="G55" s="9" t="e">
        <f>RTD("kgi.tw.der.pricertdserver.2014.1",,C55 &amp; "_Time" &amp; ":" &amp; D55 &amp; "@" &amp; E55)</f>
        <v>#N/A</v>
      </c>
      <c r="H55" s="13" t="str">
        <f>I55&amp;L55&amp;K55</f>
        <v>UBL1</v>
      </c>
      <c r="I55" s="13" t="str">
        <f>IF(AND(D55="CBOT",LEFT(C55,2)="ZB"),"US",IF(AND(D55="ICE_EU",LEFT(C55,3)="BRN"),"LCOB",IF(AND(D55="SGX",LEFT(C55,2)="NK"),"SSI",IF(AND(D55="SGX",LEFT(C55,2)="CN"),"SCN",IF(AND(D55="SGX",LEFT(C55,2)="TW"),"STW",IF(LEFT(C55,5)="TOPIX","JTI",IF(RIGHT(LEFT(C55,3),1)="-",LEFT(C55,2),LEFT(C55,3))))))))</f>
        <v>UB</v>
      </c>
      <c r="J55" t="str">
        <f>LEFT(RIGHT(C55,3),1)</f>
        <v>Z</v>
      </c>
      <c r="K55" t="str">
        <f>RIGHT(C55,1)</f>
        <v>1</v>
      </c>
      <c r="L55" t="str">
        <f>VLOOKUP(J55,$V$1:$W$14,2,FALSE)</f>
        <v>L</v>
      </c>
      <c r="M55">
        <f t="shared" si="7"/>
        <v>12</v>
      </c>
    </row>
    <row r="56" spans="1:13">
      <c r="A56" t="s">
        <v>487</v>
      </c>
      <c r="B56" s="38" t="str">
        <f t="shared" si="5"/>
        <v>21年 - 10月</v>
      </c>
      <c r="C56" s="11" t="s">
        <v>1847</v>
      </c>
      <c r="D56" s="9" t="s">
        <v>461</v>
      </c>
      <c r="E56" s="9" t="s">
        <v>459</v>
      </c>
      <c r="F56" s="12">
        <f>RTD("kgi.tw.der.pricertdserver.2014.1",,C56 &amp;":"&amp; D56&amp;"@" &amp; E56)</f>
        <v>1838.4</v>
      </c>
      <c r="G56" s="9" t="str">
        <f>RTD("kgi.tw.der.pricertdserver.2014.1",,C56 &amp; "_Time" &amp; ":" &amp; D56 &amp; "@" &amp; E56)</f>
        <v>20210514_151459679</v>
      </c>
      <c r="H56" s="13" t="str">
        <f t="shared" si="6"/>
        <v>GCJ1</v>
      </c>
      <c r="I56" s="13" t="str">
        <f t="shared" si="1"/>
        <v>GC</v>
      </c>
      <c r="J56" t="str">
        <f t="shared" si="2"/>
        <v>V</v>
      </c>
      <c r="K56" t="str">
        <f t="shared" si="3"/>
        <v>1</v>
      </c>
      <c r="L56" t="str">
        <f t="shared" si="4"/>
        <v>J</v>
      </c>
      <c r="M56">
        <f t="shared" si="7"/>
        <v>10</v>
      </c>
    </row>
    <row r="57" spans="1:13">
      <c r="B57" s="38" t="str">
        <f t="shared" si="5"/>
        <v>21年 - 12月</v>
      </c>
      <c r="C57" s="11" t="s">
        <v>2381</v>
      </c>
      <c r="D57" s="9" t="s">
        <v>461</v>
      </c>
      <c r="E57" s="9" t="s">
        <v>459</v>
      </c>
      <c r="F57" s="12">
        <f>RTD("kgi.tw.der.pricertdserver.2014.1",,C57 &amp;":"&amp; D57&amp;"@" &amp; E57)</f>
        <v>1840.6</v>
      </c>
      <c r="G57" s="9" t="str">
        <f>RTD("kgi.tw.der.pricertdserver.2014.1",,C57 &amp; "_Time" &amp; ":" &amp; D57 &amp; "@" &amp; E57)</f>
        <v>20210514_151459679</v>
      </c>
      <c r="H57" s="13" t="str">
        <f t="shared" si="6"/>
        <v>GCL1</v>
      </c>
      <c r="I57" s="13" t="str">
        <f t="shared" si="1"/>
        <v>GC</v>
      </c>
      <c r="J57" t="str">
        <f t="shared" si="2"/>
        <v>Z</v>
      </c>
      <c r="K57" t="str">
        <f t="shared" si="3"/>
        <v>1</v>
      </c>
      <c r="L57" t="str">
        <f t="shared" si="4"/>
        <v>L</v>
      </c>
      <c r="M57">
        <f t="shared" si="7"/>
        <v>12</v>
      </c>
    </row>
    <row r="58" spans="1:13">
      <c r="B58" s="38" t="str">
        <f t="shared" si="5"/>
        <v>22年 - 2月</v>
      </c>
      <c r="C58" s="11" t="s">
        <v>2551</v>
      </c>
      <c r="D58" s="9" t="s">
        <v>461</v>
      </c>
      <c r="E58" s="9" t="s">
        <v>459</v>
      </c>
      <c r="F58" s="12">
        <f>RTD("kgi.tw.der.pricertdserver.2014.1",,C58 &amp;":"&amp; D58&amp;"@" &amp; E58)</f>
        <v>0</v>
      </c>
      <c r="G58" s="9" t="str">
        <f>RTD("kgi.tw.der.pricertdserver.2014.1",,C58 &amp; "_Time" &amp; ":" &amp; D58 &amp; "@" &amp; E58)</f>
        <v>20210514_151459679</v>
      </c>
      <c r="H58" s="13" t="str">
        <f t="shared" si="6"/>
        <v>GCB2</v>
      </c>
      <c r="I58" s="13" t="str">
        <f t="shared" si="1"/>
        <v>GC</v>
      </c>
      <c r="J58" t="str">
        <f t="shared" si="2"/>
        <v>G</v>
      </c>
      <c r="K58" t="str">
        <f t="shared" si="3"/>
        <v>2</v>
      </c>
      <c r="L58" t="str">
        <f t="shared" si="4"/>
        <v>B</v>
      </c>
      <c r="M58">
        <f t="shared" si="7"/>
        <v>2</v>
      </c>
    </row>
    <row r="59" spans="1:13">
      <c r="B59" s="38" t="str">
        <f t="shared" si="5"/>
        <v>21年 - 4月</v>
      </c>
      <c r="C59" s="11" t="s">
        <v>1406</v>
      </c>
      <c r="D59" s="9" t="s">
        <v>461</v>
      </c>
      <c r="E59" s="9" t="s">
        <v>459</v>
      </c>
      <c r="F59" s="12" t="e">
        <f>RTD("kgi.tw.der.pricertdserver.2014.1",,C59 &amp;":"&amp; D59&amp;"@" &amp; E59)</f>
        <v>#N/A</v>
      </c>
      <c r="G59" s="9" t="e">
        <f>RTD("kgi.tw.der.pricertdserver.2014.1",,C59 &amp; "_Time" &amp; ":" &amp; D59 &amp; "@" &amp; E59)</f>
        <v>#N/A</v>
      </c>
      <c r="H59" s="13" t="str">
        <f t="shared" si="6"/>
        <v>GCD1</v>
      </c>
      <c r="I59" s="13" t="str">
        <f t="shared" si="1"/>
        <v>GC</v>
      </c>
      <c r="J59" t="str">
        <f t="shared" si="2"/>
        <v>J</v>
      </c>
      <c r="K59" t="str">
        <f t="shared" si="3"/>
        <v>1</v>
      </c>
      <c r="L59" t="str">
        <f t="shared" si="4"/>
        <v>D</v>
      </c>
      <c r="M59">
        <f t="shared" si="7"/>
        <v>4</v>
      </c>
    </row>
    <row r="60" spans="1:13">
      <c r="B60" s="38" t="str">
        <f t="shared" si="5"/>
        <v>21年 - 6月</v>
      </c>
      <c r="C60" s="14" t="s">
        <v>1633</v>
      </c>
      <c r="D60" s="9" t="s">
        <v>461</v>
      </c>
      <c r="E60" s="9" t="s">
        <v>459</v>
      </c>
      <c r="F60" s="12">
        <f>RTD("kgi.tw.der.pricertdserver.2014.1",,C60 &amp;":"&amp; D60&amp;"@" &amp; E60)</f>
        <v>1833.5</v>
      </c>
      <c r="G60" s="9" t="str">
        <f>RTD("kgi.tw.der.pricertdserver.2014.1",,C60 &amp; "_Time" &amp; ":" &amp; D60 &amp; "@" &amp; E60)</f>
        <v>20210514_151459429</v>
      </c>
      <c r="H60" s="13" t="str">
        <f t="shared" si="6"/>
        <v>GCF1</v>
      </c>
      <c r="I60" s="13" t="str">
        <f t="shared" si="1"/>
        <v>GC</v>
      </c>
      <c r="J60" t="str">
        <f t="shared" si="2"/>
        <v>M</v>
      </c>
      <c r="K60" t="str">
        <f t="shared" si="3"/>
        <v>1</v>
      </c>
      <c r="L60" t="str">
        <f t="shared" si="4"/>
        <v>F</v>
      </c>
      <c r="M60">
        <f t="shared" si="7"/>
        <v>6</v>
      </c>
    </row>
    <row r="61" spans="1:13">
      <c r="B61" s="38" t="str">
        <f t="shared" si="5"/>
        <v>21年 - 8月</v>
      </c>
      <c r="C61" s="14" t="s">
        <v>2379</v>
      </c>
      <c r="D61" s="9" t="s">
        <v>461</v>
      </c>
      <c r="E61" s="9" t="s">
        <v>459</v>
      </c>
      <c r="F61" s="12">
        <f>RTD("kgi.tw.der.pricertdserver.2014.1",,C61 &amp;":"&amp; D61&amp;"@" &amp; E61)</f>
        <v>1835.4</v>
      </c>
      <c r="G61" s="9" t="str">
        <f>RTD("kgi.tw.der.pricertdserver.2014.1",,C61 &amp; "_Time" &amp; ":" &amp; D61 &amp; "@" &amp; E61)</f>
        <v>20210514_151459679</v>
      </c>
      <c r="H61" s="13" t="str">
        <f t="shared" si="6"/>
        <v>GCH1</v>
      </c>
      <c r="I61" s="13" t="str">
        <f t="shared" si="1"/>
        <v>GC</v>
      </c>
      <c r="J61" t="str">
        <f t="shared" si="2"/>
        <v>Q</v>
      </c>
      <c r="K61" t="str">
        <f t="shared" si="3"/>
        <v>1</v>
      </c>
      <c r="L61" t="str">
        <f t="shared" si="4"/>
        <v>H</v>
      </c>
      <c r="M61">
        <f t="shared" si="7"/>
        <v>8</v>
      </c>
    </row>
    <row r="62" spans="1:13">
      <c r="A62" t="s">
        <v>488</v>
      </c>
      <c r="B62" s="38" t="str">
        <f t="shared" si="5"/>
        <v>21年 - 9月</v>
      </c>
      <c r="C62" s="14" t="s">
        <v>2428</v>
      </c>
      <c r="D62" s="9" t="s">
        <v>489</v>
      </c>
      <c r="E62" s="9" t="s">
        <v>459</v>
      </c>
      <c r="F62" s="12">
        <f>RTD("kgi.tw.der.pricertdserver.2014.1",,C62 &amp;":"&amp; D62&amp;"@" &amp; E62)</f>
        <v>66.52</v>
      </c>
      <c r="G62" s="9" t="str">
        <f>RTD("kgi.tw.der.pricertdserver.2014.1",,C62 &amp; "_Time" &amp; ":" &amp; D62 &amp; "@" &amp; E62)</f>
        <v>20210514_151458523</v>
      </c>
      <c r="H62" s="13" t="str">
        <f>I62&amp;L62&amp;K62</f>
        <v>LCOBI1</v>
      </c>
      <c r="I62" s="13" t="str">
        <f>IF(AND(D62="CBOT",LEFT(C62,2)="ZB"),"US",IF(AND(D62="ICE_EU",LEFT(C62,3)="BRN"),"LCOB",IF(AND(D62="SGX",LEFT(C62,2)="NK"),"SSI",IF(AND(D62="SGX",LEFT(C62,2)="CN"),"SCN",IF(AND(D62="SGX",LEFT(C62,2)="TW"),"STW",IF(LEFT(C62,5)="TOPIX","JTI",IF(RIGHT(LEFT(C62,3),1)="-",LEFT(C62,2),LEFT(C62,3))))))))</f>
        <v>LCOB</v>
      </c>
      <c r="J62" t="str">
        <f>LEFT(RIGHT(C62,3),1)</f>
        <v>U</v>
      </c>
      <c r="K62" t="str">
        <f>RIGHT(C62,1)</f>
        <v>1</v>
      </c>
      <c r="L62" t="str">
        <f>VLOOKUP(J62,$V$1:$W$14,2,FALSE)</f>
        <v>I</v>
      </c>
      <c r="M62">
        <f t="shared" si="7"/>
        <v>9</v>
      </c>
    </row>
    <row r="63" spans="1:13">
      <c r="A63" t="s">
        <v>490</v>
      </c>
      <c r="B63" s="38" t="str">
        <f t="shared" si="5"/>
        <v>21年 - 10月</v>
      </c>
      <c r="C63" s="14" t="s">
        <v>1848</v>
      </c>
      <c r="D63" s="9" t="s">
        <v>489</v>
      </c>
      <c r="E63" s="9" t="s">
        <v>459</v>
      </c>
      <c r="F63" s="12">
        <f>RTD("kgi.tw.der.pricertdserver.2014.1",,C63 &amp;":"&amp; D63&amp;"@" &amp; E63)</f>
        <v>66.16</v>
      </c>
      <c r="G63" s="9" t="str">
        <f>RTD("kgi.tw.der.pricertdserver.2014.1",,C63 &amp; "_Time" &amp; ":" &amp; D63 &amp; "@" &amp; E63)</f>
        <v>20210514_151459539</v>
      </c>
      <c r="H63" s="13" t="str">
        <f t="shared" si="6"/>
        <v>LCOBJ1</v>
      </c>
      <c r="I63" s="13" t="str">
        <f t="shared" si="1"/>
        <v>LCOB</v>
      </c>
      <c r="J63" t="str">
        <f t="shared" si="2"/>
        <v>V</v>
      </c>
      <c r="K63" t="str">
        <f t="shared" si="3"/>
        <v>1</v>
      </c>
      <c r="L63" t="str">
        <f t="shared" si="4"/>
        <v>J</v>
      </c>
      <c r="M63">
        <f t="shared" si="7"/>
        <v>10</v>
      </c>
    </row>
    <row r="64" spans="1:13">
      <c r="B64" s="38" t="str">
        <f t="shared" si="5"/>
        <v>21年 - 12月</v>
      </c>
      <c r="C64" s="14" t="s">
        <v>2555</v>
      </c>
      <c r="D64" s="9" t="s">
        <v>489</v>
      </c>
      <c r="E64" s="9" t="s">
        <v>459</v>
      </c>
      <c r="F64" s="12">
        <f>RTD("kgi.tw.der.pricertdserver.2014.1",,C64 &amp;":"&amp; D64&amp;"@" &amp; E64)</f>
        <v>65.44</v>
      </c>
      <c r="G64" s="9" t="str">
        <f>RTD("kgi.tw.der.pricertdserver.2014.1",,C64 &amp; "_Time" &amp; ":" &amp; D64 &amp; "@" &amp; E64)</f>
        <v>20210514_151459039</v>
      </c>
      <c r="H64" s="13" t="str">
        <f t="shared" si="6"/>
        <v>LCOBL1</v>
      </c>
      <c r="I64" s="13" t="str">
        <f t="shared" si="1"/>
        <v>LCOB</v>
      </c>
      <c r="J64" t="str">
        <f t="shared" si="2"/>
        <v>Z</v>
      </c>
      <c r="K64" t="str">
        <f t="shared" si="3"/>
        <v>1</v>
      </c>
      <c r="L64" t="str">
        <f t="shared" si="4"/>
        <v>L</v>
      </c>
      <c r="M64">
        <f t="shared" si="7"/>
        <v>12</v>
      </c>
    </row>
    <row r="65" spans="1:13">
      <c r="B65" s="38" t="str">
        <f t="shared" si="5"/>
        <v>21年 - 11月</v>
      </c>
      <c r="C65" s="14" t="s">
        <v>2553</v>
      </c>
      <c r="D65" s="9" t="s">
        <v>489</v>
      </c>
      <c r="E65" s="9" t="s">
        <v>459</v>
      </c>
      <c r="F65" s="12">
        <f>RTD("kgi.tw.der.pricertdserver.2014.1",,C65 &amp;":"&amp; D65&amp;"@" &amp; E65)</f>
        <v>65.8</v>
      </c>
      <c r="G65" s="9" t="str">
        <f>RTD("kgi.tw.der.pricertdserver.2014.1",,C65 &amp; "_Time" &amp; ":" &amp; D65 &amp; "@" &amp; E65)</f>
        <v>20210514_151459039</v>
      </c>
      <c r="H65" s="13" t="str">
        <f t="shared" si="6"/>
        <v>LCOBK1</v>
      </c>
      <c r="I65" s="13" t="str">
        <f t="shared" si="1"/>
        <v>LCOB</v>
      </c>
      <c r="J65" t="str">
        <f t="shared" si="2"/>
        <v>X</v>
      </c>
      <c r="K65" t="str">
        <f t="shared" si="3"/>
        <v>1</v>
      </c>
      <c r="L65" t="str">
        <f t="shared" si="4"/>
        <v>K</v>
      </c>
      <c r="M65">
        <f t="shared" si="7"/>
        <v>11</v>
      </c>
    </row>
    <row r="66" spans="1:13">
      <c r="B66" s="38" t="str">
        <f t="shared" si="5"/>
        <v>21年 - 8月</v>
      </c>
      <c r="C66" s="14" t="s">
        <v>2427</v>
      </c>
      <c r="D66" s="9" t="s">
        <v>489</v>
      </c>
      <c r="E66" s="9" t="s">
        <v>459</v>
      </c>
      <c r="F66" s="12">
        <f>RTD("kgi.tw.der.pricertdserver.2014.1",,C66 &amp;":"&amp; D66&amp;"@" &amp; E66)</f>
        <v>66.84</v>
      </c>
      <c r="G66" s="9" t="str">
        <f>RTD("kgi.tw.der.pricertdserver.2014.1",,C66 &amp; "_Time" &amp; ":" &amp; D66 &amp; "@" &amp; E66)</f>
        <v>20210514_151459539</v>
      </c>
      <c r="H66" s="13" t="str">
        <f t="shared" si="6"/>
        <v>LCOBH1</v>
      </c>
      <c r="I66" s="13" t="str">
        <f t="shared" si="1"/>
        <v>LCOB</v>
      </c>
      <c r="J66" t="str">
        <f t="shared" si="2"/>
        <v>Q</v>
      </c>
      <c r="K66" t="str">
        <f t="shared" si="3"/>
        <v>1</v>
      </c>
      <c r="L66" t="str">
        <f t="shared" si="4"/>
        <v>H</v>
      </c>
      <c r="M66">
        <f t="shared" si="7"/>
        <v>8</v>
      </c>
    </row>
    <row r="67" spans="1:13">
      <c r="B67" s="38" t="str">
        <f t="shared" si="5"/>
        <v>20年 - 12月</v>
      </c>
      <c r="C67" s="14" t="s">
        <v>2557</v>
      </c>
      <c r="D67" s="9" t="s">
        <v>489</v>
      </c>
      <c r="E67" s="9" t="s">
        <v>459</v>
      </c>
      <c r="F67" s="12" t="e">
        <f>RTD("kgi.tw.der.pricertdserver.2014.1",,C67 &amp;":"&amp; D67&amp;"@" &amp; E67)</f>
        <v>#N/A</v>
      </c>
      <c r="G67" s="9" t="e">
        <f>RTD("kgi.tw.der.pricertdserver.2014.1",,C67 &amp; "_Time" &amp; ":" &amp; D67 &amp; "@" &amp; E67)</f>
        <v>#N/A</v>
      </c>
      <c r="H67" s="13" t="str">
        <f t="shared" si="6"/>
        <v>LCOBL0</v>
      </c>
      <c r="I67" s="13" t="str">
        <f t="shared" si="1"/>
        <v>LCOB</v>
      </c>
      <c r="J67" t="str">
        <f t="shared" si="2"/>
        <v>Z</v>
      </c>
      <c r="K67" t="str">
        <f t="shared" si="3"/>
        <v>0</v>
      </c>
      <c r="L67" t="str">
        <f t="shared" si="4"/>
        <v>L</v>
      </c>
      <c r="M67">
        <f t="shared" si="7"/>
        <v>12</v>
      </c>
    </row>
    <row r="68" spans="1:13">
      <c r="B68" s="38" t="str">
        <f t="shared" si="5"/>
        <v>21年 - 1月</v>
      </c>
      <c r="C68" s="14" t="s">
        <v>2667</v>
      </c>
      <c r="D68" s="9" t="s">
        <v>489</v>
      </c>
      <c r="E68" s="9" t="s">
        <v>459</v>
      </c>
      <c r="F68" s="12" t="e">
        <f>RTD("kgi.tw.der.pricertdserver.2014.1",,C68 &amp;":"&amp; D68&amp;"@" &amp; E68)</f>
        <v>#N/A</v>
      </c>
      <c r="G68" s="9" t="e">
        <f>RTD("kgi.tw.der.pricertdserver.2014.1",,C68 &amp; "_Time" &amp; ":" &amp; D68 &amp; "@" &amp; E68)</f>
        <v>#N/A</v>
      </c>
      <c r="H68" s="13" t="str">
        <f t="shared" si="6"/>
        <v>LCOBA1</v>
      </c>
      <c r="I68" s="13" t="str">
        <f t="shared" si="1"/>
        <v>LCOB</v>
      </c>
      <c r="J68" t="str">
        <f t="shared" si="2"/>
        <v>F</v>
      </c>
      <c r="K68" t="str">
        <f t="shared" si="3"/>
        <v>1</v>
      </c>
      <c r="L68" t="str">
        <f t="shared" si="4"/>
        <v>A</v>
      </c>
      <c r="M68">
        <f t="shared" si="7"/>
        <v>1</v>
      </c>
    </row>
    <row r="69" spans="1:13">
      <c r="B69" s="38" t="str">
        <f t="shared" si="5"/>
        <v>21年 - 5月</v>
      </c>
      <c r="C69" s="14" t="s">
        <v>1408</v>
      </c>
      <c r="D69" s="9" t="s">
        <v>489</v>
      </c>
      <c r="E69" s="9" t="s">
        <v>459</v>
      </c>
      <c r="F69" s="12" t="e">
        <f>RTD("kgi.tw.der.pricertdserver.2014.1",,C69 &amp;":"&amp; D69&amp;"@" &amp; E69)</f>
        <v>#N/A</v>
      </c>
      <c r="G69" s="9" t="e">
        <f>RTD("kgi.tw.der.pricertdserver.2014.1",,C69 &amp; "_Time" &amp; ":" &amp; D69 &amp; "@" &amp; E69)</f>
        <v>#N/A</v>
      </c>
      <c r="H69" s="13" t="str">
        <f t="shared" si="6"/>
        <v>LCOBE1</v>
      </c>
      <c r="I69" s="13" t="str">
        <f t="shared" si="1"/>
        <v>LCOB</v>
      </c>
      <c r="J69" t="str">
        <f t="shared" si="2"/>
        <v>K</v>
      </c>
      <c r="K69" t="str">
        <f t="shared" si="3"/>
        <v>1</v>
      </c>
      <c r="L69" t="str">
        <f t="shared" si="4"/>
        <v>E</v>
      </c>
      <c r="M69">
        <f t="shared" si="7"/>
        <v>5</v>
      </c>
    </row>
    <row r="70" spans="1:13">
      <c r="B70" s="38" t="str">
        <f t="shared" si="5"/>
        <v>21年 - 6月</v>
      </c>
      <c r="C70" s="14" t="s">
        <v>2425</v>
      </c>
      <c r="D70" s="9" t="s">
        <v>489</v>
      </c>
      <c r="E70" s="9" t="s">
        <v>459</v>
      </c>
      <c r="F70" s="12" t="e">
        <f>RTD("kgi.tw.der.pricertdserver.2014.1",,C70 &amp;":"&amp; D70&amp;"@" &amp; E70)</f>
        <v>#N/A</v>
      </c>
      <c r="G70" s="9" t="e">
        <f>RTD("kgi.tw.der.pricertdserver.2014.1",,C70 &amp; "_Time" &amp; ":" &amp; D70 &amp; "@" &amp; E70)</f>
        <v>#N/A</v>
      </c>
      <c r="H70" s="13" t="str">
        <f t="shared" si="6"/>
        <v>LCOBF1</v>
      </c>
      <c r="I70" s="13" t="str">
        <f t="shared" si="1"/>
        <v>LCOB</v>
      </c>
      <c r="J70" t="str">
        <f t="shared" si="2"/>
        <v>M</v>
      </c>
      <c r="K70" t="str">
        <f t="shared" si="3"/>
        <v>1</v>
      </c>
      <c r="L70" t="str">
        <f t="shared" si="4"/>
        <v>F</v>
      </c>
      <c r="M70">
        <f t="shared" si="7"/>
        <v>6</v>
      </c>
    </row>
    <row r="71" spans="1:13">
      <c r="B71" s="38" t="str">
        <f t="shared" si="5"/>
        <v>21年 - 7月</v>
      </c>
      <c r="C71" s="14" t="s">
        <v>2376</v>
      </c>
      <c r="D71" s="9" t="s">
        <v>489</v>
      </c>
      <c r="E71" s="9" t="s">
        <v>459</v>
      </c>
      <c r="F71" s="12">
        <f>RTD("kgi.tw.der.pricertdserver.2014.1",,C71 &amp;":"&amp; D71&amp;"@" &amp; E71)</f>
        <v>67.02</v>
      </c>
      <c r="G71" s="9" t="str">
        <f>RTD("kgi.tw.der.pricertdserver.2014.1",,C71 &amp; "_Time" &amp; ":" &amp; D71 &amp; "@" &amp; E71)</f>
        <v>20210514_151459789</v>
      </c>
      <c r="H71" s="13" t="str">
        <f>I71&amp;L71&amp;K71</f>
        <v>LCOBG1</v>
      </c>
      <c r="I71" s="13" t="str">
        <f>IF(AND(D71="CBOT",LEFT(C71,2)="ZB"),"US",IF(AND(D71="ICE_EU",LEFT(C71,3)="BRN"),"LCOB",IF(AND(D71="SGX",LEFT(C71,2)="NK"),"SSI",IF(AND(D71="SGX",LEFT(C71,2)="CN"),"SCN",IF(AND(D71="SGX",LEFT(C71,2)="TW"),"STW",IF(LEFT(C71,5)="TOPIX","JTI",IF(RIGHT(LEFT(C71,3),1)="-",LEFT(C71,2),LEFT(C71,3))))))))</f>
        <v>LCOB</v>
      </c>
      <c r="J71" t="str">
        <f>LEFT(RIGHT(C71,3),1)</f>
        <v>N</v>
      </c>
      <c r="K71" t="str">
        <f>RIGHT(C71,1)</f>
        <v>1</v>
      </c>
      <c r="L71" t="str">
        <f>VLOOKUP(J71,$V$1:$W$14,2,FALSE)</f>
        <v>G</v>
      </c>
      <c r="M71">
        <f t="shared" si="7"/>
        <v>7</v>
      </c>
    </row>
    <row r="72" spans="1:13">
      <c r="A72" t="s">
        <v>491</v>
      </c>
      <c r="B72" s="38" t="str">
        <f t="shared" si="5"/>
        <v>21年 - 3月</v>
      </c>
      <c r="C72" s="14" t="s">
        <v>1334</v>
      </c>
      <c r="D72" s="9" t="s">
        <v>486</v>
      </c>
      <c r="E72" s="9" t="s">
        <v>459</v>
      </c>
      <c r="F72" s="12" t="e">
        <f>RTD("kgi.tw.der.pricertdserver.2014.1",,C72 &amp;":"&amp; D72&amp;"@" &amp; E72)</f>
        <v>#N/A</v>
      </c>
      <c r="G72" s="9" t="e">
        <f>RTD("kgi.tw.der.pricertdserver.2014.1",,C72 &amp; "_Time" &amp; ":" &amp; D72 &amp; "@" &amp; E72)</f>
        <v>#N/A</v>
      </c>
      <c r="H72" s="13" t="str">
        <f t="shared" si="6"/>
        <v>ZSC1</v>
      </c>
      <c r="I72" s="13" t="str">
        <f t="shared" si="1"/>
        <v>ZS</v>
      </c>
      <c r="J72" t="str">
        <f t="shared" si="2"/>
        <v>H</v>
      </c>
      <c r="K72" t="str">
        <f t="shared" si="3"/>
        <v>1</v>
      </c>
      <c r="L72" t="str">
        <f t="shared" si="4"/>
        <v>C</v>
      </c>
      <c r="M72">
        <f t="shared" si="7"/>
        <v>3</v>
      </c>
    </row>
    <row r="73" spans="1:13">
      <c r="A73" t="s">
        <v>492</v>
      </c>
      <c r="B73" s="38" t="str">
        <f t="shared" ref="B73:B136" si="8">RIGHT(C73,2)&amp;"年"&amp;" - "&amp;M73&amp;"月"</f>
        <v>21年 - 1月</v>
      </c>
      <c r="C73" s="11" t="s">
        <v>1324</v>
      </c>
      <c r="D73" s="9" t="s">
        <v>486</v>
      </c>
      <c r="E73" s="9" t="s">
        <v>459</v>
      </c>
      <c r="F73" s="12" t="e">
        <f>RTD("kgi.tw.der.pricertdserver.2014.1",,C73 &amp;":"&amp; D73&amp;"@" &amp; E73)</f>
        <v>#N/A</v>
      </c>
      <c r="G73" s="9" t="e">
        <f>RTD("kgi.tw.der.pricertdserver.2014.1",,C73 &amp; "_Time" &amp; ":" &amp; D73 &amp; "@" &amp; E73)</f>
        <v>#N/A</v>
      </c>
      <c r="H73" s="13" t="str">
        <f t="shared" si="6"/>
        <v>ZSA1</v>
      </c>
      <c r="I73" s="13" t="str">
        <f t="shared" si="1"/>
        <v>ZS</v>
      </c>
      <c r="J73" t="str">
        <f t="shared" si="2"/>
        <v>F</v>
      </c>
      <c r="K73" t="str">
        <f t="shared" si="3"/>
        <v>1</v>
      </c>
      <c r="L73" t="str">
        <f t="shared" si="4"/>
        <v>A</v>
      </c>
      <c r="M73">
        <f t="shared" ref="M73:M136" si="9">VLOOKUP($J73,$V$1:$X$13,3,FALSE)</f>
        <v>1</v>
      </c>
    </row>
    <row r="74" spans="1:13">
      <c r="B74" s="38" t="str">
        <f t="shared" si="8"/>
        <v>21年 - 5月</v>
      </c>
      <c r="C74" s="11" t="s">
        <v>1335</v>
      </c>
      <c r="D74" s="9" t="s">
        <v>486</v>
      </c>
      <c r="E74" s="9" t="s">
        <v>459</v>
      </c>
      <c r="F74" s="12">
        <f>RTD("kgi.tw.der.pricertdserver.2014.1",,C74 &amp;":"&amp; D74&amp;"@" &amp; E74)</f>
        <v>0</v>
      </c>
      <c r="G74" s="9" t="str">
        <f>RTD("kgi.tw.der.pricertdserver.2014.1",,C74 &amp; "_Time" &amp; ":" &amp; D74 &amp; "@" &amp; E74)</f>
        <v>20210514_151444131</v>
      </c>
      <c r="H74" s="13" t="str">
        <f t="shared" si="6"/>
        <v>ZSE1</v>
      </c>
      <c r="I74" s="13" t="str">
        <f t="shared" si="1"/>
        <v>ZS</v>
      </c>
      <c r="J74" t="str">
        <f t="shared" si="2"/>
        <v>K</v>
      </c>
      <c r="K74" t="str">
        <f t="shared" si="3"/>
        <v>1</v>
      </c>
      <c r="L74" t="str">
        <f t="shared" si="4"/>
        <v>E</v>
      </c>
      <c r="M74">
        <f t="shared" si="9"/>
        <v>5</v>
      </c>
    </row>
    <row r="75" spans="1:13">
      <c r="B75" s="38" t="str">
        <f t="shared" si="8"/>
        <v>20年 - 5月</v>
      </c>
      <c r="C75" s="14" t="s">
        <v>1104</v>
      </c>
      <c r="D75" s="9" t="s">
        <v>478</v>
      </c>
      <c r="E75" s="9" t="s">
        <v>459</v>
      </c>
      <c r="F75" s="12" t="e">
        <f>RTD("kgi.tw.der.pricertdserver.2014.1",,C75 &amp;":"&amp; D75&amp;"@" &amp; E75)</f>
        <v>#N/A</v>
      </c>
      <c r="G75" s="9" t="e">
        <f>RTD("kgi.tw.der.pricertdserver.2014.1",,C75 &amp; "_Time" &amp; ":" &amp; D75 &amp; "@" &amp; E75)</f>
        <v>#N/A</v>
      </c>
      <c r="H75" s="13" t="str">
        <f t="shared" si="6"/>
        <v>ZSE0</v>
      </c>
      <c r="I75" s="13" t="str">
        <f t="shared" si="1"/>
        <v>ZS</v>
      </c>
      <c r="J75" t="str">
        <f t="shared" ref="J75:J82" si="10">LEFT(RIGHT(C75,3),1)</f>
        <v>K</v>
      </c>
      <c r="K75" t="str">
        <f t="shared" ref="K75:K82" si="11">RIGHT(C75,1)</f>
        <v>0</v>
      </c>
      <c r="L75" t="str">
        <f t="shared" ref="L75:L82" si="12">VLOOKUP(J75,$V$1:$W$14,2,FALSE)</f>
        <v>E</v>
      </c>
      <c r="M75">
        <f t="shared" si="9"/>
        <v>5</v>
      </c>
    </row>
    <row r="76" spans="1:13">
      <c r="B76" s="38" t="str">
        <f t="shared" si="8"/>
        <v>21年 - 7月</v>
      </c>
      <c r="C76" s="14" t="s">
        <v>1782</v>
      </c>
      <c r="D76" s="9" t="s">
        <v>478</v>
      </c>
      <c r="E76" s="9" t="s">
        <v>459</v>
      </c>
      <c r="F76" s="12">
        <f>RTD("kgi.tw.der.pricertdserver.2014.1",,C76 &amp;":"&amp; D76&amp;"@" &amp; E76)</f>
        <v>1597.75</v>
      </c>
      <c r="G76" s="9" t="str">
        <f>RTD("kgi.tw.der.pricertdserver.2014.1",,C76 &amp; "_Time" &amp; ":" &amp; D76 &amp; "@" &amp; E76)</f>
        <v>20210514_151459648</v>
      </c>
      <c r="H76" s="13" t="str">
        <f>I76&amp;L76&amp;K76</f>
        <v>ZSG1</v>
      </c>
      <c r="I76" s="13" t="str">
        <f>IF(AND(D76="CBOT",LEFT(C76,2)="ZB"),"US",IF(AND(D76="ICE_EU",LEFT(C76,3)="BRN"),"LCOB",IF(AND(D76="SGX",LEFT(C76,2)="NK"),"SSI",IF(AND(D76="SGX",LEFT(C76,2)="CN"),"SCN",IF(AND(D76="SGX",LEFT(C76,2)="TW"),"STW",IF(LEFT(C76,5)="TOPIX","JTI",IF(RIGHT(LEFT(C76,3),1)="-",LEFT(C76,2),LEFT(C76,3))))))))</f>
        <v>ZS</v>
      </c>
      <c r="J76" t="str">
        <f t="shared" si="10"/>
        <v>N</v>
      </c>
      <c r="K76" t="str">
        <f t="shared" si="11"/>
        <v>1</v>
      </c>
      <c r="L76" t="str">
        <f t="shared" si="12"/>
        <v>G</v>
      </c>
      <c r="M76">
        <f t="shared" si="9"/>
        <v>7</v>
      </c>
    </row>
    <row r="77" spans="1:13">
      <c r="B77" s="38" t="str">
        <f t="shared" si="8"/>
        <v>20年 - 8月</v>
      </c>
      <c r="C77" s="14" t="s">
        <v>1296</v>
      </c>
      <c r="D77" s="9" t="s">
        <v>478</v>
      </c>
      <c r="E77" s="9" t="s">
        <v>459</v>
      </c>
      <c r="F77" s="12" t="e">
        <f>RTD("kgi.tw.der.pricertdserver.2014.1",,C77 &amp;":"&amp; D77&amp;"@" &amp; E77)</f>
        <v>#N/A</v>
      </c>
      <c r="G77" s="9" t="e">
        <f>RTD("kgi.tw.der.pricertdserver.2014.1",,C77 &amp; "_Time" &amp; ":" &amp; D77 &amp; "@" &amp; E77)</f>
        <v>#N/A</v>
      </c>
      <c r="H77" s="13" t="str">
        <f>I77&amp;L77&amp;K77</f>
        <v>ZSH0</v>
      </c>
      <c r="I77" s="13" t="str">
        <f>IF(AND(D77="CBOT",LEFT(C77,2)="ZB"),"US",IF(AND(D77="ICE_EU",LEFT(C77,3)="BRN"),"LCOB",IF(AND(D77="SGX",LEFT(C77,2)="NK"),"SSI",IF(AND(D77="SGX",LEFT(C77,2)="CN"),"SCN",IF(AND(D77="SGX",LEFT(C77,2)="TW"),"STW",IF(LEFT(C77,5)="TOPIX","JTI",IF(RIGHT(LEFT(C77,3),1)="-",LEFT(C77,2),LEFT(C77,3))))))))</f>
        <v>ZS</v>
      </c>
      <c r="J77" t="str">
        <f t="shared" si="10"/>
        <v>Q</v>
      </c>
      <c r="K77" t="str">
        <f t="shared" si="11"/>
        <v>0</v>
      </c>
      <c r="L77" t="str">
        <f t="shared" si="12"/>
        <v>H</v>
      </c>
      <c r="M77">
        <f t="shared" si="9"/>
        <v>8</v>
      </c>
    </row>
    <row r="78" spans="1:13">
      <c r="B78" s="38" t="str">
        <f t="shared" si="8"/>
        <v>21年 - 9月</v>
      </c>
      <c r="C78" s="14" t="s">
        <v>2373</v>
      </c>
      <c r="D78" s="9" t="s">
        <v>478</v>
      </c>
      <c r="E78" s="9" t="s">
        <v>459</v>
      </c>
      <c r="F78" s="12">
        <f>RTD("kgi.tw.der.pricertdserver.2014.1",,C78 &amp;":"&amp; D78&amp;"@" &amp; E78)</f>
        <v>1450.25</v>
      </c>
      <c r="G78" s="9" t="str">
        <f>RTD("kgi.tw.der.pricertdserver.2014.1",,C78 &amp; "_Time" &amp; ":" &amp; D78 &amp; "@" &amp; E78)</f>
        <v>20210514_151445147</v>
      </c>
      <c r="H78" s="13" t="str">
        <f>I78&amp;L78&amp;K78</f>
        <v>ZSI1</v>
      </c>
      <c r="I78" s="13" t="str">
        <f>IF(AND(D78="CBOT",LEFT(C78,2)="ZB"),"US",IF(AND(D78="ICE_EU",LEFT(C78,3)="BRN"),"LCOB",IF(AND(D78="SGX",LEFT(C78,2)="NK"),"SSI",IF(AND(D78="SGX",LEFT(C78,2)="CN"),"SCN",IF(AND(D78="SGX",LEFT(C78,2)="TW"),"STW",IF(LEFT(C78,5)="TOPIX","JTI",IF(RIGHT(LEFT(C78,3),1)="-",LEFT(C78,2),LEFT(C78,3))))))))</f>
        <v>ZS</v>
      </c>
      <c r="J78" t="str">
        <f t="shared" si="10"/>
        <v>U</v>
      </c>
      <c r="K78" t="str">
        <f t="shared" si="11"/>
        <v>1</v>
      </c>
      <c r="L78" t="str">
        <f t="shared" si="12"/>
        <v>I</v>
      </c>
      <c r="M78">
        <f t="shared" si="9"/>
        <v>9</v>
      </c>
    </row>
    <row r="79" spans="1:13">
      <c r="B79" s="38" t="str">
        <f t="shared" si="8"/>
        <v>21年 - 11月</v>
      </c>
      <c r="C79" s="14" t="s">
        <v>2374</v>
      </c>
      <c r="D79" s="9" t="s">
        <v>478</v>
      </c>
      <c r="E79" s="9" t="s">
        <v>459</v>
      </c>
      <c r="F79" s="12">
        <f>RTD("kgi.tw.der.pricertdserver.2014.1",,C79 &amp;":"&amp; D79&amp;"@" &amp; E79)</f>
        <v>1401.75</v>
      </c>
      <c r="G79" s="9" t="str">
        <f>RTD("kgi.tw.der.pricertdserver.2014.1",,C79 &amp; "_Time" &amp; ":" &amp; D79 &amp; "@" &amp; E79)</f>
        <v>20210514_151459664</v>
      </c>
      <c r="H79" s="13" t="str">
        <f>I79&amp;L79&amp;K79</f>
        <v>ZSK1</v>
      </c>
      <c r="I79" s="13" t="str">
        <f>IF(AND(D79="CBOT",LEFT(C79,2)="ZB"),"US",IF(AND(D79="ICE_EU",LEFT(C79,3)="BRN"),"LCOB",IF(AND(D79="SGX",LEFT(C79,2)="NK"),"SSI",IF(AND(D79="SGX",LEFT(C79,2)="CN"),"SCN",IF(AND(D79="SGX",LEFT(C79,2)="TW"),"STW",IF(LEFT(C79,5)="TOPIX","JTI",IF(RIGHT(LEFT(C79,3),1)="-",LEFT(C79,2),LEFT(C79,3))))))))</f>
        <v>ZS</v>
      </c>
      <c r="J79" t="str">
        <f t="shared" si="10"/>
        <v>X</v>
      </c>
      <c r="K79" t="str">
        <f t="shared" si="11"/>
        <v>1</v>
      </c>
      <c r="L79" t="str">
        <f t="shared" si="12"/>
        <v>K</v>
      </c>
      <c r="M79">
        <f t="shared" si="9"/>
        <v>11</v>
      </c>
    </row>
    <row r="80" spans="1:13">
      <c r="A80" t="s">
        <v>1105</v>
      </c>
      <c r="B80" s="38" t="str">
        <f t="shared" si="8"/>
        <v>21年 - 3月</v>
      </c>
      <c r="C80" s="14" t="s">
        <v>2351</v>
      </c>
      <c r="D80" s="9" t="s">
        <v>478</v>
      </c>
      <c r="E80" s="9" t="s">
        <v>459</v>
      </c>
      <c r="F80" s="12" t="e">
        <f>RTD("kgi.tw.der.pricertdserver.2014.1",,C80 &amp;":"&amp; D80&amp;"@" &amp; E80)</f>
        <v>#N/A</v>
      </c>
      <c r="G80" s="9" t="e">
        <f>RTD("kgi.tw.der.pricertdserver.2014.1",,C80 &amp; "_Time" &amp; ":" &amp; D80 &amp; "@" &amp; E80)</f>
        <v>#N/A</v>
      </c>
      <c r="H80" s="13" t="str">
        <f t="shared" si="6"/>
        <v>USC1</v>
      </c>
      <c r="I80" s="13" t="str">
        <f t="shared" si="1"/>
        <v>US</v>
      </c>
      <c r="J80" t="str">
        <f t="shared" si="10"/>
        <v>H</v>
      </c>
      <c r="K80" t="str">
        <f t="shared" si="11"/>
        <v>1</v>
      </c>
      <c r="L80" t="str">
        <f t="shared" si="12"/>
        <v>C</v>
      </c>
      <c r="M80">
        <f t="shared" si="9"/>
        <v>3</v>
      </c>
    </row>
    <row r="81" spans="1:14">
      <c r="B81" s="38" t="str">
        <f t="shared" si="8"/>
        <v>21年 - 6月</v>
      </c>
      <c r="C81" s="11" t="s">
        <v>2352</v>
      </c>
      <c r="D81" s="9" t="s">
        <v>478</v>
      </c>
      <c r="E81" s="9" t="s">
        <v>459</v>
      </c>
      <c r="F81" s="12">
        <f>RTD("kgi.tw.der.pricertdserver.2014.1",,C81 &amp;":"&amp; D81&amp;"@" &amp; E81)</f>
        <v>156.3125</v>
      </c>
      <c r="G81" s="9" t="str">
        <f>RTD("kgi.tw.der.pricertdserver.2014.1",,C81 &amp; "_Time" &amp; ":" &amp; D81 &amp; "@" &amp; E81)</f>
        <v>20210514_151459664</v>
      </c>
      <c r="H81" s="13" t="str">
        <f t="shared" ref="H81:H111" si="13">I81&amp;L81&amp;K81</f>
        <v>USF1</v>
      </c>
      <c r="I81" s="13" t="str">
        <f t="shared" ref="I81:I109" si="14">IF(AND(D81="CBOT",LEFT(C81,2)="ZB"),"US",IF(AND(D81="ICE_EU",LEFT(C81,3)="BRN"),"LCOB",IF(AND(D81="SGX",LEFT(C81,2)="NK"),"SSI",IF(AND(D81="SGX",LEFT(C81,2)="CN"),"SCN",IF(AND(D81="SGX",LEFT(C81,2)="TW"),"STW",IF(LEFT(C81,5)="TOPIX","JTI",IF(RIGHT(LEFT(C81,3),1)="-",LEFT(C81,2),LEFT(C81,3))))))))</f>
        <v>US</v>
      </c>
      <c r="J81" t="str">
        <f t="shared" si="10"/>
        <v>M</v>
      </c>
      <c r="K81" t="str">
        <f t="shared" si="11"/>
        <v>1</v>
      </c>
      <c r="L81" t="str">
        <f t="shared" si="12"/>
        <v>F</v>
      </c>
      <c r="M81">
        <f t="shared" si="9"/>
        <v>6</v>
      </c>
    </row>
    <row r="82" spans="1:14">
      <c r="B82" s="38" t="str">
        <f t="shared" si="8"/>
        <v>21年 - 9月</v>
      </c>
      <c r="C82" s="11" t="s">
        <v>2353</v>
      </c>
      <c r="D82" s="9" t="s">
        <v>478</v>
      </c>
      <c r="E82" s="9" t="s">
        <v>459</v>
      </c>
      <c r="F82" s="12">
        <f>RTD("kgi.tw.der.pricertdserver.2014.1",,C82 &amp;":"&amp; D82&amp;"@" &amp; E82)</f>
        <v>154.625</v>
      </c>
      <c r="G82" s="9" t="str">
        <f>RTD("kgi.tw.der.pricertdserver.2014.1",,C82 &amp; "_Time" &amp; ":" &amp; D82 &amp; "@" &amp; E82)</f>
        <v>20210514_151459648</v>
      </c>
      <c r="H82" s="13" t="str">
        <f t="shared" si="13"/>
        <v>USI1</v>
      </c>
      <c r="I82" s="13" t="str">
        <f t="shared" si="14"/>
        <v>US</v>
      </c>
      <c r="J82" t="str">
        <f t="shared" si="10"/>
        <v>U</v>
      </c>
      <c r="K82" t="str">
        <f t="shared" si="11"/>
        <v>1</v>
      </c>
      <c r="L82" t="str">
        <f t="shared" si="12"/>
        <v>I</v>
      </c>
      <c r="M82">
        <f t="shared" si="9"/>
        <v>9</v>
      </c>
    </row>
    <row r="83" spans="1:14">
      <c r="A83" t="s">
        <v>493</v>
      </c>
      <c r="B83" s="38" t="str">
        <f t="shared" si="8"/>
        <v>21年 - 1月</v>
      </c>
      <c r="C83" s="14" t="s">
        <v>1398</v>
      </c>
      <c r="D83" s="9" t="s">
        <v>485</v>
      </c>
      <c r="E83" s="9" t="s">
        <v>459</v>
      </c>
      <c r="F83" s="12" t="e">
        <f>RTD("kgi.tw.der.pricertdserver.2014.1",,C83 &amp;":"&amp; D83&amp;"@" &amp; E83)</f>
        <v>#N/A</v>
      </c>
      <c r="G83" s="9" t="e">
        <f>RTD("kgi.tw.der.pricertdserver.2014.1",,C83 &amp; "_Time" &amp; ":" &amp; D83 &amp; "@" &amp; E83)</f>
        <v>#N/A</v>
      </c>
      <c r="H83" s="13" t="str">
        <f t="shared" si="13"/>
        <v>STWA1</v>
      </c>
      <c r="I83" s="13" t="str">
        <f t="shared" si="14"/>
        <v>STW</v>
      </c>
      <c r="J83" t="str">
        <f t="shared" si="2"/>
        <v>F</v>
      </c>
      <c r="K83" t="str">
        <f t="shared" si="3"/>
        <v>1</v>
      </c>
      <c r="L83" t="str">
        <f t="shared" si="4"/>
        <v>A</v>
      </c>
      <c r="M83">
        <f t="shared" si="9"/>
        <v>1</v>
      </c>
    </row>
    <row r="84" spans="1:14">
      <c r="A84" t="s">
        <v>494</v>
      </c>
      <c r="B84" s="38" t="str">
        <f t="shared" si="8"/>
        <v>21年 - 3月</v>
      </c>
      <c r="C84" s="14" t="s">
        <v>1783</v>
      </c>
      <c r="D84" s="9" t="s">
        <v>485</v>
      </c>
      <c r="E84" s="9" t="s">
        <v>459</v>
      </c>
      <c r="F84" s="12" t="e">
        <f>RTD("kgi.tw.der.pricertdserver.2014.1",,C84 &amp;":"&amp; D84&amp;"@" &amp; E84)</f>
        <v>#N/A</v>
      </c>
      <c r="G84" s="9" t="e">
        <f>RTD("kgi.tw.der.pricertdserver.2014.1",,C84 &amp; "_Time" &amp; ":" &amp; D84 &amp; "@" &amp; E84)</f>
        <v>#N/A</v>
      </c>
      <c r="H84" s="13" t="str">
        <f t="shared" si="13"/>
        <v>STWC1</v>
      </c>
      <c r="I84" s="13" t="str">
        <f t="shared" si="14"/>
        <v>STW</v>
      </c>
      <c r="J84" t="str">
        <f t="shared" si="2"/>
        <v>H</v>
      </c>
      <c r="K84" t="str">
        <f t="shared" si="3"/>
        <v>1</v>
      </c>
      <c r="L84" t="str">
        <f t="shared" si="4"/>
        <v>C</v>
      </c>
      <c r="M84">
        <f t="shared" si="9"/>
        <v>3</v>
      </c>
    </row>
    <row r="85" spans="1:14">
      <c r="A85" t="s">
        <v>2581</v>
      </c>
      <c r="B85" s="38" t="str">
        <f t="shared" si="8"/>
        <v>21年 - 6月</v>
      </c>
      <c r="C85" s="11" t="s">
        <v>2586</v>
      </c>
      <c r="D85" s="9" t="s">
        <v>2583</v>
      </c>
      <c r="E85" s="9" t="s">
        <v>2584</v>
      </c>
      <c r="F85" s="42">
        <f>RTD("kgi.tw.der.pricertdserver.2014.1",,C85 &amp;":"&amp; D85&amp;"@" &amp; E85)</f>
        <v>90.53</v>
      </c>
      <c r="G85" s="9" t="str">
        <f>RTD("kgi.tw.der.pricertdserver.2014.1",,C85 &amp; "_Time" &amp; ":" &amp; D85 &amp; "@" &amp; E85)</f>
        <v>20210514_151459148</v>
      </c>
      <c r="H85" s="13" t="str">
        <f>N85&amp;L85&amp;K85</f>
        <v>DXF1</v>
      </c>
      <c r="I85" s="13" t="str">
        <f>IF(AND(D85="CBOT",LEFT(C85,2)="ZB"),"US",IF(AND(D85="ICE_EU",LEFT(C85,3)="BRN"),"LCOB",IF(AND(D85="SGX",LEFT(C85,2)="NK"),"SSI",IF(AND(D85="SGX",LEFT(C85,2)="CN"),"SCN",IF(AND(D85="SGX",LEFT(C85,2)="TW"),"STW",IF(LEFT(C85,5)="TOPIX","JTI",IF(RIGHT(LEFT(C85,3),1)="-",LEFT(C85,2),LEFT(C85,3))))))))</f>
        <v>DX</v>
      </c>
      <c r="J85" t="str">
        <f t="shared" si="2"/>
        <v>M</v>
      </c>
      <c r="K85" t="str">
        <f t="shared" si="3"/>
        <v>1</v>
      </c>
      <c r="L85" t="str">
        <f>VLOOKUP(J85,$V$1:$W$14,2,FALSE)</f>
        <v>F</v>
      </c>
      <c r="M85">
        <f t="shared" si="9"/>
        <v>6</v>
      </c>
      <c r="N85" t="s">
        <v>2581</v>
      </c>
    </row>
    <row r="86" spans="1:14">
      <c r="A86" t="s">
        <v>2582</v>
      </c>
      <c r="B86" s="38" t="str">
        <f>RIGHT(C86,2)&amp;"年"&amp;" - "&amp;M86&amp;"月"</f>
        <v>21年 - 9月</v>
      </c>
      <c r="C86" s="14" t="s">
        <v>2588</v>
      </c>
      <c r="D86" s="9" t="s">
        <v>2583</v>
      </c>
      <c r="E86" s="9" t="s">
        <v>2584</v>
      </c>
      <c r="F86" s="42">
        <f>RTD("kgi.tw.der.pricertdserver.2014.1",,C86 &amp;":"&amp; D86&amp;"@" &amp; E86)</f>
        <v>90.55</v>
      </c>
      <c r="G86" s="9" t="str">
        <f>RTD("kgi.tw.der.pricertdserver.2014.1",,C86 &amp; "_Time" &amp; ":" &amp; D86 &amp; "@" &amp; E86)</f>
        <v>20210514_151459398</v>
      </c>
      <c r="H86" s="13" t="str">
        <f t="shared" ref="H86:H87" si="15">N86&amp;L86&amp;K86</f>
        <v>DXI1</v>
      </c>
      <c r="I86" s="13" t="str">
        <f t="shared" ref="I86:I87" si="16">IF(AND(D86="CBOT",LEFT(C86,2)="ZB"),"US",IF(AND(D86="ICE_EU",LEFT(C86,3)="BRN"),"LCOB",IF(AND(D86="SGX",LEFT(C86,2)="NK"),"SSI",IF(AND(D86="SGX",LEFT(C86,2)="CN"),"SCN",IF(AND(D86="SGX",LEFT(C86,2)="TW"),"STW",IF(LEFT(C86,5)="TOPIX","JTI",IF(RIGHT(LEFT(C86,3),1)="-",LEFT(C86,2),LEFT(C86,3))))))))</f>
        <v>DX</v>
      </c>
      <c r="J86" t="str">
        <f t="shared" si="2"/>
        <v>U</v>
      </c>
      <c r="K86" t="str">
        <f t="shared" si="3"/>
        <v>1</v>
      </c>
      <c r="L86" t="str">
        <f t="shared" ref="L86:L88" si="17">VLOOKUP(J86,$V$1:$W$14,2,FALSE)</f>
        <v>I</v>
      </c>
      <c r="M86">
        <f t="shared" si="9"/>
        <v>9</v>
      </c>
      <c r="N86" t="s">
        <v>2581</v>
      </c>
    </row>
    <row r="87" spans="1:14">
      <c r="B87" s="38" t="str">
        <f>RIGHT(C87,2)&amp;"年"&amp;" - "&amp;M87&amp;"月"</f>
        <v>21年 - 12月</v>
      </c>
      <c r="C87" s="14" t="s">
        <v>2590</v>
      </c>
      <c r="D87" s="9" t="s">
        <v>2583</v>
      </c>
      <c r="E87" s="9" t="s">
        <v>2584</v>
      </c>
      <c r="F87" s="42">
        <f>RTD("kgi.tw.der.pricertdserver.2014.1",,C87 &amp;":"&amp; D87&amp;"@" &amp; E87)</f>
        <v>90.62</v>
      </c>
      <c r="G87" s="9">
        <f>RTD("kgi.tw.der.pricertdserver.2014.1",,C87 &amp; "_Time" &amp; ":" &amp; D87 &amp; "@" &amp; E87)</f>
        <v>0</v>
      </c>
      <c r="H87" s="13" t="str">
        <f t="shared" si="15"/>
        <v>DXL1</v>
      </c>
      <c r="I87" s="13" t="str">
        <f t="shared" si="16"/>
        <v>DX</v>
      </c>
      <c r="J87" t="str">
        <f t="shared" si="2"/>
        <v>Z</v>
      </c>
      <c r="K87" t="str">
        <f t="shared" si="3"/>
        <v>1</v>
      </c>
      <c r="L87" t="str">
        <f t="shared" si="17"/>
        <v>L</v>
      </c>
      <c r="M87">
        <f t="shared" si="9"/>
        <v>12</v>
      </c>
      <c r="N87" t="s">
        <v>2581</v>
      </c>
    </row>
    <row r="88" spans="1:14">
      <c r="B88" s="38" t="str">
        <f t="shared" ref="B88" si="18">RIGHT(C88,2)&amp;"年"&amp;" - "&amp;M88&amp;"月"</f>
        <v>22年 - 3月</v>
      </c>
      <c r="C88" s="11" t="s">
        <v>2591</v>
      </c>
      <c r="D88" s="9" t="s">
        <v>2583</v>
      </c>
      <c r="E88" s="9" t="s">
        <v>2584</v>
      </c>
      <c r="F88" s="42" t="e">
        <f>RTD("kgi.tw.der.pricertdserver.2014.1",,C88 &amp;":"&amp; D88&amp;"@" &amp; E88)</f>
        <v>#N/A</v>
      </c>
      <c r="G88" s="9" t="e">
        <f>RTD("kgi.tw.der.pricertdserver.2014.1",,C88 &amp; "_Time" &amp; ":" &amp; D88 &amp; "@" &amp; E88)</f>
        <v>#N/A</v>
      </c>
      <c r="H88" s="13" t="str">
        <f>N88&amp;L88&amp;K88</f>
        <v>DXC2</v>
      </c>
      <c r="I88" s="13" t="str">
        <f>IF(AND(D88="CBOT",LEFT(C88,2)="ZB"),"US",IF(AND(D88="ICE_EU",LEFT(C88,3)="BRN"),"LCOB",IF(AND(D88="SGX",LEFT(C88,2)="NK"),"SSI",IF(AND(D88="SGX",LEFT(C88,2)="CN"),"SCN",IF(AND(D88="SGX",LEFT(C88,2)="TW"),"STW",IF(LEFT(C88,5)="TOPIX","JTI",IF(RIGHT(LEFT(C88,3),1)="-",LEFT(C88,2),LEFT(C88,3))))))))</f>
        <v>DX</v>
      </c>
      <c r="J88" t="str">
        <f t="shared" si="2"/>
        <v>H</v>
      </c>
      <c r="K88" t="str">
        <f t="shared" si="3"/>
        <v>2</v>
      </c>
      <c r="L88" t="str">
        <f t="shared" si="17"/>
        <v>C</v>
      </c>
      <c r="M88">
        <f t="shared" si="9"/>
        <v>3</v>
      </c>
      <c r="N88" t="s">
        <v>2581</v>
      </c>
    </row>
    <row r="89" spans="1:14">
      <c r="A89" t="s">
        <v>495</v>
      </c>
      <c r="B89" s="38" t="str">
        <f t="shared" si="8"/>
        <v>21年 - 5月</v>
      </c>
      <c r="C89" s="11" t="s">
        <v>2475</v>
      </c>
      <c r="D89" s="9" t="s">
        <v>485</v>
      </c>
      <c r="E89" s="9" t="s">
        <v>459</v>
      </c>
      <c r="F89" s="12" t="e">
        <f>RTD("kgi.tw.der.pricertdserver.2014.1",,C89 &amp;":"&amp; D89&amp;"@" &amp; E89)</f>
        <v>#N/A</v>
      </c>
      <c r="G89" s="9" t="e">
        <f>RTD("kgi.tw.der.pricertdserver.2014.1",,C89 &amp; "_Time" &amp; ":" &amp; D89 &amp; "@" &amp; E89)</f>
        <v>#N/A</v>
      </c>
      <c r="H89" s="13" t="str">
        <f t="shared" si="13"/>
        <v>NCHE1</v>
      </c>
      <c r="I89" s="13" t="str">
        <f t="shared" si="14"/>
        <v>NCH</v>
      </c>
      <c r="J89" t="str">
        <f t="shared" ref="J89:J109" si="19">LEFT(RIGHT(C89,3),1)</f>
        <v>K</v>
      </c>
      <c r="K89" t="str">
        <f t="shared" ref="K89:K101" si="20">RIGHT(C89,1)</f>
        <v>1</v>
      </c>
      <c r="L89" t="str">
        <f t="shared" ref="L89:L105" si="21">VLOOKUP(J89,$V$1:$W$14,2,FALSE)</f>
        <v>E</v>
      </c>
      <c r="M89">
        <f t="shared" si="9"/>
        <v>5</v>
      </c>
    </row>
    <row r="90" spans="1:14">
      <c r="B90" s="38" t="str">
        <f t="shared" si="8"/>
        <v>21年 - 2月</v>
      </c>
      <c r="C90" s="11" t="s">
        <v>2430</v>
      </c>
      <c r="D90" s="9" t="s">
        <v>485</v>
      </c>
      <c r="E90" s="9" t="s">
        <v>459</v>
      </c>
      <c r="F90" s="12" t="e">
        <f>RTD("kgi.tw.der.pricertdserver.2014.1",,C90 &amp;":"&amp; D90&amp;"@" &amp; E90)</f>
        <v>#N/A</v>
      </c>
      <c r="G90" s="9" t="e">
        <f>RTD("kgi.tw.der.pricertdserver.2014.1",,C90 &amp; "_Time" &amp; ":" &amp; D90 &amp; "@" &amp; E90)</f>
        <v>#N/A</v>
      </c>
      <c r="H90" s="13" t="str">
        <f t="shared" si="13"/>
        <v>NCHB1</v>
      </c>
      <c r="I90" s="13" t="str">
        <f t="shared" si="14"/>
        <v>NCH</v>
      </c>
      <c r="J90" t="str">
        <f t="shared" si="19"/>
        <v>G</v>
      </c>
      <c r="K90" t="str">
        <f t="shared" si="20"/>
        <v>1</v>
      </c>
      <c r="L90" t="str">
        <f t="shared" si="21"/>
        <v>B</v>
      </c>
      <c r="M90">
        <f t="shared" si="9"/>
        <v>2</v>
      </c>
    </row>
    <row r="91" spans="1:14">
      <c r="B91" s="38" t="str">
        <f t="shared" si="8"/>
        <v>21年 - 3月</v>
      </c>
      <c r="C91" s="11" t="s">
        <v>1805</v>
      </c>
      <c r="D91" s="9" t="s">
        <v>485</v>
      </c>
      <c r="E91" s="9" t="s">
        <v>459</v>
      </c>
      <c r="F91" s="12" t="e">
        <f>RTD("kgi.tw.der.pricertdserver.2014.1",,C91 &amp;":"&amp; D91&amp;"@" &amp; E91)</f>
        <v>#N/A</v>
      </c>
      <c r="G91" s="9" t="e">
        <f>RTD("kgi.tw.der.pricertdserver.2014.1",,C91 &amp; "_Time" &amp; ":" &amp; D91 &amp; "@" &amp; E91)</f>
        <v>#N/A</v>
      </c>
      <c r="H91" s="13" t="str">
        <f>I91&amp;L91&amp;K91</f>
        <v>NCHC1</v>
      </c>
      <c r="I91" s="13" t="str">
        <f>IF(AND(D91="CBOT",LEFT(C91,2)="ZB"),"US",IF(AND(D91="ICE_EU",LEFT(C91,3)="BRN"),"LCOB",IF(AND(D91="SGX",LEFT(C91,2)="NK"),"SSI",IF(AND(D91="SGX",LEFT(C91,2)="CN"),"SCN",IF(AND(D91="SGX",LEFT(C91,2)="TW"),"STW",IF(LEFT(C91,5)="TOPIX","JTI",IF(RIGHT(LEFT(C91,3),1)="-",LEFT(C91,2),LEFT(C91,3))))))))</f>
        <v>NCH</v>
      </c>
      <c r="J91" t="str">
        <f>LEFT(RIGHT(C91,3),1)</f>
        <v>H</v>
      </c>
      <c r="K91" t="str">
        <f>RIGHT(C91,1)</f>
        <v>1</v>
      </c>
      <c r="L91" t="str">
        <f>VLOOKUP(J91,$V$1:$W$14,2,FALSE)</f>
        <v>C</v>
      </c>
      <c r="M91">
        <f t="shared" si="9"/>
        <v>3</v>
      </c>
    </row>
    <row r="92" spans="1:14">
      <c r="B92" s="38" t="str">
        <f t="shared" si="8"/>
        <v>21年 - 4月</v>
      </c>
      <c r="C92" s="11" t="s">
        <v>2432</v>
      </c>
      <c r="D92" s="9" t="s">
        <v>485</v>
      </c>
      <c r="E92" s="9" t="s">
        <v>459</v>
      </c>
      <c r="F92" s="12" t="e">
        <f>RTD("kgi.tw.der.pricertdserver.2014.1",,C92 &amp;":"&amp; D92&amp;"@" &amp; E92)</f>
        <v>#N/A</v>
      </c>
      <c r="G92" s="9" t="e">
        <f>RTD("kgi.tw.der.pricertdserver.2014.1",,C92 &amp; "_Time" &amp; ":" &amp; D92 &amp; "@" &amp; E92)</f>
        <v>#N/A</v>
      </c>
      <c r="H92" s="13" t="str">
        <f t="shared" si="13"/>
        <v>NCHD1</v>
      </c>
      <c r="I92" s="13" t="str">
        <f t="shared" si="14"/>
        <v>NCH</v>
      </c>
      <c r="J92" t="str">
        <f t="shared" si="19"/>
        <v>J</v>
      </c>
      <c r="K92" t="str">
        <f t="shared" si="20"/>
        <v>1</v>
      </c>
      <c r="L92" t="str">
        <f t="shared" si="21"/>
        <v>D</v>
      </c>
      <c r="M92">
        <f t="shared" si="9"/>
        <v>4</v>
      </c>
    </row>
    <row r="93" spans="1:14">
      <c r="A93" t="s">
        <v>498</v>
      </c>
      <c r="B93" s="38" t="str">
        <f t="shared" si="8"/>
        <v>21年 - 1月</v>
      </c>
      <c r="C93" s="14" t="s">
        <v>1802</v>
      </c>
      <c r="D93" s="9" t="s">
        <v>482</v>
      </c>
      <c r="E93" s="9" t="s">
        <v>459</v>
      </c>
      <c r="F93" s="12" t="e">
        <f>RTD("kgi.tw.der.pricertdserver.2014.1",,C93 &amp;":"&amp; D93&amp;"@" &amp; E93)</f>
        <v>#N/A</v>
      </c>
      <c r="G93" s="9" t="e">
        <f>RTD("kgi.tw.der.pricertdserver.2014.1",,C93 &amp; "_Time" &amp; ":" &amp; D93 &amp; "@" &amp; E93)</f>
        <v>#N/A</v>
      </c>
      <c r="H93" s="13" t="str">
        <f t="shared" si="13"/>
        <v>HHIA1</v>
      </c>
      <c r="I93" s="13" t="str">
        <f t="shared" si="14"/>
        <v>HHI</v>
      </c>
      <c r="J93" t="str">
        <f t="shared" si="19"/>
        <v>F</v>
      </c>
      <c r="K93" t="str">
        <f t="shared" si="20"/>
        <v>1</v>
      </c>
      <c r="L93" t="str">
        <f t="shared" si="21"/>
        <v>A</v>
      </c>
      <c r="M93">
        <f t="shared" si="9"/>
        <v>1</v>
      </c>
    </row>
    <row r="94" spans="1:14">
      <c r="A94" t="s">
        <v>497</v>
      </c>
      <c r="B94" s="38" t="str">
        <f t="shared" si="8"/>
        <v>21年 - 4月</v>
      </c>
      <c r="C94" s="14" t="s">
        <v>2559</v>
      </c>
      <c r="D94" s="9" t="s">
        <v>482</v>
      </c>
      <c r="E94" s="9" t="s">
        <v>459</v>
      </c>
      <c r="F94" s="12" t="e">
        <f>RTD("kgi.tw.der.pricertdserver.2014.1",,C94 &amp;":"&amp; D94&amp;"@" &amp; E94)</f>
        <v>#N/A</v>
      </c>
      <c r="G94" s="9" t="e">
        <f>RTD("kgi.tw.der.pricertdserver.2014.1",,C94 &amp; "_Time" &amp; ":" &amp; D94 &amp; "@" &amp; E94)</f>
        <v>#N/A</v>
      </c>
      <c r="H94" s="13" t="str">
        <f t="shared" si="13"/>
        <v>HHID1</v>
      </c>
      <c r="I94" s="13" t="str">
        <f t="shared" si="14"/>
        <v>HHI</v>
      </c>
      <c r="J94" t="str">
        <f t="shared" si="19"/>
        <v>J</v>
      </c>
      <c r="K94" t="str">
        <f t="shared" si="20"/>
        <v>1</v>
      </c>
      <c r="L94" t="str">
        <f t="shared" si="21"/>
        <v>D</v>
      </c>
      <c r="M94">
        <f t="shared" si="9"/>
        <v>4</v>
      </c>
    </row>
    <row r="95" spans="1:14">
      <c r="B95" s="38" t="str">
        <f t="shared" si="8"/>
        <v>21年 - 6月</v>
      </c>
      <c r="C95" s="14" t="s">
        <v>2404</v>
      </c>
      <c r="D95" s="9" t="s">
        <v>482</v>
      </c>
      <c r="E95" s="9" t="s">
        <v>459</v>
      </c>
      <c r="F95" s="12">
        <f>RTD("kgi.tw.der.pricertdserver.2014.1",,C95 &amp;":"&amp; D95&amp;"@" &amp; E95)</f>
        <v>10305</v>
      </c>
      <c r="G95" s="9" t="str">
        <f>RTD("kgi.tw.der.pricertdserver.2014.1",,C95 &amp; "_Time" &amp; ":" &amp; D95 &amp; "@" &amp; E95)</f>
        <v>20210514_151459757</v>
      </c>
      <c r="H95" s="13" t="str">
        <f t="shared" si="13"/>
        <v>HHIF1</v>
      </c>
      <c r="I95" s="13" t="str">
        <f t="shared" si="14"/>
        <v>HHI</v>
      </c>
      <c r="J95" t="str">
        <f t="shared" si="19"/>
        <v>M</v>
      </c>
      <c r="K95" t="str">
        <f t="shared" si="20"/>
        <v>1</v>
      </c>
      <c r="L95" t="str">
        <f t="shared" si="21"/>
        <v>F</v>
      </c>
      <c r="M95">
        <f t="shared" si="9"/>
        <v>6</v>
      </c>
    </row>
    <row r="96" spans="1:14">
      <c r="B96" s="38" t="str">
        <f t="shared" si="8"/>
        <v>21年 - 9月</v>
      </c>
      <c r="C96" s="14" t="s">
        <v>2405</v>
      </c>
      <c r="D96" s="9" t="s">
        <v>482</v>
      </c>
      <c r="E96" s="9" t="s">
        <v>459</v>
      </c>
      <c r="F96" s="12">
        <f>RTD("kgi.tw.der.pricertdserver.2014.1",,C96 &amp;":"&amp; D96&amp;"@" &amp; E96)</f>
        <v>10174</v>
      </c>
      <c r="G96" s="9" t="str">
        <f>RTD("kgi.tw.der.pricertdserver.2014.1",,C96 &amp; "_Time" &amp; ":" &amp; D96 &amp; "@" &amp; E96)</f>
        <v>20210514_151459757</v>
      </c>
      <c r="H96" s="13" t="str">
        <f t="shared" si="13"/>
        <v>HHII1</v>
      </c>
      <c r="I96" s="13" t="str">
        <f t="shared" si="14"/>
        <v>HHI</v>
      </c>
      <c r="J96" t="str">
        <f t="shared" si="19"/>
        <v>U</v>
      </c>
      <c r="K96" t="str">
        <f t="shared" si="20"/>
        <v>1</v>
      </c>
      <c r="L96" t="str">
        <f t="shared" si="21"/>
        <v>I</v>
      </c>
      <c r="M96">
        <f t="shared" si="9"/>
        <v>9</v>
      </c>
    </row>
    <row r="97" spans="1:13">
      <c r="B97" s="38" t="str">
        <f t="shared" si="8"/>
        <v>21年 - 3月</v>
      </c>
      <c r="C97" s="14" t="s">
        <v>1811</v>
      </c>
      <c r="D97" s="9" t="s">
        <v>482</v>
      </c>
      <c r="E97" s="9" t="s">
        <v>459</v>
      </c>
      <c r="F97" s="12" t="e">
        <f>RTD("kgi.tw.der.pricertdserver.2014.1",,C97 &amp;":"&amp; D97&amp;"@" &amp; E97)</f>
        <v>#N/A</v>
      </c>
      <c r="G97" s="9" t="e">
        <f>RTD("kgi.tw.der.pricertdserver.2014.1",,C97 &amp; "_Time" &amp; ":" &amp; D97 &amp; "@" &amp; E97)</f>
        <v>#N/A</v>
      </c>
      <c r="H97" s="13" t="str">
        <f>I97&amp;L97&amp;K97</f>
        <v>HHIC1</v>
      </c>
      <c r="I97" s="13" t="str">
        <f>IF(AND(D97="CBOT",LEFT(C97,2)="ZB"),"US",IF(AND(D97="ICE_EU",LEFT(C97,3)="BRN"),"LCOB",IF(AND(D97="SGX",LEFT(C97,2)="NK"),"SSI",IF(AND(D97="SGX",LEFT(C97,2)="CN"),"SCN",IF(AND(D97="SGX",LEFT(C97,2)="TW"),"STW",IF(LEFT(C97,5)="TOPIX","JTI",IF(RIGHT(LEFT(C97,3),1)="-",LEFT(C97,2),LEFT(C97,3))))))))</f>
        <v>HHI</v>
      </c>
      <c r="J97" t="str">
        <f>LEFT(RIGHT(C97,3),1)</f>
        <v>H</v>
      </c>
      <c r="K97" t="str">
        <f>RIGHT(C97,1)</f>
        <v>1</v>
      </c>
      <c r="L97" t="str">
        <f>VLOOKUP(J97,$V$1:$W$14,2,FALSE)</f>
        <v>C</v>
      </c>
      <c r="M97">
        <f t="shared" si="9"/>
        <v>3</v>
      </c>
    </row>
    <row r="98" spans="1:13">
      <c r="A98" t="s">
        <v>500</v>
      </c>
      <c r="B98" s="38" t="str">
        <f t="shared" si="8"/>
        <v>21年 - 6月</v>
      </c>
      <c r="C98" s="14" t="s">
        <v>1395</v>
      </c>
      <c r="D98" s="9" t="s">
        <v>485</v>
      </c>
      <c r="E98" s="9" t="s">
        <v>459</v>
      </c>
      <c r="F98" s="12">
        <f>RTD("kgi.tw.der.pricertdserver.2014.1",,C98 &amp;":"&amp; D98&amp;"@" &amp; E98)</f>
        <v>28030</v>
      </c>
      <c r="G98" s="9" t="str">
        <f>RTD("kgi.tw.der.pricertdserver.2014.1",,C98 &amp; "_Time" &amp; ":" &amp; D98 &amp; "@" &amp; E98)</f>
        <v>20210514_151459706</v>
      </c>
      <c r="H98" s="13" t="str">
        <f t="shared" si="13"/>
        <v>SSIF1</v>
      </c>
      <c r="I98" s="13" t="str">
        <f>IF(AND(D98="CBOT",LEFT(C98,2)="ZB"),"US",IF(AND(D98="ICE_EU",LEFT(C98,3)="BRN"),"LCOB",IF(AND(D98="SGX",LEFT(C98,2)="NK"),"SSI",IF(AND(D98="SGX",LEFT(C98,2)="CN"),"SCN",IF(AND(D98="SGX",LEFT(C98,2)="TW"),"STW",IF(LEFT(C98,5)="TOPIX","JTI",IF(RIGHT(LEFT(C98,3),1)="-",LEFT(C98,2),LEFT(C98,3))))))))</f>
        <v>SSI</v>
      </c>
      <c r="J98" t="str">
        <f t="shared" si="19"/>
        <v>M</v>
      </c>
      <c r="K98" t="str">
        <f t="shared" si="20"/>
        <v>1</v>
      </c>
      <c r="L98" t="str">
        <f t="shared" si="21"/>
        <v>F</v>
      </c>
      <c r="M98">
        <f t="shared" si="9"/>
        <v>6</v>
      </c>
    </row>
    <row r="99" spans="1:13">
      <c r="A99" t="s">
        <v>499</v>
      </c>
      <c r="B99" s="38" t="str">
        <f t="shared" si="8"/>
        <v>21年 - 12月</v>
      </c>
      <c r="C99" s="11" t="s">
        <v>2484</v>
      </c>
      <c r="D99" s="9" t="s">
        <v>485</v>
      </c>
      <c r="E99" s="9" t="s">
        <v>459</v>
      </c>
      <c r="F99" s="12">
        <f>RTD("kgi.tw.der.pricertdserver.2014.1",,C99 &amp;":"&amp; D99&amp;"@" &amp; E99)</f>
        <v>-7.9228162514264338E+28</v>
      </c>
      <c r="G99" s="9" t="str">
        <f>RTD("kgi.tw.der.pricertdserver.2014.1",,C99 &amp; "_Time" &amp; ":" &amp; D99 &amp; "@" &amp; E99)</f>
        <v>20210514_144944202</v>
      </c>
      <c r="H99" s="13" t="str">
        <f t="shared" si="13"/>
        <v>SSIL1</v>
      </c>
      <c r="I99" s="13" t="str">
        <f t="shared" si="14"/>
        <v>SSI</v>
      </c>
      <c r="J99" t="str">
        <f t="shared" si="19"/>
        <v>Z</v>
      </c>
      <c r="K99" t="str">
        <f t="shared" si="20"/>
        <v>1</v>
      </c>
      <c r="L99" t="str">
        <f t="shared" si="21"/>
        <v>L</v>
      </c>
      <c r="M99">
        <f t="shared" si="9"/>
        <v>12</v>
      </c>
    </row>
    <row r="100" spans="1:13">
      <c r="B100" s="38" t="str">
        <f t="shared" si="8"/>
        <v>21年 - 3月</v>
      </c>
      <c r="C100" s="11" t="s">
        <v>1355</v>
      </c>
      <c r="D100" s="9" t="s">
        <v>485</v>
      </c>
      <c r="E100" s="9" t="s">
        <v>459</v>
      </c>
      <c r="F100" s="12" t="e">
        <f>RTD("kgi.tw.der.pricertdserver.2014.1",,C100 &amp;":"&amp; D100&amp;"@" &amp; E100)</f>
        <v>#N/A</v>
      </c>
      <c r="G100" s="9" t="e">
        <f>RTD("kgi.tw.der.pricertdserver.2014.1",,C100 &amp; "_Time" &amp; ":" &amp; D100 &amp; "@" &amp; E100)</f>
        <v>#N/A</v>
      </c>
      <c r="H100" s="13" t="str">
        <f t="shared" si="13"/>
        <v>SSIC1</v>
      </c>
      <c r="I100" s="13" t="str">
        <f t="shared" si="14"/>
        <v>SSI</v>
      </c>
      <c r="J100" t="str">
        <f t="shared" si="19"/>
        <v>H</v>
      </c>
      <c r="K100" t="str">
        <f t="shared" si="20"/>
        <v>1</v>
      </c>
      <c r="L100" t="str">
        <f t="shared" si="21"/>
        <v>C</v>
      </c>
      <c r="M100">
        <f t="shared" si="9"/>
        <v>3</v>
      </c>
    </row>
    <row r="101" spans="1:13">
      <c r="B101" s="38" t="str">
        <f t="shared" si="8"/>
        <v>21年 - 9月</v>
      </c>
      <c r="C101" s="14" t="s">
        <v>2406</v>
      </c>
      <c r="D101" s="9" t="s">
        <v>485</v>
      </c>
      <c r="E101" s="9" t="s">
        <v>459</v>
      </c>
      <c r="F101" s="12">
        <f>RTD("kgi.tw.der.pricertdserver.2014.1",,C101 &amp;":"&amp; D101&amp;"@" &amp; E101)</f>
        <v>28055</v>
      </c>
      <c r="G101" s="9" t="str">
        <f>RTD("kgi.tw.der.pricertdserver.2014.1",,C101 &amp; "_Time" &amp; ":" &amp; D101 &amp; "@" &amp; E101)</f>
        <v>20210514_151458570</v>
      </c>
      <c r="H101" s="13" t="str">
        <f t="shared" si="13"/>
        <v>SSII1</v>
      </c>
      <c r="I101" s="13" t="str">
        <f t="shared" si="14"/>
        <v>SSI</v>
      </c>
      <c r="J101" t="str">
        <f t="shared" si="19"/>
        <v>U</v>
      </c>
      <c r="K101" t="str">
        <f t="shared" si="20"/>
        <v>1</v>
      </c>
      <c r="L101" t="str">
        <f t="shared" si="21"/>
        <v>I</v>
      </c>
      <c r="M101">
        <f t="shared" si="9"/>
        <v>9</v>
      </c>
    </row>
    <row r="102" spans="1:13">
      <c r="A102" t="s">
        <v>716</v>
      </c>
      <c r="B102" s="38" t="str">
        <f t="shared" si="8"/>
        <v>21年 - 12月</v>
      </c>
      <c r="C102" s="14" t="s">
        <v>2407</v>
      </c>
      <c r="D102" s="9" t="s">
        <v>715</v>
      </c>
      <c r="E102" s="9" t="s">
        <v>459</v>
      </c>
      <c r="F102" s="12" t="e">
        <f>RTD("kgi.tw.der.pricertdserver.2014.1",,C102 &amp;":"&amp; D102&amp;"@" &amp; E102)</f>
        <v>#N/A</v>
      </c>
      <c r="G102" s="9" t="e">
        <f>RTD("kgi.tw.der.pricertdserver.2014.1",,C102 &amp; "_Time" &amp; ":" &amp; D102 &amp; "@" &amp; E102)</f>
        <v>#N/A</v>
      </c>
      <c r="H102" s="13" t="str">
        <f t="shared" si="13"/>
        <v>MMEL1</v>
      </c>
      <c r="I102" s="13" t="str">
        <f t="shared" si="14"/>
        <v>MME</v>
      </c>
      <c r="J102" t="str">
        <f t="shared" si="19"/>
        <v>Z</v>
      </c>
      <c r="K102" t="str">
        <f t="shared" ref="K102:K109" si="22">RIGHT(C102,1)</f>
        <v>1</v>
      </c>
      <c r="L102" t="str">
        <f t="shared" si="21"/>
        <v>L</v>
      </c>
      <c r="M102">
        <f t="shared" si="9"/>
        <v>12</v>
      </c>
    </row>
    <row r="103" spans="1:13">
      <c r="A103" t="s">
        <v>717</v>
      </c>
      <c r="B103" s="38" t="str">
        <f t="shared" si="8"/>
        <v>21年 - 3月</v>
      </c>
      <c r="C103" s="14" t="s">
        <v>1347</v>
      </c>
      <c r="D103" s="9" t="s">
        <v>715</v>
      </c>
      <c r="E103" s="9" t="s">
        <v>459</v>
      </c>
      <c r="F103" s="12" t="e">
        <f>RTD("kgi.tw.der.pricertdserver.2014.1",,C103 &amp;":"&amp; D103&amp;"@" &amp; E103)</f>
        <v>#N/A</v>
      </c>
      <c r="G103" s="9" t="e">
        <f>RTD("kgi.tw.der.pricertdserver.2014.1",,C103 &amp; "_Time" &amp; ":" &amp; D103 &amp; "@" &amp; E103)</f>
        <v>#N/A</v>
      </c>
      <c r="H103" s="13" t="str">
        <f t="shared" si="13"/>
        <v>MMEC1</v>
      </c>
      <c r="I103" s="13" t="str">
        <f t="shared" si="14"/>
        <v>MME</v>
      </c>
      <c r="J103" t="str">
        <f t="shared" si="19"/>
        <v>H</v>
      </c>
      <c r="K103" t="str">
        <f t="shared" si="22"/>
        <v>1</v>
      </c>
      <c r="L103" t="str">
        <f t="shared" si="21"/>
        <v>C</v>
      </c>
      <c r="M103">
        <f t="shared" si="9"/>
        <v>3</v>
      </c>
    </row>
    <row r="104" spans="1:13">
      <c r="B104" s="38" t="str">
        <f t="shared" si="8"/>
        <v>21年 - 6月</v>
      </c>
      <c r="C104" s="14" t="s">
        <v>1634</v>
      </c>
      <c r="D104" s="9" t="s">
        <v>715</v>
      </c>
      <c r="E104" s="9" t="s">
        <v>459</v>
      </c>
      <c r="F104" s="12">
        <f>RTD("kgi.tw.der.pricertdserver.2014.1",,C104 &amp;":"&amp; D104&amp;"@" &amp; E104)</f>
        <v>1297.8</v>
      </c>
      <c r="G104" s="9" t="str">
        <f>RTD("kgi.tw.der.pricertdserver.2014.1",,C104 &amp; "_Time" &amp; ":" &amp; D104 &amp; "@" &amp; E104)</f>
        <v>20210514_151459632</v>
      </c>
      <c r="H104" s="13" t="str">
        <f>I104&amp;L104&amp;K104</f>
        <v>MMEF1</v>
      </c>
      <c r="I104" s="13" t="str">
        <f>IF(AND(D104="CBOT",LEFT(C104,2)="ZB"),"US",IF(AND(D104="ICE_EU",LEFT(C104,3)="BRN"),"LCOB",IF(AND(D104="SGX",LEFT(C104,2)="NK"),"SSI",IF(AND(D104="SGX",LEFT(C104,2)="CN"),"SCN",IF(AND(D104="SGX",LEFT(C104,2)="TW"),"STW",IF(LEFT(C104,5)="TOPIX","JTI",IF(RIGHT(LEFT(C104,3),1)="-",LEFT(C104,2),LEFT(C104,3))))))))</f>
        <v>MME</v>
      </c>
      <c r="J104" t="str">
        <f>LEFT(RIGHT(C104,3),1)</f>
        <v>M</v>
      </c>
      <c r="K104" t="str">
        <f>RIGHT(C104,1)</f>
        <v>1</v>
      </c>
      <c r="L104" t="str">
        <f>VLOOKUP(J104,$V$1:$W$14,2,FALSE)</f>
        <v>F</v>
      </c>
      <c r="M104">
        <f t="shared" si="9"/>
        <v>6</v>
      </c>
    </row>
    <row r="105" spans="1:13">
      <c r="B105" s="38" t="str">
        <f t="shared" si="8"/>
        <v>21年 - 9月</v>
      </c>
      <c r="C105" s="14" t="s">
        <v>1807</v>
      </c>
      <c r="D105" s="9" t="s">
        <v>715</v>
      </c>
      <c r="E105" s="9" t="s">
        <v>459</v>
      </c>
      <c r="F105" s="12">
        <f>RTD("kgi.tw.der.pricertdserver.2014.1",,C105 &amp;":"&amp; D105&amp;"@" &amp; E105)</f>
        <v>0</v>
      </c>
      <c r="G105" s="9" t="str">
        <f>RTD("kgi.tw.der.pricertdserver.2014.1",,C105 &amp; "_Time" &amp; ":" &amp; D105 &amp; "@" &amp; E105)</f>
        <v>20210514_151400831</v>
      </c>
      <c r="H105" s="13" t="str">
        <f t="shared" si="13"/>
        <v>MMEI1</v>
      </c>
      <c r="I105" s="13" t="str">
        <f t="shared" si="14"/>
        <v>MME</v>
      </c>
      <c r="J105" t="str">
        <f t="shared" si="19"/>
        <v>U</v>
      </c>
      <c r="K105" t="str">
        <f t="shared" si="22"/>
        <v>1</v>
      </c>
      <c r="L105" t="str">
        <f t="shared" si="21"/>
        <v>I</v>
      </c>
      <c r="M105">
        <f t="shared" si="9"/>
        <v>9</v>
      </c>
    </row>
    <row r="106" spans="1:13">
      <c r="A106" t="s">
        <v>750</v>
      </c>
      <c r="B106" s="38" t="str">
        <f t="shared" si="8"/>
        <v>21年 - 6月</v>
      </c>
      <c r="C106" s="14" t="s">
        <v>1794</v>
      </c>
      <c r="D106" s="9" t="s">
        <v>749</v>
      </c>
      <c r="E106" s="9" t="s">
        <v>459</v>
      </c>
      <c r="F106" s="12">
        <f>RTD("kgi.tw.der.pricertdserver.2014.1",,C106 &amp;":"&amp; D106&amp;"@" &amp; E106)</f>
        <v>1881</v>
      </c>
      <c r="G106" s="9" t="str">
        <f>RTD("kgi.tw.der.pricertdserver.2014.1",,C106 &amp; "_Time" &amp; ":" &amp; D106 &amp; "@" &amp; E106)</f>
        <v>20210514_150301245</v>
      </c>
      <c r="H106" s="13" t="str">
        <f t="shared" si="13"/>
        <v>JTIF1</v>
      </c>
      <c r="I106" s="13" t="str">
        <f t="shared" si="14"/>
        <v>JTI</v>
      </c>
      <c r="J106" t="str">
        <f t="shared" si="19"/>
        <v>M</v>
      </c>
      <c r="K106" t="str">
        <f t="shared" si="22"/>
        <v>1</v>
      </c>
      <c r="L106" t="str">
        <f>VLOOKUP(J106,$V$1:$W$14,2,FALSE)</f>
        <v>F</v>
      </c>
      <c r="M106">
        <f t="shared" si="9"/>
        <v>6</v>
      </c>
    </row>
    <row r="107" spans="1:13">
      <c r="A107" t="s">
        <v>751</v>
      </c>
      <c r="B107" s="38" t="str">
        <f t="shared" si="8"/>
        <v>21年 - 3月</v>
      </c>
      <c r="C107" s="14" t="s">
        <v>1349</v>
      </c>
      <c r="D107" s="9" t="s">
        <v>749</v>
      </c>
      <c r="E107" s="9" t="s">
        <v>459</v>
      </c>
      <c r="F107" s="12" t="e">
        <f>RTD("kgi.tw.der.pricertdserver.2014.1",,C107 &amp;":"&amp; D107&amp;"@" &amp; E107)</f>
        <v>#N/A</v>
      </c>
      <c r="G107" s="9" t="e">
        <f>RTD("kgi.tw.der.pricertdserver.2014.1",,C107 &amp; "_Time" &amp; ":" &amp; D107 &amp; "@" &amp; E107)</f>
        <v>#N/A</v>
      </c>
      <c r="H107" s="13" t="str">
        <f t="shared" si="13"/>
        <v>JTIC1</v>
      </c>
      <c r="I107" s="13" t="str">
        <f t="shared" si="14"/>
        <v>JTI</v>
      </c>
      <c r="J107" t="str">
        <f t="shared" si="19"/>
        <v>H</v>
      </c>
      <c r="K107" t="str">
        <f t="shared" si="22"/>
        <v>1</v>
      </c>
      <c r="L107" t="str">
        <f>VLOOKUP(J107,$V$1:$W$14,2,FALSE)</f>
        <v>C</v>
      </c>
      <c r="M107">
        <f t="shared" si="9"/>
        <v>3</v>
      </c>
    </row>
    <row r="108" spans="1:13">
      <c r="B108" s="38" t="str">
        <f t="shared" si="8"/>
        <v>21年 - 12月</v>
      </c>
      <c r="C108" s="14" t="s">
        <v>2408</v>
      </c>
      <c r="D108" s="9" t="s">
        <v>749</v>
      </c>
      <c r="E108" s="9" t="s">
        <v>459</v>
      </c>
      <c r="F108" s="12">
        <f>RTD("kgi.tw.der.pricertdserver.2014.1",,C108 &amp;":"&amp; D108&amp;"@" &amp; E108)</f>
        <v>-7.9228162514264338E+28</v>
      </c>
      <c r="G108" s="9" t="str">
        <f>RTD("kgi.tw.der.pricertdserver.2014.1",,C108 &amp; "_Time" &amp; ":" &amp; D108 &amp; "@" &amp; E108)</f>
        <v>20210514_150305049</v>
      </c>
      <c r="H108" s="13" t="str">
        <f>I108&amp;L108&amp;K108</f>
        <v>JTIL1</v>
      </c>
      <c r="I108" s="13" t="str">
        <f>IF(AND(D108="CBOT",LEFT(C108,2)="ZB"),"US",IF(AND(D108="ICE_EU",LEFT(C108,3)="BRN"),"LCOB",IF(AND(D108="SGX",LEFT(C108,2)="NK"),"SSI",IF(AND(D108="SGX",LEFT(C108,2)="CN"),"SCN",IF(AND(D108="SGX",LEFT(C108,2)="TW"),"STW",IF(LEFT(C108,5)="TOPIX","JTI",IF(RIGHT(LEFT(C108,3),1)="-",LEFT(C108,2),LEFT(C108,3))))))))</f>
        <v>JTI</v>
      </c>
      <c r="J108" t="str">
        <f>LEFT(RIGHT(C108,3),1)</f>
        <v>Z</v>
      </c>
      <c r="K108" t="str">
        <f>RIGHT(C108,1)</f>
        <v>1</v>
      </c>
      <c r="L108" t="str">
        <f>VLOOKUP(J108,$V$1:$W$14,2,FALSE)</f>
        <v>L</v>
      </c>
      <c r="M108">
        <f t="shared" si="9"/>
        <v>12</v>
      </c>
    </row>
    <row r="109" spans="1:13">
      <c r="B109" s="38" t="str">
        <f t="shared" si="8"/>
        <v>21年 - 9月</v>
      </c>
      <c r="C109" s="14" t="s">
        <v>1813</v>
      </c>
      <c r="D109" s="9" t="s">
        <v>749</v>
      </c>
      <c r="E109" s="9" t="s">
        <v>459</v>
      </c>
      <c r="F109" s="12">
        <f>RTD("kgi.tw.der.pricertdserver.2014.1",,C109 &amp;":"&amp; D109&amp;"@" &amp; E109)</f>
        <v>1869.5</v>
      </c>
      <c r="G109" s="9" t="str">
        <f>RTD("kgi.tw.der.pricertdserver.2014.1",,C109 &amp; "_Time" &amp; ":" &amp; D109 &amp; "@" &amp; E109)</f>
        <v>20210514_150301243</v>
      </c>
      <c r="H109" s="13" t="str">
        <f t="shared" si="13"/>
        <v>JTII1</v>
      </c>
      <c r="I109" s="13" t="str">
        <f t="shared" si="14"/>
        <v>JTI</v>
      </c>
      <c r="J109" t="str">
        <f t="shared" si="19"/>
        <v>U</v>
      </c>
      <c r="K109" t="str">
        <f t="shared" si="22"/>
        <v>1</v>
      </c>
      <c r="L109" t="str">
        <f>VLOOKUP(J109,$V$1:$W$14,2,FALSE)</f>
        <v>I</v>
      </c>
      <c r="M109">
        <f t="shared" si="9"/>
        <v>9</v>
      </c>
    </row>
    <row r="110" spans="1:13">
      <c r="A110" s="15" t="s">
        <v>1101</v>
      </c>
      <c r="B110" s="38" t="str">
        <f t="shared" si="8"/>
        <v>21年 - 11月</v>
      </c>
      <c r="C110" s="11" t="s">
        <v>2409</v>
      </c>
      <c r="D110" s="9" t="s">
        <v>461</v>
      </c>
      <c r="E110" s="9" t="s">
        <v>459</v>
      </c>
      <c r="F110" s="12" t="e">
        <f>RTD("kgi.tw.der.pricertdserver.2014.1",,C110 &amp;":"&amp; D110&amp;"@" &amp; E110)</f>
        <v>#N/A</v>
      </c>
      <c r="G110" s="9" t="e">
        <f>RTD("kgi.tw.der.pricertdserver.2014.1",,C110 &amp; "_Time" &amp; ":" &amp; D110 &amp; "@" &amp; E110)</f>
        <v>#N/A</v>
      </c>
      <c r="H110" s="13" t="str">
        <f t="shared" si="13"/>
        <v>SIK1</v>
      </c>
      <c r="I110" s="13" t="str">
        <f t="shared" ref="I110:I121" si="23">IF(AND(D110="CBOT",LEFT(C110,2)="ZB"),"US",IF(AND(D110="ICE_EU",LEFT(C110,3)="BRN"),"LCOB",IF(AND(D110="SGX",LEFT(C110,2)="NK"),"SSI",IF(AND(D110="SGX",LEFT(C110,2)="CN"),"SCN",IF(AND(D110="SGX",LEFT(C110,2)="TW"),"STW",IF(LEFT(C110,5)="TOPIX","JTI",IF(RIGHT(LEFT(C110,3),1)="-",LEFT(C110,2),LEFT(C110,3))))))))</f>
        <v>SI</v>
      </c>
      <c r="J110" t="str">
        <f t="shared" ref="J110:J121" si="24">LEFT(RIGHT(C110,3),1)</f>
        <v>X</v>
      </c>
      <c r="K110" t="str">
        <f t="shared" ref="K110:K121" si="25">RIGHT(C110,1)</f>
        <v>1</v>
      </c>
      <c r="L110" t="str">
        <f t="shared" ref="L110:L121" si="26">VLOOKUP(J110,$V$1:$W$14,2,FALSE)</f>
        <v>K</v>
      </c>
      <c r="M110">
        <f t="shared" si="9"/>
        <v>11</v>
      </c>
    </row>
    <row r="111" spans="1:13">
      <c r="A111" s="15" t="s">
        <v>1102</v>
      </c>
      <c r="B111" s="38" t="str">
        <f t="shared" si="8"/>
        <v>21年 - 12月</v>
      </c>
      <c r="C111" s="11" t="s">
        <v>2561</v>
      </c>
      <c r="D111" s="9" t="s">
        <v>461</v>
      </c>
      <c r="E111" s="9" t="s">
        <v>459</v>
      </c>
      <c r="F111" s="12">
        <f>RTD("kgi.tw.der.pricertdserver.2014.1",,C111 &amp;":"&amp; D111&amp;"@" &amp; E111)</f>
        <v>27.42</v>
      </c>
      <c r="G111" s="9" t="str">
        <f>RTD("kgi.tw.der.pricertdserver.2014.1",,C111 &amp; "_Time" &amp; ":" &amp; D111 &amp; "@" &amp; E111)</f>
        <v>20210514_151459445</v>
      </c>
      <c r="H111" s="13" t="str">
        <f t="shared" si="13"/>
        <v>SIL1</v>
      </c>
      <c r="I111" s="13" t="str">
        <f t="shared" si="23"/>
        <v>SI</v>
      </c>
      <c r="J111" t="str">
        <f t="shared" si="24"/>
        <v>Z</v>
      </c>
      <c r="K111" t="str">
        <f t="shared" si="25"/>
        <v>1</v>
      </c>
      <c r="L111" t="str">
        <f t="shared" si="26"/>
        <v>L</v>
      </c>
      <c r="M111">
        <f t="shared" si="9"/>
        <v>12</v>
      </c>
    </row>
    <row r="112" spans="1:13">
      <c r="B112" s="38" t="str">
        <f t="shared" si="8"/>
        <v>21年 - 2月</v>
      </c>
      <c r="C112" s="11" t="s">
        <v>1389</v>
      </c>
      <c r="D112" s="9" t="s">
        <v>461</v>
      </c>
      <c r="E112" s="9" t="s">
        <v>459</v>
      </c>
      <c r="F112" s="12" t="e">
        <f>RTD("kgi.tw.der.pricertdserver.2014.1",,C112 &amp;":"&amp; D112&amp;"@" &amp; E112)</f>
        <v>#N/A</v>
      </c>
      <c r="G112" s="9" t="e">
        <f>RTD("kgi.tw.der.pricertdserver.2014.1",,C112 &amp; "_Time" &amp; ":" &amp; D112 &amp; "@" &amp; E112)</f>
        <v>#N/A</v>
      </c>
      <c r="H112" s="13" t="str">
        <f t="shared" ref="H112:H121" si="27">I112&amp;L112&amp;K112</f>
        <v>SIB1</v>
      </c>
      <c r="I112" s="13" t="str">
        <f t="shared" si="23"/>
        <v>SI</v>
      </c>
      <c r="J112" t="str">
        <f t="shared" si="24"/>
        <v>G</v>
      </c>
      <c r="K112" t="str">
        <f t="shared" si="25"/>
        <v>1</v>
      </c>
      <c r="L112" t="str">
        <f t="shared" si="26"/>
        <v>B</v>
      </c>
      <c r="M112">
        <f t="shared" si="9"/>
        <v>2</v>
      </c>
    </row>
    <row r="113" spans="1:13">
      <c r="B113" s="38" t="str">
        <f t="shared" si="8"/>
        <v>21年 - 3月</v>
      </c>
      <c r="C113" s="11" t="s">
        <v>1850</v>
      </c>
      <c r="D113" s="9" t="s">
        <v>461</v>
      </c>
      <c r="E113" s="9" t="s">
        <v>459</v>
      </c>
      <c r="F113" s="12" t="e">
        <f>RTD("kgi.tw.der.pricertdserver.2014.1",,C113 &amp;":"&amp; D113&amp;"@" &amp; E113)</f>
        <v>#N/A</v>
      </c>
      <c r="G113" s="9" t="e">
        <f>RTD("kgi.tw.der.pricertdserver.2014.1",,C113 &amp; "_Time" &amp; ":" &amp; D113 &amp; "@" &amp; E113)</f>
        <v>#N/A</v>
      </c>
      <c r="H113" s="13" t="str">
        <f t="shared" si="27"/>
        <v>SIC1</v>
      </c>
      <c r="I113" s="13" t="str">
        <f t="shared" si="23"/>
        <v>SI</v>
      </c>
      <c r="J113" t="str">
        <f t="shared" si="24"/>
        <v>H</v>
      </c>
      <c r="K113" t="str">
        <f t="shared" si="25"/>
        <v>1</v>
      </c>
      <c r="L113" t="str">
        <f t="shared" si="26"/>
        <v>C</v>
      </c>
      <c r="M113">
        <f t="shared" si="9"/>
        <v>3</v>
      </c>
    </row>
    <row r="114" spans="1:13">
      <c r="A114" s="11"/>
      <c r="B114" s="38" t="str">
        <f t="shared" si="8"/>
        <v>21年 - 4月</v>
      </c>
      <c r="C114" s="11" t="s">
        <v>1852</v>
      </c>
      <c r="D114" s="9" t="s">
        <v>461</v>
      </c>
      <c r="E114" s="9" t="s">
        <v>459</v>
      </c>
      <c r="F114" s="12" t="e">
        <f>RTD("kgi.tw.der.pricertdserver.2014.1",,C114 &amp;":"&amp; D114&amp;"@" &amp; E114)</f>
        <v>#N/A</v>
      </c>
      <c r="G114" s="9" t="e">
        <f>RTD("kgi.tw.der.pricertdserver.2014.1",,C114 &amp; "_Time" &amp; ":" &amp; D114 &amp; "@" &amp; E114)</f>
        <v>#N/A</v>
      </c>
      <c r="H114" s="13" t="str">
        <f t="shared" si="27"/>
        <v>SID1</v>
      </c>
      <c r="I114" s="13" t="str">
        <f t="shared" si="23"/>
        <v>SI</v>
      </c>
      <c r="J114" t="str">
        <f t="shared" si="24"/>
        <v>J</v>
      </c>
      <c r="K114" t="str">
        <f t="shared" si="25"/>
        <v>1</v>
      </c>
      <c r="L114" t="str">
        <f t="shared" si="26"/>
        <v>D</v>
      </c>
      <c r="M114">
        <f t="shared" si="9"/>
        <v>4</v>
      </c>
    </row>
    <row r="115" spans="1:13">
      <c r="A115" s="11"/>
      <c r="B115" s="38" t="str">
        <f t="shared" si="8"/>
        <v>21年 - 5月</v>
      </c>
      <c r="C115" s="11" t="s">
        <v>1391</v>
      </c>
      <c r="D115" s="9" t="s">
        <v>461</v>
      </c>
      <c r="E115" s="9" t="s">
        <v>459</v>
      </c>
      <c r="F115" s="12">
        <f>RTD("kgi.tw.der.pricertdserver.2014.1",,C115 &amp;":"&amp; D115&amp;"@" &amp; E115)</f>
        <v>27.094999999999999</v>
      </c>
      <c r="G115" s="9" t="str">
        <f>RTD("kgi.tw.der.pricertdserver.2014.1",,C115 &amp; "_Time" &amp; ":" &amp; D115 &amp; "@" &amp; E115)</f>
        <v>20210514_151459445</v>
      </c>
      <c r="H115" s="13" t="str">
        <f t="shared" si="27"/>
        <v>SIE1</v>
      </c>
      <c r="I115" s="13" t="str">
        <f t="shared" si="23"/>
        <v>SI</v>
      </c>
      <c r="J115" t="str">
        <f t="shared" si="24"/>
        <v>K</v>
      </c>
      <c r="K115" t="str">
        <f t="shared" si="25"/>
        <v>1</v>
      </c>
      <c r="L115" t="str">
        <f t="shared" si="26"/>
        <v>E</v>
      </c>
      <c r="M115">
        <f t="shared" si="9"/>
        <v>5</v>
      </c>
    </row>
    <row r="116" spans="1:13">
      <c r="A116" s="11"/>
      <c r="B116" s="38" t="str">
        <f t="shared" si="8"/>
        <v>21年 - 6月</v>
      </c>
      <c r="C116" s="11" t="s">
        <v>2364</v>
      </c>
      <c r="D116" s="9" t="s">
        <v>461</v>
      </c>
      <c r="E116" s="9" t="s">
        <v>459</v>
      </c>
      <c r="F116" s="12">
        <f>RTD("kgi.tw.der.pricertdserver.2014.1",,C116 &amp;":"&amp; D116&amp;"@" &amp; E116)</f>
        <v>27.32</v>
      </c>
      <c r="G116" s="9" t="str">
        <f>RTD("kgi.tw.der.pricertdserver.2014.1",,C116 &amp; "_Time" &amp; ":" &amp; D116 &amp; "@" &amp; E116)</f>
        <v>20210514_151459445</v>
      </c>
      <c r="H116" s="13" t="str">
        <f>I116&amp;L116&amp;K116</f>
        <v>SIF1</v>
      </c>
      <c r="I116" s="13" t="str">
        <f t="shared" si="23"/>
        <v>SI</v>
      </c>
      <c r="J116" t="str">
        <f t="shared" si="24"/>
        <v>M</v>
      </c>
      <c r="K116" t="str">
        <f t="shared" si="25"/>
        <v>1</v>
      </c>
      <c r="L116" t="str">
        <f t="shared" si="26"/>
        <v>F</v>
      </c>
      <c r="M116">
        <f t="shared" si="9"/>
        <v>6</v>
      </c>
    </row>
    <row r="117" spans="1:13">
      <c r="B117" s="38" t="str">
        <f t="shared" si="8"/>
        <v>21年 - 7月</v>
      </c>
      <c r="C117" s="11" t="s">
        <v>2366</v>
      </c>
      <c r="D117" s="9" t="s">
        <v>461</v>
      </c>
      <c r="E117" s="9" t="s">
        <v>459</v>
      </c>
      <c r="F117" s="12">
        <f>RTD("kgi.tw.der.pricertdserver.2014.1",,C117 &amp;":"&amp; D117&amp;"@" &amp; E117)</f>
        <v>27.33</v>
      </c>
      <c r="G117" s="9" t="str">
        <f>RTD("kgi.tw.der.pricertdserver.2014.1",,C117 &amp; "_Time" &amp; ":" &amp; D117 &amp; "@" &amp; E117)</f>
        <v>20210514_151459445</v>
      </c>
      <c r="H117" s="13" t="str">
        <f>I117&amp;L117&amp;K117</f>
        <v>SIG1</v>
      </c>
      <c r="I117" s="13" t="str">
        <f>IF(AND(D117="CBOT",LEFT(C117,2)="ZB"),"US",IF(AND(D117="ICE_EU",LEFT(C117,3)="BRN"),"LCOB",IF(AND(D117="SGX",LEFT(C117,2)="NK"),"SSI",IF(AND(D117="SGX",LEFT(C117,2)="CN"),"SCN",IF(AND(D117="SGX",LEFT(C117,2)="TW"),"STW",IF(LEFT(C117,5)="TOPIX","JTI",IF(RIGHT(LEFT(C117,3),1)="-",LEFT(C117,2),LEFT(C117,3))))))))</f>
        <v>SI</v>
      </c>
      <c r="J117" t="str">
        <f>LEFT(RIGHT(C117,3),1)</f>
        <v>N</v>
      </c>
      <c r="K117" t="str">
        <f>RIGHT(C117,1)</f>
        <v>1</v>
      </c>
      <c r="L117" t="str">
        <f>VLOOKUP(J117,$V$1:$W$14,2,FALSE)</f>
        <v>G</v>
      </c>
      <c r="M117">
        <f t="shared" si="9"/>
        <v>7</v>
      </c>
    </row>
    <row r="118" spans="1:13">
      <c r="B118" s="38" t="str">
        <f t="shared" si="8"/>
        <v>21年 - 8月</v>
      </c>
      <c r="C118" s="11" t="s">
        <v>2368</v>
      </c>
      <c r="D118" s="9" t="s">
        <v>461</v>
      </c>
      <c r="E118" s="9" t="s">
        <v>459</v>
      </c>
      <c r="F118" s="12" t="e">
        <f>RTD("kgi.tw.der.pricertdserver.2014.1",,C118 &amp;":"&amp; D118&amp;"@" &amp; E118)</f>
        <v>#N/A</v>
      </c>
      <c r="G118" s="9" t="e">
        <f>RTD("kgi.tw.der.pricertdserver.2014.1",,C118 &amp; "_Time" &amp; ":" &amp; D118 &amp; "@" &amp; E118)</f>
        <v>#N/A</v>
      </c>
      <c r="H118" s="13" t="str">
        <f>I118&amp;L118&amp;K118</f>
        <v>SIH1</v>
      </c>
      <c r="I118" s="13" t="str">
        <f>IF(AND(D118="CBOT",LEFT(C118,2)="ZB"),"US",IF(AND(D118="ICE_EU",LEFT(C118,3)="BRN"),"LCOB",IF(AND(D118="SGX",LEFT(C118,2)="NK"),"SSI",IF(AND(D118="SGX",LEFT(C118,2)="CN"),"SCN",IF(AND(D118="SGX",LEFT(C118,2)="TW"),"STW",IF(LEFT(C118,5)="TOPIX","JTI",IF(RIGHT(LEFT(C118,3),1)="-",LEFT(C118,2),LEFT(C118,3))))))))</f>
        <v>SI</v>
      </c>
      <c r="J118" t="str">
        <f>LEFT(RIGHT(C118,3),1)</f>
        <v>Q</v>
      </c>
      <c r="K118" t="str">
        <f>RIGHT(C118,1)</f>
        <v>1</v>
      </c>
      <c r="L118" t="str">
        <f>VLOOKUP(J118,$V$1:$W$14,2,FALSE)</f>
        <v>H</v>
      </c>
      <c r="M118">
        <f t="shared" si="9"/>
        <v>8</v>
      </c>
    </row>
    <row r="119" spans="1:13">
      <c r="B119" s="38" t="str">
        <f t="shared" si="8"/>
        <v>21年 - 9月</v>
      </c>
      <c r="C119" s="11" t="s">
        <v>2370</v>
      </c>
      <c r="D119" s="9" t="s">
        <v>461</v>
      </c>
      <c r="E119" s="9" t="s">
        <v>459</v>
      </c>
      <c r="F119" s="12">
        <f>RTD("kgi.tw.der.pricertdserver.2014.1",,C119 &amp;":"&amp; D119&amp;"@" &amp; E119)</f>
        <v>27.34</v>
      </c>
      <c r="G119" s="9" t="str">
        <f>RTD("kgi.tw.der.pricertdserver.2014.1",,C119 &amp; "_Time" &amp; ":" &amp; D119 &amp; "@" &amp; E119)</f>
        <v>20210514_151459445</v>
      </c>
      <c r="H119" s="13" t="str">
        <f t="shared" si="27"/>
        <v>SII1</v>
      </c>
      <c r="I119" s="13" t="str">
        <f t="shared" si="23"/>
        <v>SI</v>
      </c>
      <c r="J119" t="str">
        <f t="shared" si="24"/>
        <v>U</v>
      </c>
      <c r="K119" t="str">
        <f t="shared" si="25"/>
        <v>1</v>
      </c>
      <c r="L119" t="str">
        <f t="shared" si="26"/>
        <v>I</v>
      </c>
      <c r="M119">
        <f t="shared" si="9"/>
        <v>9</v>
      </c>
    </row>
    <row r="120" spans="1:13">
      <c r="B120" s="38" t="str">
        <f t="shared" si="8"/>
        <v>21年 - 10月</v>
      </c>
      <c r="C120" s="11" t="s">
        <v>2372</v>
      </c>
      <c r="D120" s="9" t="s">
        <v>461</v>
      </c>
      <c r="E120" s="9" t="s">
        <v>459</v>
      </c>
      <c r="F120" s="12" t="e">
        <f>RTD("kgi.tw.der.pricertdserver.2014.1",,C120 &amp;":"&amp; D120&amp;"@" &amp; E120)</f>
        <v>#N/A</v>
      </c>
      <c r="G120" s="9" t="e">
        <f>RTD("kgi.tw.der.pricertdserver.2014.1",,C120 &amp; "_Time" &amp; ":" &amp; D120 &amp; "@" &amp; E120)</f>
        <v>#N/A</v>
      </c>
      <c r="H120" s="13" t="str">
        <f t="shared" si="27"/>
        <v>SIJ1</v>
      </c>
      <c r="I120" s="13" t="str">
        <f>IF(AND(D120="CBOT",LEFT(C120,2)="ZB"),"US",IF(AND(D120="ICE_EU",LEFT(C120,3)="BRN"),"LCOB",IF(AND(D120="SGX",LEFT(C120,2)="NK"),"SSI",IF(AND(D120="SGX",LEFT(C120,2)="CN"),"SCN",IF(AND(D120="SGX",LEFT(C120,2)="TW"),"STW",IF(LEFT(C120,5)="TOPIX","JTI",IF(RIGHT(LEFT(C120,3),1)="-",LEFT(C120,2),LEFT(C120,3))))))))</f>
        <v>SI</v>
      </c>
      <c r="J120" t="str">
        <f>LEFT(RIGHT(C120,3),1)</f>
        <v>V</v>
      </c>
      <c r="K120" t="str">
        <f>RIGHT(C120,1)</f>
        <v>1</v>
      </c>
      <c r="L120" t="str">
        <f>VLOOKUP(J120,$V$1:$W$14,2,FALSE)</f>
        <v>J</v>
      </c>
      <c r="M120">
        <f t="shared" si="9"/>
        <v>10</v>
      </c>
    </row>
    <row r="121" spans="1:13">
      <c r="A121" t="s">
        <v>1105</v>
      </c>
      <c r="B121" s="38" t="str">
        <f t="shared" si="8"/>
        <v>21年 - 12月</v>
      </c>
      <c r="C121" s="14" t="s">
        <v>2410</v>
      </c>
      <c r="D121" s="9" t="s">
        <v>478</v>
      </c>
      <c r="E121" s="9" t="s">
        <v>459</v>
      </c>
      <c r="F121" s="12" t="e">
        <f>RTD("kgi.tw.der.pricertdserver.2014.1",,C121 &amp;":"&amp; D121&amp;"@" &amp; E121)</f>
        <v>#N/A</v>
      </c>
      <c r="G121" s="9" t="e">
        <f>RTD("kgi.tw.der.pricertdserver.2014.1",,C121 &amp; "_Time" &amp; ":" &amp; D121 &amp; "@" &amp; E121)</f>
        <v>#N/A</v>
      </c>
      <c r="H121" s="13" t="str">
        <f t="shared" si="27"/>
        <v>TNL1</v>
      </c>
      <c r="I121" s="13" t="str">
        <f t="shared" si="23"/>
        <v>TN</v>
      </c>
      <c r="J121" t="str">
        <f t="shared" si="24"/>
        <v>Z</v>
      </c>
      <c r="K121" t="str">
        <f t="shared" si="25"/>
        <v>1</v>
      </c>
      <c r="L121" t="str">
        <f t="shared" si="26"/>
        <v>L</v>
      </c>
      <c r="M121">
        <f t="shared" si="9"/>
        <v>12</v>
      </c>
    </row>
    <row r="122" spans="1:13">
      <c r="B122" s="38" t="str">
        <f t="shared" si="8"/>
        <v>21年 - 3月</v>
      </c>
      <c r="C122" s="14" t="s">
        <v>1635</v>
      </c>
      <c r="D122" s="9" t="s">
        <v>478</v>
      </c>
      <c r="E122" s="9" t="s">
        <v>459</v>
      </c>
      <c r="F122" s="12" t="e">
        <f>RTD("kgi.tw.der.pricertdserver.2014.1",,C122 &amp;":"&amp; D122&amp;"@" &amp; E122)</f>
        <v>#N/A</v>
      </c>
      <c r="G122" s="9" t="e">
        <f>RTD("kgi.tw.der.pricertdserver.2014.1",,C122 &amp; "_Time" &amp; ":" &amp; D122 &amp; "@" &amp; E122)</f>
        <v>#N/A</v>
      </c>
      <c r="H122" s="13" t="str">
        <f t="shared" ref="H122:H129" si="28">I122&amp;L122&amp;K122</f>
        <v>TNC1</v>
      </c>
      <c r="I122" s="13" t="str">
        <f t="shared" ref="I122:I129" si="29">IF(AND(D122="CBOT",LEFT(C122,2)="ZB"),"US",IF(AND(D122="ICE_EU",LEFT(C122,3)="BRN"),"LCOB",IF(AND(D122="SGX",LEFT(C122,2)="NK"),"SSI",IF(AND(D122="SGX",LEFT(C122,2)="CN"),"SCN",IF(AND(D122="SGX",LEFT(C122,2)="TW"),"STW",IF(LEFT(C122,5)="TOPIX","JTI",IF(RIGHT(LEFT(C122,3),1)="-",LEFT(C122,2),LEFT(C122,3))))))))</f>
        <v>TN</v>
      </c>
      <c r="J122" t="str">
        <f t="shared" ref="J122:J129" si="30">LEFT(RIGHT(C122,3),1)</f>
        <v>H</v>
      </c>
      <c r="K122" t="str">
        <f t="shared" ref="K122:K129" si="31">RIGHT(C122,1)</f>
        <v>1</v>
      </c>
      <c r="L122" t="str">
        <f t="shared" ref="L122:L129" si="32">VLOOKUP(J122,$V$1:$W$14,2,FALSE)</f>
        <v>C</v>
      </c>
      <c r="M122">
        <f t="shared" si="9"/>
        <v>3</v>
      </c>
    </row>
    <row r="123" spans="1:13">
      <c r="B123" s="38" t="str">
        <f t="shared" si="8"/>
        <v>21年 - 6月</v>
      </c>
      <c r="C123" s="14" t="s">
        <v>1636</v>
      </c>
      <c r="D123" s="9" t="s">
        <v>478</v>
      </c>
      <c r="E123" s="9" t="s">
        <v>459</v>
      </c>
      <c r="F123" s="12">
        <f>RTD("kgi.tw.der.pricertdserver.2014.1",,C123 &amp;":"&amp; D123&amp;"@" &amp; E123)</f>
        <v>145.515625</v>
      </c>
      <c r="G123" s="9" t="str">
        <f>RTD("kgi.tw.der.pricertdserver.2014.1",,C123 &amp; "_Time" &amp; ":" &amp; D123 &amp; "@" &amp; E123)</f>
        <v>20210514_151459648</v>
      </c>
      <c r="H123" s="13" t="str">
        <f t="shared" si="28"/>
        <v>TNF1</v>
      </c>
      <c r="I123" s="13" t="str">
        <f t="shared" si="29"/>
        <v>TN</v>
      </c>
      <c r="J123" t="str">
        <f t="shared" si="30"/>
        <v>M</v>
      </c>
      <c r="K123" t="str">
        <f t="shared" si="31"/>
        <v>1</v>
      </c>
      <c r="L123" t="str">
        <f t="shared" si="32"/>
        <v>F</v>
      </c>
      <c r="M123">
        <f t="shared" si="9"/>
        <v>6</v>
      </c>
    </row>
    <row r="124" spans="1:13">
      <c r="B124" s="38" t="str">
        <f t="shared" si="8"/>
        <v>20年 - 9月</v>
      </c>
      <c r="C124" s="14" t="s">
        <v>1297</v>
      </c>
      <c r="D124" s="9" t="s">
        <v>478</v>
      </c>
      <c r="E124" s="9" t="s">
        <v>459</v>
      </c>
      <c r="F124" s="12" t="e">
        <f>RTD("kgi.tw.der.pricertdserver.2014.1",,C124 &amp;":"&amp; D124&amp;"@" &amp; E124)</f>
        <v>#N/A</v>
      </c>
      <c r="G124" s="9" t="e">
        <f>RTD("kgi.tw.der.pricertdserver.2014.1",,C124 &amp; "_Time" &amp; ":" &amp; D124 &amp; "@" &amp; E124)</f>
        <v>#N/A</v>
      </c>
      <c r="H124" s="13" t="str">
        <f t="shared" si="28"/>
        <v>TNI0</v>
      </c>
      <c r="I124" s="13" t="str">
        <f t="shared" si="29"/>
        <v>TN</v>
      </c>
      <c r="J124" t="str">
        <f t="shared" si="30"/>
        <v>U</v>
      </c>
      <c r="K124" t="str">
        <f t="shared" si="31"/>
        <v>0</v>
      </c>
      <c r="L124" t="str">
        <f t="shared" si="32"/>
        <v>I</v>
      </c>
      <c r="M124">
        <f t="shared" si="9"/>
        <v>9</v>
      </c>
    </row>
    <row r="125" spans="1:13">
      <c r="A125" t="s">
        <v>1295</v>
      </c>
      <c r="B125" s="38" t="str">
        <f t="shared" si="8"/>
        <v>21年 - 12月</v>
      </c>
      <c r="C125" s="14" t="s">
        <v>2411</v>
      </c>
      <c r="D125" s="9" t="s">
        <v>473</v>
      </c>
      <c r="E125" s="9" t="s">
        <v>459</v>
      </c>
      <c r="F125" s="12" t="e">
        <f>RTD("kgi.tw.der.pricertdserver.2014.1",,C125 &amp;":"&amp; D125&amp;"@" &amp; E125)</f>
        <v>#N/A</v>
      </c>
      <c r="G125" s="9" t="e">
        <f>RTD("kgi.tw.der.pricertdserver.2014.1",,C125 &amp; "_Time" &amp; ":" &amp; D125 &amp; "@" &amp; E125)</f>
        <v>#N/A</v>
      </c>
      <c r="H125" s="13" t="str">
        <f t="shared" si="28"/>
        <v>RTYL1</v>
      </c>
      <c r="I125" s="13" t="str">
        <f t="shared" si="29"/>
        <v>RTY</v>
      </c>
      <c r="J125" t="str">
        <f t="shared" si="30"/>
        <v>Z</v>
      </c>
      <c r="K125" t="str">
        <f t="shared" si="31"/>
        <v>1</v>
      </c>
      <c r="L125" t="str">
        <f t="shared" si="32"/>
        <v>L</v>
      </c>
      <c r="M125">
        <f t="shared" si="9"/>
        <v>12</v>
      </c>
    </row>
    <row r="126" spans="1:13">
      <c r="B126" s="38" t="str">
        <f t="shared" si="8"/>
        <v>21年 - 3月</v>
      </c>
      <c r="C126" s="14" t="s">
        <v>1351</v>
      </c>
      <c r="D126" s="9" t="s">
        <v>473</v>
      </c>
      <c r="E126" s="9" t="s">
        <v>459</v>
      </c>
      <c r="F126" s="12" t="e">
        <f>RTD("kgi.tw.der.pricertdserver.2014.1",,C126 &amp;":"&amp; D126&amp;"@" &amp; E126)</f>
        <v>#N/A</v>
      </c>
      <c r="G126" s="9" t="e">
        <f>RTD("kgi.tw.der.pricertdserver.2014.1",,C126 &amp; "_Time" &amp; ":" &amp; D126 &amp; "@" &amp; E126)</f>
        <v>#N/A</v>
      </c>
      <c r="H126" s="13" t="str">
        <f t="shared" si="28"/>
        <v>RTYC1</v>
      </c>
      <c r="I126" s="13" t="str">
        <f t="shared" si="29"/>
        <v>RTY</v>
      </c>
      <c r="J126" t="str">
        <f t="shared" si="30"/>
        <v>H</v>
      </c>
      <c r="K126" t="str">
        <f t="shared" si="31"/>
        <v>1</v>
      </c>
      <c r="L126" t="str">
        <f t="shared" si="32"/>
        <v>C</v>
      </c>
      <c r="M126">
        <f t="shared" si="9"/>
        <v>3</v>
      </c>
    </row>
    <row r="127" spans="1:13">
      <c r="B127" s="38" t="str">
        <f t="shared" si="8"/>
        <v>21年 - 6月</v>
      </c>
      <c r="C127" s="14" t="s">
        <v>1420</v>
      </c>
      <c r="D127" s="9" t="s">
        <v>473</v>
      </c>
      <c r="E127" s="9" t="s">
        <v>459</v>
      </c>
      <c r="F127" s="12" t="e">
        <f>RTD("kgi.tw.der.pricertdserver.2014.1",,C127 &amp;":"&amp; D127&amp;"@" &amp; E127)</f>
        <v>#N/A</v>
      </c>
      <c r="G127" s="9" t="e">
        <f>RTD("kgi.tw.der.pricertdserver.2014.1",,C127 &amp; "_Time" &amp; ":" &amp; D127 &amp; "@" &amp; E127)</f>
        <v>#N/A</v>
      </c>
      <c r="H127" s="13" t="str">
        <f t="shared" si="28"/>
        <v>RTYF1</v>
      </c>
      <c r="I127" s="13" t="str">
        <f t="shared" si="29"/>
        <v>RTY</v>
      </c>
      <c r="J127" t="str">
        <f t="shared" si="30"/>
        <v>M</v>
      </c>
      <c r="K127" t="str">
        <f t="shared" si="31"/>
        <v>1</v>
      </c>
      <c r="L127" t="str">
        <f t="shared" si="32"/>
        <v>F</v>
      </c>
      <c r="M127">
        <f t="shared" si="9"/>
        <v>6</v>
      </c>
    </row>
    <row r="128" spans="1:13">
      <c r="B128" s="38" t="str">
        <f t="shared" si="8"/>
        <v>21年 - 9月</v>
      </c>
      <c r="C128" s="14" t="s">
        <v>1815</v>
      </c>
      <c r="D128" s="9" t="s">
        <v>473</v>
      </c>
      <c r="E128" s="9" t="s">
        <v>459</v>
      </c>
      <c r="F128" s="12" t="e">
        <f>RTD("kgi.tw.der.pricertdserver.2014.1",,C128 &amp;":"&amp; D128&amp;"@" &amp; E128)</f>
        <v>#N/A</v>
      </c>
      <c r="G128" s="9" t="e">
        <f>RTD("kgi.tw.der.pricertdserver.2014.1",,C128 &amp; "_Time" &amp; ":" &amp; D128 &amp; "@" &amp; E128)</f>
        <v>#N/A</v>
      </c>
      <c r="H128" s="13" t="str">
        <f t="shared" si="28"/>
        <v>RTYI1</v>
      </c>
      <c r="I128" s="13" t="str">
        <f t="shared" si="29"/>
        <v>RTY</v>
      </c>
      <c r="J128" t="str">
        <f t="shared" si="30"/>
        <v>U</v>
      </c>
      <c r="K128" t="str">
        <f t="shared" si="31"/>
        <v>1</v>
      </c>
      <c r="L128" t="str">
        <f t="shared" si="32"/>
        <v>I</v>
      </c>
      <c r="M128">
        <f t="shared" si="9"/>
        <v>9</v>
      </c>
    </row>
    <row r="129" spans="1:14">
      <c r="A129" t="s">
        <v>1331</v>
      </c>
      <c r="B129" s="38" t="str">
        <f t="shared" si="8"/>
        <v>21年 - 1月</v>
      </c>
      <c r="C129" s="11" t="s">
        <v>1364</v>
      </c>
      <c r="D129" s="9" t="s">
        <v>461</v>
      </c>
      <c r="E129" s="9" t="s">
        <v>459</v>
      </c>
      <c r="F129" s="12" t="e">
        <f>RTD("kgi.tw.der.pricertdserver.2014.1",,C129 &amp;":"&amp; D129&amp;"@" &amp; E129)</f>
        <v>#N/A</v>
      </c>
      <c r="G129" s="9" t="e">
        <f>RTD("kgi.tw.der.pricertdserver.2014.1",,C129 &amp; "_Time" &amp; ":" &amp; D129 &amp; "@" &amp; E129)</f>
        <v>#N/A</v>
      </c>
      <c r="H129" s="13" t="str">
        <f t="shared" si="28"/>
        <v>HGA1</v>
      </c>
      <c r="I129" s="13" t="str">
        <f t="shared" si="29"/>
        <v>HG</v>
      </c>
      <c r="J129" t="str">
        <f t="shared" si="30"/>
        <v>F</v>
      </c>
      <c r="K129" t="str">
        <f t="shared" si="31"/>
        <v>1</v>
      </c>
      <c r="L129" t="str">
        <f t="shared" si="32"/>
        <v>A</v>
      </c>
      <c r="M129">
        <f t="shared" si="9"/>
        <v>1</v>
      </c>
    </row>
    <row r="130" spans="1:14">
      <c r="B130" s="38" t="str">
        <f t="shared" si="8"/>
        <v>21年 - 2月</v>
      </c>
      <c r="C130" s="11" t="s">
        <v>1362</v>
      </c>
      <c r="D130" s="9" t="s">
        <v>461</v>
      </c>
      <c r="E130" s="9" t="s">
        <v>459</v>
      </c>
      <c r="F130" s="12" t="e">
        <f>RTD("kgi.tw.der.pricertdserver.2014.1",,C130 &amp;":"&amp; D130&amp;"@" &amp; E130)</f>
        <v>#N/A</v>
      </c>
      <c r="G130" s="9" t="e">
        <f>RTD("kgi.tw.der.pricertdserver.2014.1",,C130 &amp; "_Time" &amp; ":" &amp; D130 &amp; "@" &amp; E130)</f>
        <v>#N/A</v>
      </c>
      <c r="H130" s="13" t="str">
        <f t="shared" ref="H130:H136" si="33">I130&amp;L130&amp;K130</f>
        <v>HGB1</v>
      </c>
      <c r="I130" s="13" t="str">
        <f t="shared" ref="I130:I136" si="34">IF(AND(D130="CBOT",LEFT(C130,2)="ZB"),"US",IF(AND(D130="ICE_EU",LEFT(C130,3)="BRN"),"LCOB",IF(AND(D130="SGX",LEFT(C130,2)="NK"),"SSI",IF(AND(D130="SGX",LEFT(C130,2)="CN"),"SCN",IF(AND(D130="SGX",LEFT(C130,2)="TW"),"STW",IF(LEFT(C130,5)="TOPIX","JTI",IF(RIGHT(LEFT(C130,3),1)="-",LEFT(C130,2),LEFT(C130,3))))))))</f>
        <v>HG</v>
      </c>
      <c r="J130" t="str">
        <f t="shared" ref="J130:J136" si="35">LEFT(RIGHT(C130,3),1)</f>
        <v>G</v>
      </c>
      <c r="K130" t="str">
        <f t="shared" ref="K130:K136" si="36">RIGHT(C130,1)</f>
        <v>1</v>
      </c>
      <c r="L130" t="str">
        <f t="shared" ref="L130:L136" si="37">VLOOKUP(J130,$V$1:$W$14,2,FALSE)</f>
        <v>B</v>
      </c>
      <c r="M130">
        <f t="shared" si="9"/>
        <v>2</v>
      </c>
    </row>
    <row r="131" spans="1:14">
      <c r="B131" s="38" t="str">
        <f t="shared" si="8"/>
        <v>21年 - 3月</v>
      </c>
      <c r="C131" s="11" t="s">
        <v>1363</v>
      </c>
      <c r="D131" s="9" t="s">
        <v>461</v>
      </c>
      <c r="E131" s="9" t="s">
        <v>459</v>
      </c>
      <c r="F131" s="12" t="e">
        <f>RTD("kgi.tw.der.pricertdserver.2014.1",,C131 &amp;":"&amp; D131&amp;"@" &amp; E131)</f>
        <v>#N/A</v>
      </c>
      <c r="G131" s="9" t="e">
        <f>RTD("kgi.tw.der.pricertdserver.2014.1",,C131 &amp; "_Time" &amp; ":" &amp; D131 &amp; "@" &amp; E131)</f>
        <v>#N/A</v>
      </c>
      <c r="H131" s="13" t="str">
        <f t="shared" si="33"/>
        <v>HGC1</v>
      </c>
      <c r="I131" s="13" t="str">
        <f t="shared" si="34"/>
        <v>HG</v>
      </c>
      <c r="J131" t="str">
        <f t="shared" si="35"/>
        <v>H</v>
      </c>
      <c r="K131" t="str">
        <f t="shared" si="36"/>
        <v>1</v>
      </c>
      <c r="L131" t="str">
        <f t="shared" si="37"/>
        <v>C</v>
      </c>
      <c r="M131">
        <f t="shared" si="9"/>
        <v>3</v>
      </c>
    </row>
    <row r="132" spans="1:14">
      <c r="B132" s="38" t="str">
        <f t="shared" si="8"/>
        <v>21年 - 4月</v>
      </c>
      <c r="C132" s="11" t="s">
        <v>2434</v>
      </c>
      <c r="D132" s="9" t="s">
        <v>461</v>
      </c>
      <c r="E132" s="9" t="s">
        <v>459</v>
      </c>
      <c r="F132" s="12" t="e">
        <f>RTD("kgi.tw.der.pricertdserver.2014.1",,C132 &amp;":"&amp; D132&amp;"@" &amp; E132)</f>
        <v>#N/A</v>
      </c>
      <c r="G132" s="9" t="e">
        <f>RTD("kgi.tw.der.pricertdserver.2014.1",,C132 &amp; "_Time" &amp; ":" &amp; D132 &amp; "@" &amp; E132)</f>
        <v>#N/A</v>
      </c>
      <c r="H132" s="13" t="str">
        <f t="shared" si="33"/>
        <v>HGD1</v>
      </c>
      <c r="I132" s="13" t="str">
        <f t="shared" si="34"/>
        <v>HG</v>
      </c>
      <c r="J132" t="str">
        <f t="shared" si="35"/>
        <v>J</v>
      </c>
      <c r="K132" t="str">
        <f t="shared" si="36"/>
        <v>1</v>
      </c>
      <c r="L132" t="str">
        <f t="shared" si="37"/>
        <v>D</v>
      </c>
      <c r="M132">
        <f t="shared" si="9"/>
        <v>4</v>
      </c>
    </row>
    <row r="133" spans="1:14">
      <c r="B133" s="38" t="str">
        <f t="shared" si="8"/>
        <v>21年 - 5月</v>
      </c>
      <c r="C133" s="11" t="s">
        <v>1387</v>
      </c>
      <c r="D133" s="9" t="s">
        <v>461</v>
      </c>
      <c r="E133" s="9" t="s">
        <v>459</v>
      </c>
      <c r="F133" s="12">
        <f>RTD("kgi.tw.der.pricertdserver.2014.1",,C133 &amp;":"&amp; D133&amp;"@" &amp; E133)</f>
        <v>4.6219999999999999</v>
      </c>
      <c r="G133" s="9" t="str">
        <f>RTD("kgi.tw.der.pricertdserver.2014.1",,C133 &amp; "_Time" &amp; ":" &amp; D133 &amp; "@" &amp; E133)</f>
        <v>20210514_151459429</v>
      </c>
      <c r="H133" s="13" t="str">
        <f t="shared" si="33"/>
        <v>HGE1</v>
      </c>
      <c r="I133" s="13" t="str">
        <f t="shared" si="34"/>
        <v>HG</v>
      </c>
      <c r="J133" t="str">
        <f t="shared" si="35"/>
        <v>K</v>
      </c>
      <c r="K133" t="str">
        <f t="shared" si="36"/>
        <v>1</v>
      </c>
      <c r="L133" t="str">
        <f t="shared" si="37"/>
        <v>E</v>
      </c>
      <c r="M133">
        <f t="shared" si="9"/>
        <v>5</v>
      </c>
    </row>
    <row r="134" spans="1:14">
      <c r="B134" s="38" t="str">
        <f t="shared" si="8"/>
        <v>21年 - 6月</v>
      </c>
      <c r="C134" s="11" t="s">
        <v>1817</v>
      </c>
      <c r="D134" s="9" t="s">
        <v>461</v>
      </c>
      <c r="E134" s="9" t="s">
        <v>459</v>
      </c>
      <c r="F134" s="12">
        <f>RTD("kgi.tw.der.pricertdserver.2014.1",,C134 &amp;":"&amp; D134&amp;"@" &amp; E134)</f>
        <v>4.6790000000000003</v>
      </c>
      <c r="G134" s="9" t="str">
        <f>RTD("kgi.tw.der.pricertdserver.2014.1",,C134 &amp; "_Time" &amp; ":" &amp; D134 &amp; "@" &amp; E134)</f>
        <v>20210514_151459679</v>
      </c>
      <c r="H134" s="13" t="str">
        <f t="shared" si="33"/>
        <v>HGF1</v>
      </c>
      <c r="I134" s="13" t="str">
        <f t="shared" si="34"/>
        <v>HG</v>
      </c>
      <c r="J134" t="str">
        <f t="shared" si="35"/>
        <v>M</v>
      </c>
      <c r="K134" t="str">
        <f t="shared" si="36"/>
        <v>1</v>
      </c>
      <c r="L134" t="str">
        <f t="shared" si="37"/>
        <v>F</v>
      </c>
      <c r="M134">
        <f t="shared" si="9"/>
        <v>6</v>
      </c>
    </row>
    <row r="135" spans="1:14">
      <c r="B135" s="38" t="str">
        <f t="shared" si="8"/>
        <v>21年 - 7月</v>
      </c>
      <c r="C135" s="11" t="s">
        <v>1819</v>
      </c>
      <c r="D135" s="9" t="s">
        <v>461</v>
      </c>
      <c r="E135" s="9" t="s">
        <v>459</v>
      </c>
      <c r="F135" s="12">
        <f>RTD("kgi.tw.der.pricertdserver.2014.1",,C135 &amp;":"&amp; D135&amp;"@" &amp; E135)</f>
        <v>4.6639999999999997</v>
      </c>
      <c r="G135" s="9" t="str">
        <f>RTD("kgi.tw.der.pricertdserver.2014.1",,C135 &amp; "_Time" &amp; ":" &amp; D135 &amp; "@" &amp; E135)</f>
        <v>20210514_151459914</v>
      </c>
      <c r="H135" s="13" t="str">
        <f t="shared" si="33"/>
        <v>HGG1</v>
      </c>
      <c r="I135" s="13" t="str">
        <f t="shared" si="34"/>
        <v>HG</v>
      </c>
      <c r="J135" t="str">
        <f t="shared" si="35"/>
        <v>N</v>
      </c>
      <c r="K135" t="str">
        <f t="shared" si="36"/>
        <v>1</v>
      </c>
      <c r="L135" t="str">
        <f t="shared" si="37"/>
        <v>G</v>
      </c>
      <c r="M135">
        <f t="shared" si="9"/>
        <v>7</v>
      </c>
    </row>
    <row r="136" spans="1:14">
      <c r="B136" s="38" t="str">
        <f t="shared" si="8"/>
        <v>21年 - 8月</v>
      </c>
      <c r="C136" s="11" t="s">
        <v>1821</v>
      </c>
      <c r="D136" s="9" t="s">
        <v>461</v>
      </c>
      <c r="E136" s="9" t="s">
        <v>459</v>
      </c>
      <c r="F136" s="12">
        <f>RTD("kgi.tw.der.pricertdserver.2014.1",,C136 &amp;":"&amp; D136&amp;"@" &amp; E136)</f>
        <v>4.6689999999999996</v>
      </c>
      <c r="G136" s="9" t="str">
        <f>RTD("kgi.tw.der.pricertdserver.2014.1",,C136 &amp; "_Time" &amp; ":" &amp; D136 &amp; "@" &amp; E136)</f>
        <v>20210514_151457913</v>
      </c>
      <c r="H136" s="13" t="str">
        <f t="shared" si="33"/>
        <v>HGH1</v>
      </c>
      <c r="I136" s="13" t="str">
        <f t="shared" si="34"/>
        <v>HG</v>
      </c>
      <c r="J136" t="str">
        <f t="shared" si="35"/>
        <v>Q</v>
      </c>
      <c r="K136" t="str">
        <f t="shared" si="36"/>
        <v>1</v>
      </c>
      <c r="L136" t="str">
        <f t="shared" si="37"/>
        <v>H</v>
      </c>
      <c r="M136">
        <f t="shared" si="9"/>
        <v>8</v>
      </c>
    </row>
    <row r="137" spans="1:14">
      <c r="B137" s="38" t="str">
        <f>RIGHT(C137,2)&amp;"年"&amp;" - "&amp;M137&amp;"月"</f>
        <v>21年 - 9月</v>
      </c>
      <c r="C137" s="11" t="s">
        <v>1823</v>
      </c>
      <c r="D137" s="9" t="s">
        <v>461</v>
      </c>
      <c r="E137" s="9" t="s">
        <v>459</v>
      </c>
      <c r="F137" s="12">
        <f>RTD("kgi.tw.der.pricertdserver.2014.1",,C137 &amp;":"&amp; D137&amp;"@" &amp; E137)</f>
        <v>4.67</v>
      </c>
      <c r="G137" s="9" t="str">
        <f>RTD("kgi.tw.der.pricertdserver.2014.1",,C137 &amp; "_Time" &amp; ":" &amp; D137 &amp; "@" &amp; E137)</f>
        <v>20210514_151457913</v>
      </c>
      <c r="H137" s="13" t="str">
        <f>I137&amp;L137&amp;K137</f>
        <v>HGI1</v>
      </c>
      <c r="I137" s="13" t="str">
        <f>IF(AND(D137="CBOT",LEFT(C137,2)="ZB"),"US",IF(AND(D137="ICE_EU",LEFT(C137,3)="BRN"),"LCOB",IF(AND(D137="SGX",LEFT(C137,2)="NK"),"SSI",IF(AND(D137="SGX",LEFT(C137,2)="CN"),"SCN",IF(AND(D137="SGX",LEFT(C137,2)="TW"),"STW",IF(LEFT(C137,5)="TOPIX","JTI",IF(RIGHT(LEFT(C137,3),1)="-",LEFT(C137,2),LEFT(C137,3))))))))</f>
        <v>HG</v>
      </c>
      <c r="J137" t="str">
        <f>LEFT(RIGHT(C137,3),1)</f>
        <v>U</v>
      </c>
      <c r="K137" t="str">
        <f>RIGHT(C137,1)</f>
        <v>1</v>
      </c>
      <c r="L137" t="str">
        <f>VLOOKUP(J137,$V$1:$W$14,2,FALSE)</f>
        <v>I</v>
      </c>
      <c r="M137">
        <f>VLOOKUP($J137,$V$1:$X$13,3,FALSE)</f>
        <v>9</v>
      </c>
    </row>
    <row r="138" spans="1:14">
      <c r="B138" s="38" t="str">
        <f>RIGHT(C138,2)&amp;"年"&amp;" - "&amp;M138&amp;"月"</f>
        <v>21年 - 10月</v>
      </c>
      <c r="C138" s="11" t="s">
        <v>1825</v>
      </c>
      <c r="D138" s="9" t="s">
        <v>461</v>
      </c>
      <c r="E138" s="9" t="s">
        <v>459</v>
      </c>
      <c r="F138" s="12">
        <f>RTD("kgi.tw.der.pricertdserver.2014.1",,C138 &amp;":"&amp; D138&amp;"@" &amp; E138)</f>
        <v>4.6555</v>
      </c>
      <c r="G138" s="9" t="str">
        <f>RTD("kgi.tw.der.pricertdserver.2014.1",,C138 &amp; "_Time" &amp; ":" &amp; D138 &amp; "@" &amp; E138)</f>
        <v>20210514_151459179</v>
      </c>
      <c r="H138" s="13" t="str">
        <f>I138&amp;L138&amp;K138</f>
        <v>HGJ1</v>
      </c>
      <c r="I138" s="13" t="str">
        <f>IF(AND(D138="CBOT",LEFT(C138,2)="ZB"),"US",IF(AND(D138="ICE_EU",LEFT(C138,3)="BRN"),"LCOB",IF(AND(D138="SGX",LEFT(C138,2)="NK"),"SSI",IF(AND(D138="SGX",LEFT(C138,2)="CN"),"SCN",IF(AND(D138="SGX",LEFT(C138,2)="TW"),"STW",IF(LEFT(C138,5)="TOPIX","JTI",IF(RIGHT(LEFT(C138,3),1)="-",LEFT(C138,2),LEFT(C138,3))))))))</f>
        <v>HG</v>
      </c>
      <c r="J138" t="str">
        <f>LEFT(RIGHT(C138,3),1)</f>
        <v>V</v>
      </c>
      <c r="K138" t="str">
        <f>RIGHT(C138,1)</f>
        <v>1</v>
      </c>
      <c r="L138" t="str">
        <f>VLOOKUP(J138,$V$1:$W$14,2,FALSE)</f>
        <v>J</v>
      </c>
      <c r="M138">
        <f>VLOOKUP($J138,$V$1:$X$13,3,FALSE)</f>
        <v>10</v>
      </c>
    </row>
    <row r="139" spans="1:14">
      <c r="B139" s="38" t="str">
        <f>RIGHT(C139,2)&amp;"年"&amp;" - "&amp;M139&amp;"月"</f>
        <v>21年 - 11月</v>
      </c>
      <c r="C139" s="11" t="s">
        <v>1868</v>
      </c>
      <c r="D139" s="9" t="s">
        <v>461</v>
      </c>
      <c r="E139" s="9" t="s">
        <v>459</v>
      </c>
      <c r="F139" s="12">
        <f>RTD("kgi.tw.der.pricertdserver.2014.1",,C139 &amp;":"&amp; D139&amp;"@" &amp; E139)</f>
        <v>0</v>
      </c>
      <c r="G139" s="9" t="str">
        <f>RTD("kgi.tw.der.pricertdserver.2014.1",,C139 &amp; "_Time" &amp; ":" &amp; D139 &amp; "@" &amp; E139)</f>
        <v>20210514_151454898</v>
      </c>
      <c r="H139" s="13" t="str">
        <f>I139&amp;L139&amp;K139</f>
        <v>HGK1</v>
      </c>
      <c r="I139" s="13" t="str">
        <f>IF(AND(D139="CBOT",LEFT(C139,2)="ZB"),"US",IF(AND(D139="ICE_EU",LEFT(C139,3)="BRN"),"LCOB",IF(AND(D139="SGX",LEFT(C139,2)="NK"),"SSI",IF(AND(D139="SGX",LEFT(C139,2)="CN"),"SCN",IF(AND(D139="SGX",LEFT(C139,2)="TW"),"STW",IF(LEFT(C139,5)="TOPIX","JTI",IF(RIGHT(LEFT(C139,3),1)="-",LEFT(C139,2),LEFT(C139,3))))))))</f>
        <v>HG</v>
      </c>
      <c r="J139" t="str">
        <f>LEFT(RIGHT(C139,3),1)</f>
        <v>X</v>
      </c>
      <c r="K139" t="str">
        <f>RIGHT(C139,1)</f>
        <v>1</v>
      </c>
      <c r="L139" t="str">
        <f>VLOOKUP(J139,$V$1:$W$14,2,FALSE)</f>
        <v>K</v>
      </c>
      <c r="M139">
        <f>VLOOKUP($J139,$V$1:$X$13,3,FALSE)</f>
        <v>11</v>
      </c>
    </row>
    <row r="140" spans="1:14">
      <c r="A140" t="s">
        <v>1360</v>
      </c>
      <c r="B140" s="38" t="str">
        <f t="shared" ref="B140" si="38">RIGHT(C140,2)&amp;"年"&amp;" - "&amp;M140&amp;"月"</f>
        <v>21年 - 7月</v>
      </c>
      <c r="C140" s="11" t="s">
        <v>2665</v>
      </c>
      <c r="D140" s="9" t="s">
        <v>485</v>
      </c>
      <c r="E140" s="9" t="s">
        <v>459</v>
      </c>
      <c r="F140" s="12" t="e">
        <f>RTD("kgi.tw.der.pricertdserver.2014.1",,C140 &amp;":"&amp; D140&amp;"@" &amp; E140)</f>
        <v>#N/A</v>
      </c>
      <c r="G140" s="9" t="e">
        <f>RTD("kgi.tw.der.pricertdserver.2014.1",,C140 &amp; "_Time" &amp; ":" &amp; D140 &amp; "@" &amp; E140)</f>
        <v>#N/A</v>
      </c>
      <c r="H140" s="13" t="str">
        <f t="shared" ref="H140:H141" si="39">I140&amp;L140&amp;K140</f>
        <v>ING1</v>
      </c>
      <c r="I140" s="13" t="str">
        <f t="shared" ref="I140:I141" si="40">IF(AND(D140="CBOT",LEFT(C140,2)="ZB"),"US",IF(AND(D140="ICE_EU",LEFT(C140,3)="BRN"),"LCOB",IF(AND(D140="SGX",LEFT(C140,2)="NK"),"SSI",IF(AND(D140="SGX",LEFT(C140,2)="CN"),"SCN",IF(AND(D140="SGX",LEFT(C140,2)="TW"),"STW",IF(LEFT(C140,5)="TOPIX","JTI",IF(RIGHT(LEFT(C140,3),1)="-",LEFT(C140,2),LEFT(C140,3))))))))</f>
        <v>IN</v>
      </c>
      <c r="J140" t="str">
        <f t="shared" ref="J140:J141" si="41">LEFT(RIGHT(C140,3),1)</f>
        <v>N</v>
      </c>
      <c r="K140" t="str">
        <f t="shared" ref="K140:K141" si="42">RIGHT(C140,1)</f>
        <v>1</v>
      </c>
      <c r="L140" t="str">
        <f t="shared" ref="L140:L141" si="43">VLOOKUP(J140,$V$1:$W$14,2,FALSE)</f>
        <v>G</v>
      </c>
      <c r="M140">
        <f t="shared" ref="M140:M151" si="44">VLOOKUP($J140,$V$1:$X$13,3,FALSE)</f>
        <v>7</v>
      </c>
    </row>
    <row r="141" spans="1:14">
      <c r="A141" t="s">
        <v>1361</v>
      </c>
      <c r="B141" s="38" t="str">
        <f>RIGHT(C141,2)&amp;"年"&amp;" - "&amp;M141&amp;"月"</f>
        <v>21年 - 5月</v>
      </c>
      <c r="C141" s="14" t="s">
        <v>2527</v>
      </c>
      <c r="D141" s="9" t="s">
        <v>485</v>
      </c>
      <c r="E141" s="9" t="s">
        <v>459</v>
      </c>
      <c r="F141" s="12">
        <f>RTD("kgi.tw.der.pricertdserver.2014.1",,C141 &amp;":"&amp; D141&amp;"@" &amp; E141)</f>
        <v>14682</v>
      </c>
      <c r="G141" s="9" t="str">
        <f>RTD("kgi.tw.der.pricertdserver.2014.1",,C141 &amp; "_Time" &amp; ":" &amp; D141 &amp; "@" &amp; E141)</f>
        <v>20210514_151459843</v>
      </c>
      <c r="H141" s="13" t="str">
        <f t="shared" si="39"/>
        <v>INE1</v>
      </c>
      <c r="I141" s="13" t="str">
        <f t="shared" si="40"/>
        <v>IN</v>
      </c>
      <c r="J141" t="str">
        <f t="shared" si="41"/>
        <v>K</v>
      </c>
      <c r="K141" t="str">
        <f t="shared" si="42"/>
        <v>1</v>
      </c>
      <c r="L141" t="str">
        <f t="shared" si="43"/>
        <v>E</v>
      </c>
      <c r="M141">
        <f t="shared" si="44"/>
        <v>5</v>
      </c>
    </row>
    <row r="142" spans="1:14">
      <c r="B142" s="38" t="str">
        <f t="shared" ref="B142:B143" si="45">RIGHT(C142,2)&amp;"年"&amp;" - "&amp;M142&amp;"月"</f>
        <v>21年 - 6月</v>
      </c>
      <c r="C142" s="11" t="s">
        <v>2663</v>
      </c>
      <c r="D142" s="9" t="s">
        <v>485</v>
      </c>
      <c r="E142" s="9" t="s">
        <v>459</v>
      </c>
      <c r="F142" s="12">
        <f>RTD("kgi.tw.der.pricertdserver.2014.1",,C142 &amp;":"&amp; D142&amp;"@" &amp; E142)</f>
        <v>14730</v>
      </c>
      <c r="G142" s="9" t="str">
        <f>RTD("kgi.tw.der.pricertdserver.2014.1",,C142 &amp; "_Time" &amp; ":" &amp; D142 &amp; "@" &amp; E142)</f>
        <v>20210514_151459841</v>
      </c>
      <c r="H142" s="13" t="str">
        <f>I142&amp;L142&amp;K142</f>
        <v>INF1</v>
      </c>
      <c r="I142" s="13" t="str">
        <f>IF(AND(D142="CBOT",LEFT(C142,2)="ZB"),"US",IF(AND(D142="ICE_EU",LEFT(C142,3)="BRN"),"LCOB",IF(AND(D142="SGX",LEFT(C142,2)="NK"),"SSI",IF(AND(D142="SGX",LEFT(C142,2)="CN"),"SCN",IF(AND(D142="SGX",LEFT(C142,2)="TW"),"STW",IF(LEFT(C142,5)="TOPIX","JTI",IF(RIGHT(LEFT(C142,3),1)="-",LEFT(C142,2),LEFT(C142,3))))))))</f>
        <v>IN</v>
      </c>
      <c r="J142" t="str">
        <f>LEFT(RIGHT(C142,3),1)</f>
        <v>M</v>
      </c>
      <c r="K142" t="str">
        <f>RIGHT(C142,1)</f>
        <v>1</v>
      </c>
      <c r="L142" t="str">
        <f>VLOOKUP(J142,$V$1:$W$14,2,FALSE)</f>
        <v>F</v>
      </c>
      <c r="M142">
        <f>VLOOKUP($J142,$V$1:$X$13,3,FALSE)</f>
        <v>6</v>
      </c>
    </row>
    <row r="143" spans="1:14">
      <c r="A143" t="s">
        <v>1418</v>
      </c>
      <c r="B143" s="38" t="str">
        <f t="shared" si="45"/>
        <v>21年 - 9月</v>
      </c>
      <c r="C143" s="11" t="s">
        <v>2715</v>
      </c>
      <c r="D143" s="9" t="s">
        <v>1421</v>
      </c>
      <c r="E143" s="9" t="s">
        <v>459</v>
      </c>
      <c r="F143" s="42">
        <f>RTD("kgi.tw.der.pricertdserver.2014.1",,C143 &amp;":"&amp; D143&amp;"@" &amp; E143)</f>
        <v>9.1400000000000006E-3</v>
      </c>
      <c r="G143" s="9" t="str">
        <f>RTD("kgi.tw.der.pricertdserver.2014.1",,C143 &amp; "_Time" &amp; ":" &amp; D143 &amp; "@" &amp; E143)</f>
        <v>20210514_140029581</v>
      </c>
      <c r="H143" s="13" t="str">
        <f>N143&amp;L143&amp;K143</f>
        <v>JYI1</v>
      </c>
      <c r="I143" s="13" t="str">
        <f>IF(AND(D143="CBOT",LEFT(C143,2)="ZB"),"US",IF(AND(D143="ICE_EU",LEFT(C143,3)="BRN"),"LCOB",IF(AND(D143="SGX",LEFT(C143,2)="NK"),"SSI",IF(AND(D143="SGX",LEFT(C143,2)="CN"),"SCN",IF(AND(D143="SGX",LEFT(C143,2)="TW"),"STW",IF(LEFT(C143,5)="TOPIX","JTI",IF(RIGHT(LEFT(C143,3),1)="-",LEFT(C143,2),LEFT(C143,3))))))))</f>
        <v>6J</v>
      </c>
      <c r="J143" t="str">
        <f t="shared" ref="J143:J144" si="46">LEFT(RIGHT(C143,3),1)</f>
        <v>U</v>
      </c>
      <c r="K143" t="str">
        <f t="shared" ref="K143:K144" si="47">RIGHT(C143,1)</f>
        <v>1</v>
      </c>
      <c r="L143" t="str">
        <f t="shared" ref="L143:L144" si="48">VLOOKUP(J143,$V$1:$W$14,2,FALSE)</f>
        <v>I</v>
      </c>
      <c r="M143">
        <f t="shared" si="44"/>
        <v>9</v>
      </c>
      <c r="N143" t="s">
        <v>1422</v>
      </c>
    </row>
    <row r="144" spans="1:14">
      <c r="A144" t="s">
        <v>1417</v>
      </c>
      <c r="B144" s="38" t="str">
        <f>RIGHT(C144,2)&amp;"年"&amp;" - "&amp;M144&amp;"月"</f>
        <v>21年 - 12月</v>
      </c>
      <c r="C144" s="14" t="s">
        <v>2717</v>
      </c>
      <c r="D144" s="9" t="s">
        <v>1421</v>
      </c>
      <c r="E144" s="9" t="s">
        <v>459</v>
      </c>
      <c r="F144" s="42" t="e">
        <f>RTD("kgi.tw.der.pricertdserver.2014.1",,C144 &amp;":"&amp; D144&amp;"@" &amp; E144)</f>
        <v>#N/A</v>
      </c>
      <c r="G144" s="9" t="e">
        <f>RTD("kgi.tw.der.pricertdserver.2014.1",,C144 &amp; "_Time" &amp; ":" &amp; D144 &amp; "@" &amp; E144)</f>
        <v>#N/A</v>
      </c>
      <c r="H144" s="13" t="str">
        <f t="shared" ref="H144:H145" si="49">N144&amp;L144&amp;K144</f>
        <v>JYL1</v>
      </c>
      <c r="I144" s="13" t="str">
        <f t="shared" ref="I144" si="50">IF(AND(D144="CBOT",LEFT(C144,2)="ZB"),"US",IF(AND(D144="ICE_EU",LEFT(C144,3)="BRN"),"LCOB",IF(AND(D144="SGX",LEFT(C144,2)="NK"),"SSI",IF(AND(D144="SGX",LEFT(C144,2)="CN"),"SCN",IF(AND(D144="SGX",LEFT(C144,2)="TW"),"STW",IF(LEFT(C144,5)="TOPIX","JTI",IF(RIGHT(LEFT(C144,3),1)="-",LEFT(C144,2),LEFT(C144,3))))))))</f>
        <v>6J</v>
      </c>
      <c r="J144" t="str">
        <f t="shared" si="46"/>
        <v>Z</v>
      </c>
      <c r="K144" t="str">
        <f t="shared" si="47"/>
        <v>1</v>
      </c>
      <c r="L144" t="str">
        <f t="shared" si="48"/>
        <v>L</v>
      </c>
      <c r="M144">
        <f t="shared" si="44"/>
        <v>12</v>
      </c>
      <c r="N144" t="s">
        <v>1422</v>
      </c>
    </row>
    <row r="145" spans="1:14">
      <c r="B145" s="38" t="str">
        <f>RIGHT(C145,2)&amp;"年"&amp;" - "&amp;M145&amp;"月"</f>
        <v>21年 - 6月</v>
      </c>
      <c r="C145" s="14" t="s">
        <v>2596</v>
      </c>
      <c r="D145" s="9" t="s">
        <v>1421</v>
      </c>
      <c r="E145" s="9" t="s">
        <v>459</v>
      </c>
      <c r="F145" s="42">
        <f>RTD("kgi.tw.der.pricertdserver.2014.1",,C145 &amp;":"&amp; D145&amp;"@" &amp; E145)</f>
        <v>9.1435000000000006E-3</v>
      </c>
      <c r="G145" s="9" t="str">
        <f>RTD("kgi.tw.der.pricertdserver.2014.1",,C145 &amp; "_Time" &amp; ":" &amp; D145 &amp; "@" &amp; E145)</f>
        <v>20210514_151446740</v>
      </c>
      <c r="H145" s="13" t="str">
        <f t="shared" si="49"/>
        <v>JYF1</v>
      </c>
      <c r="I145" s="13" t="str">
        <f t="shared" ref="I145" si="51">IF(AND(D145="CBOT",LEFT(C145,2)="ZB"),"US",IF(AND(D145="ICE_EU",LEFT(C145,3)="BRN"),"LCOB",IF(AND(D145="SGX",LEFT(C145,2)="NK"),"SSI",IF(AND(D145="SGX",LEFT(C145,2)="CN"),"SCN",IF(AND(D145="SGX",LEFT(C145,2)="TW"),"STW",IF(LEFT(C145,5)="TOPIX","JTI",IF(RIGHT(LEFT(C145,3),1)="-",LEFT(C145,2),LEFT(C145,3))))))))</f>
        <v>6J</v>
      </c>
      <c r="J145" t="str">
        <f t="shared" ref="J145" si="52">LEFT(RIGHT(C145,3),1)</f>
        <v>M</v>
      </c>
      <c r="K145" t="str">
        <f t="shared" ref="K145" si="53">RIGHT(C145,1)</f>
        <v>1</v>
      </c>
      <c r="L145" t="str">
        <f t="shared" ref="L145" si="54">VLOOKUP(J145,$V$1:$W$14,2,FALSE)</f>
        <v>F</v>
      </c>
      <c r="M145">
        <f t="shared" si="44"/>
        <v>6</v>
      </c>
      <c r="N145" t="s">
        <v>1422</v>
      </c>
    </row>
    <row r="146" spans="1:14">
      <c r="A146" t="s">
        <v>1627</v>
      </c>
      <c r="B146" s="38" t="str">
        <f t="shared" ref="B146" si="55">RIGHT(C146,2)&amp;"年"&amp;" - "&amp;M146&amp;"月"</f>
        <v>21年 - 8月</v>
      </c>
      <c r="C146" s="14" t="s">
        <v>2661</v>
      </c>
      <c r="D146" s="9" t="s">
        <v>485</v>
      </c>
      <c r="E146" s="9" t="s">
        <v>459</v>
      </c>
      <c r="F146" s="12" t="e">
        <f>RTD("kgi.tw.der.pricertdserver.2014.1",,C146 &amp;":"&amp; D146&amp;"@" &amp; E146)</f>
        <v>#N/A</v>
      </c>
      <c r="G146" s="9" t="e">
        <f>RTD("kgi.tw.der.pricertdserver.2014.1",,C146 &amp; "_Time" &amp; ":" &amp; D146 &amp; "@" &amp; E146)</f>
        <v>#N/A</v>
      </c>
      <c r="H146" s="13" t="str">
        <f>I146&amp;L146&amp;K146</f>
        <v>TWNH1</v>
      </c>
      <c r="I146" s="13" t="s">
        <v>1628</v>
      </c>
      <c r="J146" t="str">
        <f t="shared" ref="J146:J147" si="56">LEFT(RIGHT(C146,3),1)</f>
        <v>Q</v>
      </c>
      <c r="K146" t="str">
        <f t="shared" ref="K146:K147" si="57">RIGHT(C146,1)</f>
        <v>1</v>
      </c>
      <c r="L146" t="str">
        <f t="shared" ref="L146:L147" si="58">VLOOKUP(J146,$V$1:$W$14,2,FALSE)</f>
        <v>H</v>
      </c>
      <c r="M146">
        <f t="shared" si="44"/>
        <v>8</v>
      </c>
    </row>
    <row r="147" spans="1:14">
      <c r="B147" s="38" t="str">
        <f t="shared" ref="B147:B151" si="59">RIGHT(C147,2)&amp;"年"&amp;" - "&amp;M147&amp;"月"</f>
        <v>21年 - 6月</v>
      </c>
      <c r="C147" s="14" t="s">
        <v>1784</v>
      </c>
      <c r="D147" s="9" t="s">
        <v>485</v>
      </c>
      <c r="E147" s="9" t="s">
        <v>459</v>
      </c>
      <c r="F147" s="12">
        <f>RTD("kgi.tw.der.pricertdserver.2014.1",,C147 &amp;":"&amp; D147&amp;"@" &amp; E147)</f>
        <v>1381.75</v>
      </c>
      <c r="G147" s="9" t="str">
        <f>RTD("kgi.tw.der.pricertdserver.2014.1",,C147 &amp; "_Time" &amp; ":" &amp; D147 &amp; "@" &amp; E147)</f>
        <v>20210514_151459664</v>
      </c>
      <c r="H147" s="13" t="str">
        <f t="shared" ref="H147" si="60">I147&amp;L147&amp;K147</f>
        <v>TWNF1</v>
      </c>
      <c r="I147" s="13" t="s">
        <v>1628</v>
      </c>
      <c r="J147" t="str">
        <f t="shared" si="56"/>
        <v>M</v>
      </c>
      <c r="K147" t="str">
        <f t="shared" si="57"/>
        <v>1</v>
      </c>
      <c r="L147" t="str">
        <f t="shared" si="58"/>
        <v>F</v>
      </c>
      <c r="M147">
        <f t="shared" si="44"/>
        <v>6</v>
      </c>
    </row>
    <row r="148" spans="1:14">
      <c r="B148" s="38" t="str">
        <f t="shared" si="59"/>
        <v>21年 - 7月</v>
      </c>
      <c r="C148" s="14" t="s">
        <v>2659</v>
      </c>
      <c r="D148" s="9" t="s">
        <v>485</v>
      </c>
      <c r="E148" s="9" t="s">
        <v>459</v>
      </c>
      <c r="F148" s="12">
        <f>RTD("kgi.tw.der.pricertdserver.2014.1",,C148 &amp;":"&amp; D148&amp;"@" &amp; E148)</f>
        <v>-7.9228162514264338E+28</v>
      </c>
      <c r="G148" s="9" t="str">
        <f>RTD("kgi.tw.der.pricertdserver.2014.1",,C148 &amp; "_Time" &amp; ":" &amp; D148 &amp; "@" &amp; E148)</f>
        <v>20210514_151459663</v>
      </c>
      <c r="H148" s="13" t="str">
        <f t="shared" ref="H148" si="61">I148&amp;L148&amp;K148</f>
        <v>TWNG1</v>
      </c>
      <c r="I148" s="13" t="s">
        <v>1628</v>
      </c>
      <c r="J148" t="str">
        <f t="shared" ref="J148" si="62">LEFT(RIGHT(C148,3),1)</f>
        <v>N</v>
      </c>
      <c r="K148" t="str">
        <f t="shared" ref="K148" si="63">RIGHT(C148,1)</f>
        <v>1</v>
      </c>
      <c r="L148" t="str">
        <f t="shared" ref="L148" si="64">VLOOKUP(J148,$V$1:$W$14,2,FALSE)</f>
        <v>G</v>
      </c>
      <c r="M148">
        <f t="shared" si="44"/>
        <v>7</v>
      </c>
    </row>
    <row r="149" spans="1:14">
      <c r="B149" s="38" t="str">
        <f t="shared" si="59"/>
        <v>21年 - 9月</v>
      </c>
      <c r="C149" s="14" t="s">
        <v>2660</v>
      </c>
      <c r="D149" s="9" t="s">
        <v>485</v>
      </c>
      <c r="E149" s="9" t="s">
        <v>459</v>
      </c>
      <c r="F149" s="12">
        <f>RTD("kgi.tw.der.pricertdserver.2014.1",,C149 &amp;":"&amp; D149&amp;"@" &amp; E149)</f>
        <v>-7.9228162514264338E+28</v>
      </c>
      <c r="G149" s="9" t="str">
        <f>RTD("kgi.tw.der.pricertdserver.2014.1",,C149 &amp; "_Time" &amp; ":" &amp; D149 &amp; "@" &amp; E149)</f>
        <v>20210514_151459664</v>
      </c>
      <c r="H149" s="13" t="str">
        <f t="shared" ref="H149:H150" si="65">I149&amp;L149&amp;K149</f>
        <v>TWNI1</v>
      </c>
      <c r="I149" s="13" t="s">
        <v>1628</v>
      </c>
      <c r="J149" t="str">
        <f t="shared" ref="J149:J150" si="66">LEFT(RIGHT(C149,3),1)</f>
        <v>U</v>
      </c>
      <c r="K149" t="str">
        <f t="shared" ref="K149:K150" si="67">RIGHT(C149,1)</f>
        <v>1</v>
      </c>
      <c r="L149" t="str">
        <f t="shared" ref="L149:L150" si="68">VLOOKUP(J149,$V$1:$W$14,2,FALSE)</f>
        <v>I</v>
      </c>
      <c r="M149">
        <f t="shared" si="44"/>
        <v>9</v>
      </c>
    </row>
    <row r="150" spans="1:14">
      <c r="B150" s="38" t="str">
        <f t="shared" si="59"/>
        <v>21年 - 4月</v>
      </c>
      <c r="C150" s="14" t="s">
        <v>2412</v>
      </c>
      <c r="D150" s="9" t="s">
        <v>485</v>
      </c>
      <c r="E150" s="9" t="s">
        <v>459</v>
      </c>
      <c r="F150" s="12" t="e">
        <f>RTD("kgi.tw.der.pricertdserver.2014.1",,C150 &amp;":"&amp; D150&amp;"@" &amp; E150)</f>
        <v>#N/A</v>
      </c>
      <c r="G150" s="9" t="e">
        <f>RTD("kgi.tw.der.pricertdserver.2014.1",,C150 &amp; "_Time" &amp; ":" &amp; D150 &amp; "@" &amp; E150)</f>
        <v>#N/A</v>
      </c>
      <c r="H150" s="13" t="str">
        <f t="shared" si="65"/>
        <v>TWND1</v>
      </c>
      <c r="I150" s="13" t="s">
        <v>1628</v>
      </c>
      <c r="J150" t="str">
        <f t="shared" si="66"/>
        <v>J</v>
      </c>
      <c r="K150" t="str">
        <f t="shared" si="67"/>
        <v>1</v>
      </c>
      <c r="L150" t="str">
        <f t="shared" si="68"/>
        <v>D</v>
      </c>
      <c r="M150">
        <f t="shared" si="44"/>
        <v>4</v>
      </c>
    </row>
    <row r="151" spans="1:14">
      <c r="B151" s="38" t="str">
        <f t="shared" si="59"/>
        <v>21年 - 5月</v>
      </c>
      <c r="C151" s="14" t="s">
        <v>2413</v>
      </c>
      <c r="D151" s="9" t="s">
        <v>485</v>
      </c>
      <c r="E151" s="9" t="s">
        <v>459</v>
      </c>
      <c r="F151" s="12">
        <f>RTD("kgi.tw.der.pricertdserver.2014.1",,C151 &amp;":"&amp; D151&amp;"@" &amp; E151)</f>
        <v>1392.25</v>
      </c>
      <c r="G151" s="9" t="str">
        <f>RTD("kgi.tw.der.pricertdserver.2014.1",,C151 &amp; "_Time" &amp; ":" &amp; D151 &amp; "@" &amp; E151)</f>
        <v>20210514_151459664</v>
      </c>
      <c r="H151" s="13" t="str">
        <f t="shared" ref="H151" si="69">I151&amp;L151&amp;K151</f>
        <v>TWNE1</v>
      </c>
      <c r="I151" s="13" t="s">
        <v>1628</v>
      </c>
      <c r="J151" t="str">
        <f t="shared" ref="J151" si="70">LEFT(RIGHT(C151,3),1)</f>
        <v>K</v>
      </c>
      <c r="K151" t="str">
        <f t="shared" ref="K151" si="71">RIGHT(C151,1)</f>
        <v>1</v>
      </c>
      <c r="L151" t="str">
        <f t="shared" ref="L151" si="72">VLOOKUP(J151,$V$1:$W$14,2,FALSE)</f>
        <v>E</v>
      </c>
      <c r="M151">
        <f t="shared" si="44"/>
        <v>5</v>
      </c>
    </row>
    <row r="152" spans="1:14">
      <c r="B152" s="38"/>
      <c r="C152" s="11"/>
      <c r="D152" s="9"/>
      <c r="E152" s="9"/>
      <c r="F152" s="42"/>
      <c r="G152" s="9"/>
      <c r="H152" s="13"/>
      <c r="I152" s="13"/>
    </row>
    <row r="153" spans="1:14">
      <c r="A153" t="s">
        <v>2626</v>
      </c>
      <c r="B153" s="38"/>
      <c r="C153" s="14" t="s">
        <v>466</v>
      </c>
      <c r="D153" s="9" t="s">
        <v>1115</v>
      </c>
      <c r="E153" s="9" t="s">
        <v>459</v>
      </c>
      <c r="F153" s="12">
        <f>RTD("kgi.tw.der.pricertdserver.2014.1",,C153 &amp;":"&amp; D153&amp;"@" &amp; E153)</f>
        <v>637.50961963869918</v>
      </c>
      <c r="G153" s="9" t="str">
        <f>RTD("kgi.tw.der.pricertdserver.2014.1",,C153 &amp; "_Time" &amp; ":" &amp; D153 &amp; "@" &amp; E153)</f>
        <v>20210514_133105998</v>
      </c>
      <c r="H153" s="13"/>
      <c r="I153" s="13"/>
    </row>
    <row r="154" spans="1:14">
      <c r="A154" t="s">
        <v>2625</v>
      </c>
      <c r="B154" s="38"/>
      <c r="C154" s="14" t="s">
        <v>2622</v>
      </c>
      <c r="D154" s="9" t="s">
        <v>1115</v>
      </c>
      <c r="E154" s="9" t="s">
        <v>459</v>
      </c>
      <c r="F154" s="12">
        <f>RTD("kgi.tw.der.pricertdserver.2014.1",,C154 &amp;":"&amp; D154&amp;"@" &amp; E154)</f>
        <v>637.51</v>
      </c>
      <c r="G154" s="9" t="str">
        <f>RTD("kgi.tw.der.pricertdserver.2014.1",,C154 &amp; "_Time" &amp; ":" &amp; D154 &amp; "@" &amp; E154)</f>
        <v>20210514_150309215</v>
      </c>
      <c r="H154" s="13" t="str">
        <f t="shared" ref="H154:H156" si="73">I154&amp;L154&amp;K154</f>
        <v/>
      </c>
      <c r="I154" s="13"/>
    </row>
    <row r="155" spans="1:14">
      <c r="A155" t="s">
        <v>2624</v>
      </c>
      <c r="B155" s="38"/>
      <c r="C155" s="14" t="s">
        <v>2623</v>
      </c>
      <c r="D155" s="9" t="s">
        <v>1115</v>
      </c>
      <c r="E155" s="9" t="s">
        <v>459</v>
      </c>
      <c r="F155" s="12">
        <f>RTD("kgi.tw.der.pricertdserver.2014.1",,C155 &amp;":"&amp; D155&amp;"@" &amp; E155)</f>
        <v>1386.25</v>
      </c>
      <c r="G155" s="9" t="str">
        <f>RTD("kgi.tw.der.pricertdserver.2014.1",,C155 &amp; "_Time" &amp; ":" &amp; D155 &amp; "@" &amp; E155)</f>
        <v>20210514_151459840</v>
      </c>
      <c r="H155" s="13" t="str">
        <f t="shared" si="73"/>
        <v/>
      </c>
      <c r="I155" s="13"/>
    </row>
    <row r="156" spans="1:14">
      <c r="C156" s="14"/>
      <c r="D156" s="9"/>
      <c r="E156" s="9"/>
      <c r="F156" s="12"/>
      <c r="G156" s="9"/>
      <c r="H156" s="13" t="str">
        <f t="shared" si="73"/>
        <v/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5:L21"/>
  <sheetViews>
    <sheetView tabSelected="1" workbookViewId="0">
      <selection activeCell="B6" sqref="B6:B21"/>
    </sheetView>
  </sheetViews>
  <sheetFormatPr defaultRowHeight="16.5"/>
  <cols>
    <col min="3" max="3" width="24.25" customWidth="1"/>
  </cols>
  <sheetData>
    <row r="5" spans="1:12">
      <c r="A5" t="s">
        <v>515</v>
      </c>
      <c r="B5" s="2" t="s">
        <v>6</v>
      </c>
      <c r="C5" s="2" t="s">
        <v>7</v>
      </c>
      <c r="D5" s="2" t="s">
        <v>514</v>
      </c>
      <c r="E5" s="2" t="s">
        <v>509</v>
      </c>
      <c r="F5" s="2" t="s">
        <v>510</v>
      </c>
      <c r="G5" s="2" t="s">
        <v>511</v>
      </c>
      <c r="H5" s="2" t="s">
        <v>512</v>
      </c>
      <c r="I5" s="2" t="s">
        <v>513</v>
      </c>
      <c r="J5" s="2" t="s">
        <v>10</v>
      </c>
      <c r="K5" s="2" t="s">
        <v>11</v>
      </c>
      <c r="L5" s="2" t="s">
        <v>1304</v>
      </c>
    </row>
    <row r="6" spans="1:12">
      <c r="A6" t="str">
        <f>B6</f>
        <v>TXFF1</v>
      </c>
      <c r="B6" t="str">
        <f xml:space="preserve"> [3]!'TAIFEX,TXFF1,SYMBOL'</f>
        <v>TXFF1</v>
      </c>
      <c r="C6" t="str">
        <f xml:space="preserve"> [3]!'TAIFEX,TXFF1,DSPLY_NMLL'</f>
        <v>臺股期貨F1</v>
      </c>
      <c r="D6">
        <f xml:space="preserve"> [3]!'TAIFEX,TXFF1,ADJUST_CLS'</f>
        <v>15698</v>
      </c>
      <c r="E6">
        <f xml:space="preserve"> [3]!'TAIFEX,TXFF1,HST_CLOSE'</f>
        <v>0</v>
      </c>
      <c r="F6">
        <f xml:space="preserve"> [3]!'TAIFEX,TXFF1,OPEN_PRC'</f>
        <v>15720</v>
      </c>
      <c r="G6">
        <f xml:space="preserve"> [3]!'TAIFEX,TXFF1,HIGH_1'</f>
        <v>15950</v>
      </c>
      <c r="H6">
        <f xml:space="preserve"> [3]!'TAIFEX,TXFF1,LOW_1'</f>
        <v>15583</v>
      </c>
      <c r="I6">
        <f xml:space="preserve"> [3]!'TAIFEX,TXFF1,TRDPRC_1'</f>
        <v>15650</v>
      </c>
      <c r="J6">
        <f xml:space="preserve"> [3]!'TAIFEX,TXFF1,BID'</f>
        <v>15642</v>
      </c>
      <c r="K6">
        <f xml:space="preserve"> [3]!'TAIFEX,TXFF1,ASK'</f>
        <v>15655</v>
      </c>
      <c r="L6">
        <f>IF(I6=0,D6,I6)</f>
        <v>15650</v>
      </c>
    </row>
    <row r="7" spans="1:12">
      <c r="A7" t="str">
        <f>B7</f>
        <v>EXFF1</v>
      </c>
      <c r="B7" t="str">
        <f xml:space="preserve"> [3]!'TAIFEX,EXFF1,SYMBOL'</f>
        <v>EXFF1</v>
      </c>
      <c r="C7" t="str">
        <f xml:space="preserve"> [3]!'TAIFEX,EXFF1,DSPLY_NMLL'</f>
        <v>電子期貨F1</v>
      </c>
      <c r="D7">
        <f xml:space="preserve"> [3]!'TAIFEX,EXFF1,ADJUST_CLS'</f>
        <v>753.7</v>
      </c>
      <c r="E7">
        <f xml:space="preserve"> [3]!'TAIFEX,EXFF1,HST_CLOSE'</f>
        <v>0</v>
      </c>
      <c r="F7">
        <f xml:space="preserve"> [3]!'TAIFEX,EXFF1,OPEN_PRC'</f>
        <v>754.45</v>
      </c>
      <c r="G7">
        <f xml:space="preserve"> [3]!'TAIFEX,EXFF1,HIGH_1'</f>
        <v>766.55</v>
      </c>
      <c r="H7">
        <f xml:space="preserve"> [3]!'TAIFEX,EXFF1,LOW_1'</f>
        <v>748</v>
      </c>
      <c r="I7">
        <f xml:space="preserve"> [3]!'TAIFEX,EXFF1,TRDPRC_1'</f>
        <v>753.7</v>
      </c>
      <c r="J7">
        <f xml:space="preserve"> [3]!'TAIFEX,EXFF1,BID'</f>
        <v>745.15</v>
      </c>
      <c r="K7">
        <f xml:space="preserve"> [3]!'TAIFEX,EXFF1,ASK'</f>
        <v>755.7</v>
      </c>
      <c r="L7">
        <f t="shared" ref="L7:L20" si="0">IF(I7=0,D7,I7)</f>
        <v>753.7</v>
      </c>
    </row>
    <row r="8" spans="1:12">
      <c r="A8" t="str">
        <f>B8</f>
        <v>FXFF1</v>
      </c>
      <c r="B8" t="str">
        <f xml:space="preserve"> [3]!'TAIFEX,FXFF1,SYMBOL'</f>
        <v>FXFF1</v>
      </c>
      <c r="C8" t="str">
        <f xml:space="preserve"> [3]!'TAIFEX,FXFF1,DSPLY_NMLL'</f>
        <v>金融期貨F1</v>
      </c>
      <c r="D8">
        <f xml:space="preserve"> [3]!'TAIFEX,FXFF1,ADJUST_CLS'</f>
        <v>1427.2</v>
      </c>
      <c r="E8">
        <f xml:space="preserve"> [3]!'TAIFEX,FXFF1,HST_CLOSE'</f>
        <v>0</v>
      </c>
      <c r="F8">
        <f xml:space="preserve"> [3]!'TAIFEX,FXFF1,OPEN_PRC'</f>
        <v>1454</v>
      </c>
      <c r="G8">
        <f xml:space="preserve"> [3]!'TAIFEX,FXFF1,HIGH_1'</f>
        <v>1458</v>
      </c>
      <c r="H8">
        <f xml:space="preserve"> [3]!'TAIFEX,FXFF1,LOW_1'</f>
        <v>1432</v>
      </c>
      <c r="I8">
        <f xml:space="preserve"> [3]!'TAIFEX,FXFF1,TRDPRC_1'</f>
        <v>1442.4</v>
      </c>
      <c r="J8">
        <f xml:space="preserve"> [3]!'TAIFEX,FXFF1,BID'</f>
        <v>1438</v>
      </c>
      <c r="K8">
        <f xml:space="preserve"> [3]!'TAIFEX,FXFF1,ASK'</f>
        <v>1453.8</v>
      </c>
      <c r="L8">
        <f t="shared" si="0"/>
        <v>1442.4</v>
      </c>
    </row>
    <row r="9" spans="1:12">
      <c r="A9" t="str">
        <f>B9</f>
        <v>TXFE1</v>
      </c>
      <c r="B9" t="str">
        <f xml:space="preserve"> [3]!'TAIFEX,TXFE1,SYMBOL'</f>
        <v>TXFE1</v>
      </c>
      <c r="C9" t="str">
        <f xml:space="preserve"> [3]!'TAIFEX,TXFE1,DSPLY_NMLL'</f>
        <v>臺股期貨E1</v>
      </c>
      <c r="D9">
        <f xml:space="preserve"> [3]!'TAIFEX,TXFE1,ADJUST_CLS'</f>
        <v>15766</v>
      </c>
      <c r="E9">
        <f xml:space="preserve"> [3]!'TAIFEX,TXFE1,HST_CLOSE'</f>
        <v>0</v>
      </c>
      <c r="F9">
        <f xml:space="preserve"> [3]!'TAIFEX,TXFE1,OPEN_PRC'</f>
        <v>15800</v>
      </c>
      <c r="G9">
        <f xml:space="preserve"> [3]!'TAIFEX,TXFE1,HIGH_1'</f>
        <v>16021</v>
      </c>
      <c r="H9">
        <f xml:space="preserve"> [3]!'TAIFEX,TXFE1,LOW_1'</f>
        <v>15653</v>
      </c>
      <c r="I9">
        <f xml:space="preserve"> [3]!'TAIFEX,TXFE1,TRDPRC_1'</f>
        <v>15718</v>
      </c>
      <c r="J9">
        <f xml:space="preserve"> [3]!'TAIFEX,TXFE1,BID'</f>
        <v>15717</v>
      </c>
      <c r="K9">
        <f xml:space="preserve"> [3]!'TAIFEX,TXFE1,ASK'</f>
        <v>15719</v>
      </c>
      <c r="L9">
        <f t="shared" si="0"/>
        <v>15718</v>
      </c>
    </row>
    <row r="10" spans="1:12">
      <c r="A10" t="str">
        <f t="shared" ref="A10:A18" si="1">B10</f>
        <v>EXFE1</v>
      </c>
      <c r="B10" t="str">
        <f xml:space="preserve"> [3]!'TAIFEX,EXFE1,SYMBOL'</f>
        <v>EXFE1</v>
      </c>
      <c r="C10" t="str">
        <f xml:space="preserve"> [3]!'TAIFEX,EXFE1,DSPLY_NMLL'</f>
        <v>電子期貨E1</v>
      </c>
      <c r="D10">
        <f xml:space="preserve"> [3]!'TAIFEX,EXFE1,ADJUST_CLS'</f>
        <v>758.3</v>
      </c>
      <c r="E10">
        <f xml:space="preserve"> [3]!'TAIFEX,EXFE1,HST_CLOSE'</f>
        <v>0</v>
      </c>
      <c r="F10">
        <f xml:space="preserve"> [3]!'TAIFEX,EXFE1,OPEN_PRC'</f>
        <v>755.1</v>
      </c>
      <c r="G10">
        <f xml:space="preserve"> [3]!'TAIFEX,EXFE1,HIGH_1'</f>
        <v>770.95</v>
      </c>
      <c r="H10">
        <f xml:space="preserve"> [3]!'TAIFEX,EXFE1,LOW_1'</f>
        <v>751.75</v>
      </c>
      <c r="I10">
        <f xml:space="preserve"> [3]!'TAIFEX,EXFE1,TRDPRC_1'</f>
        <v>756</v>
      </c>
      <c r="J10">
        <f xml:space="preserve"> [3]!'TAIFEX,EXFE1,BID'</f>
        <v>755.55</v>
      </c>
      <c r="K10">
        <f xml:space="preserve"> [3]!'TAIFEX,EXFE1,ASK'</f>
        <v>756.2</v>
      </c>
      <c r="L10">
        <f t="shared" si="0"/>
        <v>756</v>
      </c>
    </row>
    <row r="11" spans="1:12">
      <c r="A11" t="str">
        <f t="shared" si="1"/>
        <v>FXFE1</v>
      </c>
      <c r="B11" t="str">
        <f xml:space="preserve"> [3]!'TAIFEX,FXFE1,SYMBOL'</f>
        <v>FXFE1</v>
      </c>
      <c r="C11" t="str">
        <f xml:space="preserve"> [3]!'TAIFEX,FXFE1,DSPLY_NMLL'</f>
        <v>金融期貨E1</v>
      </c>
      <c r="D11">
        <f xml:space="preserve"> [3]!'TAIFEX,FXFE1,ADJUST_CLS'</f>
        <v>1429.4</v>
      </c>
      <c r="E11">
        <f xml:space="preserve"> [3]!'TAIFEX,FXFE1,HST_CLOSE'</f>
        <v>0</v>
      </c>
      <c r="F11">
        <f xml:space="preserve"> [3]!'TAIFEX,FXFE1,OPEN_PRC'</f>
        <v>1448.8</v>
      </c>
      <c r="G11">
        <f xml:space="preserve"> [3]!'TAIFEX,FXFE1,HIGH_1'</f>
        <v>1468.2</v>
      </c>
      <c r="H11">
        <f xml:space="preserve"> [3]!'TAIFEX,FXFE1,LOW_1'</f>
        <v>1434.8</v>
      </c>
      <c r="I11">
        <f xml:space="preserve"> [3]!'TAIFEX,FXFE1,TRDPRC_1'</f>
        <v>1445.6</v>
      </c>
      <c r="J11">
        <f xml:space="preserve"> [3]!'TAIFEX,FXFE1,BID'</f>
        <v>1445.6</v>
      </c>
      <c r="K11">
        <f xml:space="preserve"> [3]!'TAIFEX,FXFE1,ASK'</f>
        <v>1446.8</v>
      </c>
      <c r="L11">
        <f t="shared" si="0"/>
        <v>1445.6</v>
      </c>
    </row>
    <row r="12" spans="1:12">
      <c r="A12" t="str">
        <f>B12</f>
        <v>NYFF1</v>
      </c>
      <c r="B12" t="str">
        <f xml:space="preserve"> [3]!'TAIFEX,NYFF1,SYMBOL'</f>
        <v>NYFF1</v>
      </c>
      <c r="C12" t="str">
        <f xml:space="preserve"> [3]!'TAIFEX,NYFF1,DSPLY_NMLL'</f>
        <v>元大台灣50ETF期貨F1</v>
      </c>
      <c r="D12">
        <f xml:space="preserve"> [3]!'TAIFEX,NYFF1,ADLUST_CLS'</f>
        <v>0</v>
      </c>
      <c r="E12">
        <f xml:space="preserve"> [3]!'TAIFEX,NYFF1,HST_CLOSE'</f>
        <v>0</v>
      </c>
      <c r="F12">
        <f xml:space="preserve"> [3]!'TAIFEX,NYFF1,OPEN_PRC'</f>
        <v>128.05000000000001</v>
      </c>
      <c r="G12">
        <f xml:space="preserve"> [3]!'TAIFEX,NYFF1,HIGH_1'</f>
        <v>129.80000000000001</v>
      </c>
      <c r="H12">
        <f xml:space="preserve"> [3]!'TAIFEX,NYFF1,LOW_1'</f>
        <v>127.65</v>
      </c>
      <c r="I12">
        <f xml:space="preserve"> [3]!'TAIFEX,NYFF1,TRDPRC_1'</f>
        <v>128.25</v>
      </c>
      <c r="J12">
        <f xml:space="preserve"> [3]!'TAIFEX,NYFF1,BID'</f>
        <v>128.15</v>
      </c>
      <c r="K12">
        <f xml:space="preserve"> [3]!'TAIFEX,NYFF1,ASK'</f>
        <v>128.5</v>
      </c>
      <c r="L12">
        <f t="shared" si="0"/>
        <v>128.25</v>
      </c>
    </row>
    <row r="13" spans="1:12">
      <c r="A13" t="str">
        <f>B13</f>
        <v>OAFF1</v>
      </c>
      <c r="B13" t="str">
        <f xml:space="preserve"> [3]!'TAIFEX,OAFF1,SYMBOL'</f>
        <v>OAFF1</v>
      </c>
      <c r="C13" t="str">
        <f xml:space="preserve"> [3]!'TAIFEX,OAFF1,DSPLY_NMLL'</f>
        <v>富邦上証ETF期貨F1</v>
      </c>
      <c r="D13">
        <f xml:space="preserve"> [3]!'TAIFEX,OAFF1,ADLUST_CLS'</f>
        <v>0</v>
      </c>
      <c r="E13">
        <f xml:space="preserve"> [3]!'TAIFEX,OAFF1,HST_CLOSE'</f>
        <v>0</v>
      </c>
      <c r="F13">
        <f xml:space="preserve"> [3]!'TAIFEX,OAFF1,OPEN_PRC'</f>
        <v>37.33</v>
      </c>
      <c r="G13">
        <f xml:space="preserve"> [3]!'TAIFEX,OAFF1,HIGH_1'</f>
        <v>38.159999999999997</v>
      </c>
      <c r="H13">
        <f xml:space="preserve"> [3]!'TAIFEX,OAFF1,LOW_1'</f>
        <v>37.32</v>
      </c>
      <c r="I13">
        <f xml:space="preserve"> [3]!'TAIFEX,OAFF1,TRDPRC_1'</f>
        <v>38.159999999999997</v>
      </c>
      <c r="J13">
        <f xml:space="preserve"> [3]!'TAIFEX,OAFF1,BID'</f>
        <v>38.1</v>
      </c>
      <c r="K13">
        <f xml:space="preserve"> [3]!'TAIFEX,OAFF1,ASK'</f>
        <v>38.14</v>
      </c>
      <c r="L13">
        <f t="shared" si="0"/>
        <v>38.159999999999997</v>
      </c>
    </row>
    <row r="14" spans="1:12">
      <c r="A14" t="str">
        <f>B14</f>
        <v>CDFF1</v>
      </c>
      <c r="B14" t="str">
        <f xml:space="preserve"> [3]!'TAIFEX,CDFF1,SYMBOL'</f>
        <v>CDFF1</v>
      </c>
      <c r="C14" t="str">
        <f xml:space="preserve"> [3]!'TAIFEX,CDFF1,DSPLY_NMLL'</f>
        <v>台積電期貨F1</v>
      </c>
      <c r="D14">
        <f xml:space="preserve"> [3]!'TAIFEX,CDFF1,ADLUST_CLS'</f>
        <v>0</v>
      </c>
      <c r="E14">
        <f xml:space="preserve"> [3]!'TAIFEX,CDFF1,HST_CLOSE'</f>
        <v>0</v>
      </c>
      <c r="F14">
        <f xml:space="preserve"> [3]!'TAIFEX,CDFF1,OPEN_PRC'</f>
        <v>550</v>
      </c>
      <c r="G14">
        <f xml:space="preserve"> [3]!'TAIFEX,CDFF1,HIGH_1'</f>
        <v>558</v>
      </c>
      <c r="H14">
        <f xml:space="preserve"> [3]!'TAIFEX,CDFF1,LOW_1'</f>
        <v>547</v>
      </c>
      <c r="I14">
        <f xml:space="preserve"> [3]!'TAIFEX,CDFF1,TRDPRC_1'</f>
        <v>554</v>
      </c>
      <c r="J14">
        <f xml:space="preserve"> [3]!'TAIFEX,CDFF1,BID'</f>
        <v>553</v>
      </c>
      <c r="K14">
        <f xml:space="preserve"> [3]!'TAIFEX,CDFF1,ASK'</f>
        <v>554</v>
      </c>
      <c r="L14">
        <f t="shared" si="0"/>
        <v>554</v>
      </c>
    </row>
    <row r="15" spans="1:12">
      <c r="A15" t="str">
        <f>B15</f>
        <v>KDFF1</v>
      </c>
      <c r="B15" t="str">
        <f xml:space="preserve"> [3]!'TAIFEX,KDFF1,SYMBOL'</f>
        <v>KDFF1</v>
      </c>
      <c r="C15" t="str">
        <f xml:space="preserve"> [3]!'TAIFEX,KDFF1,DSPLY_NMLL'</f>
        <v>同欣電期貨F1</v>
      </c>
      <c r="D15">
        <f xml:space="preserve"> [3]!'TAIFEX,KDFF1,ADLUST_CLS'</f>
        <v>0</v>
      </c>
      <c r="E15">
        <f xml:space="preserve"> [3]!'TAIFEX,KDFF1,HST_CLOSE'</f>
        <v>0</v>
      </c>
      <c r="F15">
        <f xml:space="preserve"> [3]!'TAIFEX,KDFF1,OPEN_PRC'</f>
        <v>163.5</v>
      </c>
      <c r="G15">
        <f xml:space="preserve"> [3]!'TAIFEX,KDFF1,HIGH_1'</f>
        <v>164.5</v>
      </c>
      <c r="H15">
        <f xml:space="preserve"> [3]!'TAIFEX,KDFF1,LOW_1'</f>
        <v>158</v>
      </c>
      <c r="I15">
        <f xml:space="preserve"> [3]!'TAIFEX,KDFF1,TRDPRC_1'</f>
        <v>158</v>
      </c>
      <c r="J15">
        <f xml:space="preserve"> [3]!'TAIFEX,KDFF1,BID'</f>
        <v>157</v>
      </c>
      <c r="K15">
        <f xml:space="preserve"> [3]!'TAIFEX,KDFF1,ASK'</f>
        <v>162.5</v>
      </c>
      <c r="L15">
        <f>IF(I15=0,D15,I15)</f>
        <v>158</v>
      </c>
    </row>
    <row r="16" spans="1:12">
      <c r="A16" t="str">
        <f>B16</f>
        <v>PFFF1</v>
      </c>
      <c r="B16" t="str">
        <f xml:space="preserve"> [3]!'TAIFEX,PFFF1,SYMBOL'</f>
        <v>PFFF1</v>
      </c>
      <c r="C16" t="str">
        <f xml:space="preserve"> [3]!'TAIFEX,PFFF1,DSPLY_NMLL'</f>
        <v>元大高股息ETF期貨F1</v>
      </c>
      <c r="D16">
        <f xml:space="preserve"> [3]!'TAIFEX,PFFF1,ADLUST_CLS'</f>
        <v>0</v>
      </c>
      <c r="E16">
        <f xml:space="preserve"> [3]!'TAIFEX,PFFF1,HST_CLOSE'</f>
        <v>0</v>
      </c>
      <c r="F16">
        <f xml:space="preserve"> [3]!'TAIFEX,PFFF1,OPEN_PRC'</f>
        <v>33.65</v>
      </c>
      <c r="G16">
        <f xml:space="preserve"> [3]!'TAIFEX,PFFF1,HIGH_1'</f>
        <v>33.65</v>
      </c>
      <c r="H16">
        <f xml:space="preserve"> [3]!'TAIFEX,PFFF1,LOW_1'</f>
        <v>33.65</v>
      </c>
      <c r="I16">
        <f xml:space="preserve"> [3]!'TAIFEX,PFFF1,TRDPRC_1'</f>
        <v>33.65</v>
      </c>
      <c r="J16">
        <f xml:space="preserve"> [3]!'TAIFEX,PFFF1,BID'</f>
        <v>0</v>
      </c>
      <c r="K16">
        <f xml:space="preserve"> [3]!'TAIFEX,PFFF1,ASK'</f>
        <v>33.79</v>
      </c>
      <c r="L16">
        <f t="shared" si="0"/>
        <v>33.65</v>
      </c>
    </row>
    <row r="17" spans="1:12">
      <c r="A17" t="str">
        <f t="shared" si="1"/>
        <v>NYFE1</v>
      </c>
      <c r="B17" t="str">
        <f xml:space="preserve"> [3]!'TAIFEX,NYFE1,SYMBOL'</f>
        <v>NYFE1</v>
      </c>
      <c r="C17" t="str">
        <f xml:space="preserve"> [3]!'TAIFEX,NYFE1,DSPLY_NMLL'</f>
        <v>元大台灣50ETF期貨E1</v>
      </c>
      <c r="D17">
        <f xml:space="preserve"> [3]!'TAIFEX,NYFE1,ADJUST_CLS'</f>
        <v>126.3</v>
      </c>
      <c r="E17">
        <f xml:space="preserve"> [3]!'TAIFEX,NYFE1,HST_CLOSE'</f>
        <v>0</v>
      </c>
      <c r="F17">
        <f xml:space="preserve"> [3]!'TAIFEX,NYFE1,OPEN_PRC'</f>
        <v>128.30000000000001</v>
      </c>
      <c r="G17">
        <f xml:space="preserve"> [3]!'TAIFEX,NYFE1,HIGH_1'</f>
        <v>130</v>
      </c>
      <c r="H17">
        <f xml:space="preserve"> [3]!'TAIFEX,NYFE1,LOW_1'</f>
        <v>127.65</v>
      </c>
      <c r="I17">
        <f xml:space="preserve"> [3]!'TAIFEX,NYFE1,TRDPRC_1'</f>
        <v>128.44999999999999</v>
      </c>
      <c r="J17">
        <f xml:space="preserve"> [3]!'TAIFEX,NYFE1,BID'</f>
        <v>128.4</v>
      </c>
      <c r="K17">
        <f xml:space="preserve"> [3]!'TAIFEX,NYFE1,ASK'</f>
        <v>128.44999999999999</v>
      </c>
      <c r="L17">
        <f t="shared" si="0"/>
        <v>128.44999999999999</v>
      </c>
    </row>
    <row r="18" spans="1:12">
      <c r="A18" t="str">
        <f t="shared" si="1"/>
        <v>OAFE1</v>
      </c>
      <c r="B18" t="str">
        <f xml:space="preserve"> [3]!'TAIFEX,OAFE1,SYMBOL'</f>
        <v>OAFE1</v>
      </c>
      <c r="C18" t="str">
        <f xml:space="preserve"> [3]!'TAIFEX,OAFE1,DSPLY_NMLL'</f>
        <v>富邦上証ETF期貨E1</v>
      </c>
      <c r="D18">
        <f xml:space="preserve"> [3]!'TAIFEX,OAFE1,ADJUST_CLS'</f>
        <v>37.14</v>
      </c>
      <c r="E18">
        <f xml:space="preserve"> [3]!'TAIFEX,OAFE1,HST_CLOSE'</f>
        <v>0</v>
      </c>
      <c r="F18">
        <f xml:space="preserve"> [3]!'TAIFEX,OAFE1,OPEN_PRC'</f>
        <v>37.36</v>
      </c>
      <c r="G18">
        <f xml:space="preserve"> [3]!'TAIFEX,OAFE1,HIGH_1'</f>
        <v>38.17</v>
      </c>
      <c r="H18">
        <f xml:space="preserve"> [3]!'TAIFEX,OAFE1,LOW_1'</f>
        <v>37.17</v>
      </c>
      <c r="I18">
        <f xml:space="preserve"> [3]!'TAIFEX,OAFE1,TRDPRC_1'</f>
        <v>38.17</v>
      </c>
      <c r="J18">
        <f xml:space="preserve"> [3]!'TAIFEX,OAFE1,BID'</f>
        <v>38.1</v>
      </c>
      <c r="K18">
        <f xml:space="preserve"> [3]!'TAIFEX,OAFE1,ASK'</f>
        <v>38.18</v>
      </c>
      <c r="L18">
        <f t="shared" si="0"/>
        <v>38.17</v>
      </c>
    </row>
    <row r="19" spans="1:12">
      <c r="A19" t="str">
        <f>B19</f>
        <v>CDFE1</v>
      </c>
      <c r="B19" t="str">
        <f xml:space="preserve"> [3]!'TAIFEX,CDFE1,SYMBOL'</f>
        <v>CDFE1</v>
      </c>
      <c r="C19" t="str">
        <f xml:space="preserve"> [3]!'TAIFEX,CDFE1,DSPLY_NMLL'</f>
        <v>台積電期貨E1</v>
      </c>
      <c r="D19">
        <f xml:space="preserve"> [3]!'TAIFEX,CDFE1,ADJUST_CLS'</f>
        <v>544</v>
      </c>
      <c r="E19">
        <f xml:space="preserve"> [3]!'TAIFEX,CDFE1,HST_CLOSE'</f>
        <v>0</v>
      </c>
      <c r="F19">
        <f xml:space="preserve"> [3]!'TAIFEX,CDFE1,OPEN_PRC'</f>
        <v>552</v>
      </c>
      <c r="G19">
        <f xml:space="preserve"> [3]!'TAIFEX,CDFE1,HIGH_1'</f>
        <v>560</v>
      </c>
      <c r="H19">
        <f xml:space="preserve"> [3]!'TAIFEX,CDFE1,LOW_1'</f>
        <v>549</v>
      </c>
      <c r="I19">
        <f xml:space="preserve"> [3]!'TAIFEX,CDFE1,TRDPRC_1'</f>
        <v>555</v>
      </c>
      <c r="J19">
        <f xml:space="preserve"> [3]!'TAIFEX,CDFE1,BID'</f>
        <v>554</v>
      </c>
      <c r="K19">
        <f xml:space="preserve"> [3]!'TAIFEX,CDFE1,ASK'</f>
        <v>555</v>
      </c>
      <c r="L19">
        <f t="shared" si="0"/>
        <v>555</v>
      </c>
    </row>
    <row r="20" spans="1:12">
      <c r="A20" t="str">
        <f>B20</f>
        <v>PFFE1</v>
      </c>
      <c r="B20" t="str">
        <f xml:space="preserve"> [3]!'TAIFEX,PFFE1,SYMBOL'</f>
        <v>PFFE1</v>
      </c>
      <c r="C20" t="str">
        <f xml:space="preserve"> [3]!'TAIFEX,PFFE1,DSPLY_NMLL'</f>
        <v>元大高股息ETF期貨E1</v>
      </c>
      <c r="D20">
        <f xml:space="preserve"> [3]!'TAIFEX,PFFE1,ADJUST_CLS'</f>
        <v>33.33</v>
      </c>
      <c r="E20">
        <f xml:space="preserve"> [3]!'TAIFEX,PFFE1,HST_CLOSE'</f>
        <v>0</v>
      </c>
      <c r="F20">
        <f xml:space="preserve"> [3]!'TAIFEX,PFFE1,OPEN_PRC'</f>
        <v>33.72</v>
      </c>
      <c r="G20">
        <f xml:space="preserve"> [3]!'TAIFEX,PFFE1,HIGH_1'</f>
        <v>33.79</v>
      </c>
      <c r="H20">
        <f xml:space="preserve"> [3]!'TAIFEX,PFFE1,LOW_1'</f>
        <v>33.5</v>
      </c>
      <c r="I20">
        <f xml:space="preserve"> [3]!'TAIFEX,PFFE1,TRDPRC_1'</f>
        <v>33.5</v>
      </c>
      <c r="J20">
        <f xml:space="preserve"> [3]!'TAIFEX,PFFE1,BID'</f>
        <v>33</v>
      </c>
      <c r="K20">
        <f xml:space="preserve"> [3]!'TAIFEX,PFFE1,ASK'</f>
        <v>33.619999999999997</v>
      </c>
      <c r="L20">
        <f t="shared" si="0"/>
        <v>33.5</v>
      </c>
    </row>
    <row r="21" spans="1:12">
      <c r="A21" t="str">
        <f>B21</f>
        <v>KDFE1</v>
      </c>
      <c r="B21" t="str">
        <f xml:space="preserve"> [3]!'TAIFEX,KDFE1,SYMBOL'</f>
        <v>KDFE1</v>
      </c>
      <c r="C21" t="str">
        <f xml:space="preserve"> [3]!'TAIFEX,KDFE1,DSPLY_NMLL'</f>
        <v>同欣電期貨E1</v>
      </c>
      <c r="D21">
        <f xml:space="preserve"> [3]!'TAIFEX,KDFE1,ADJUST_CLS'</f>
        <v>161</v>
      </c>
      <c r="E21">
        <f xml:space="preserve"> [3]!'TAIFEX,KDFE1,HST_CLOSE'</f>
        <v>0</v>
      </c>
      <c r="F21">
        <f xml:space="preserve"> [3]!'TAIFEX,KDFE1,OPEN_PRC'</f>
        <v>163.5</v>
      </c>
      <c r="G21">
        <f xml:space="preserve"> [3]!'TAIFEX,KDFE1,HIGH_1'</f>
        <v>168</v>
      </c>
      <c r="H21">
        <f xml:space="preserve"> [3]!'TAIFEX,KDFE1,LOW_1'</f>
        <v>157.5</v>
      </c>
      <c r="I21">
        <f xml:space="preserve"> [3]!'TAIFEX,KDFE1,TRDPRC_1'</f>
        <v>161.5</v>
      </c>
      <c r="J21">
        <f xml:space="preserve"> [3]!'TAIFEX,KDFE1,BID'</f>
        <v>159</v>
      </c>
      <c r="K21">
        <f xml:space="preserve"> [3]!'TAIFEX,KDFE1,ASK'</f>
        <v>162</v>
      </c>
      <c r="L21">
        <f>IF(I21=0,D21,I21)</f>
        <v>161.5</v>
      </c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getDFSDDE">
                <anchor moveWithCells="1" sizeWithCells="1">
                  <from>
                    <xdr:col>2</xdr:col>
                    <xdr:colOff>123825</xdr:colOff>
                    <xdr:row>0</xdr:row>
                    <xdr:rowOff>180975</xdr:rowOff>
                  </from>
                  <to>
                    <xdr:col>3</xdr:col>
                    <xdr:colOff>76200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4"/>
  <dimension ref="A1:T406"/>
  <sheetViews>
    <sheetView zoomScale="85" zoomScaleNormal="85" workbookViewId="0">
      <pane xSplit="9" ySplit="2" topLeftCell="J357" activePane="bottomRight" state="frozen"/>
      <selection pane="topRight" activeCell="J1" sqref="J1"/>
      <selection pane="bottomLeft" activeCell="A3" sqref="A3"/>
      <selection pane="bottomRight" activeCell="A3" sqref="A3:C390"/>
    </sheetView>
  </sheetViews>
  <sheetFormatPr defaultRowHeight="16.5"/>
  <cols>
    <col min="1" max="1" width="11" customWidth="1"/>
    <col min="2" max="3" width="10.75" customWidth="1"/>
    <col min="4" max="4" width="11.625" customWidth="1"/>
    <col min="5" max="5" width="11.625" bestFit="1" customWidth="1"/>
    <col min="6" max="6" width="11.75" bestFit="1" customWidth="1"/>
    <col min="7" max="7" width="19.625" customWidth="1"/>
    <col min="8" max="8" width="9" customWidth="1"/>
    <col min="9" max="9" width="9.75" customWidth="1"/>
    <col min="10" max="10" width="9" style="35"/>
    <col min="16" max="16" width="10.25" customWidth="1"/>
  </cols>
  <sheetData>
    <row r="1" spans="1:20">
      <c r="A1" t="s">
        <v>689</v>
      </c>
      <c r="B1" t="s">
        <v>698</v>
      </c>
      <c r="C1" t="s">
        <v>703</v>
      </c>
      <c r="D1" t="s">
        <v>690</v>
      </c>
      <c r="E1" t="s">
        <v>718</v>
      </c>
      <c r="F1" t="s">
        <v>699</v>
      </c>
      <c r="G1" t="s">
        <v>705</v>
      </c>
      <c r="H1" t="s">
        <v>695</v>
      </c>
      <c r="I1" t="s">
        <v>696</v>
      </c>
      <c r="O1" t="s">
        <v>708</v>
      </c>
      <c r="P1" s="21">
        <f ca="1">TODAY()</f>
        <v>44330</v>
      </c>
      <c r="T1" t="s">
        <v>1321</v>
      </c>
    </row>
    <row r="2" spans="1:20">
      <c r="A2" s="15" t="s">
        <v>691</v>
      </c>
      <c r="B2" s="15" t="s">
        <v>697</v>
      </c>
      <c r="C2" s="15" t="s">
        <v>702</v>
      </c>
      <c r="D2" t="s">
        <v>704</v>
      </c>
      <c r="E2" t="s">
        <v>711</v>
      </c>
      <c r="F2" t="s">
        <v>692</v>
      </c>
      <c r="G2" t="s">
        <v>706</v>
      </c>
      <c r="H2" t="s">
        <v>693</v>
      </c>
      <c r="I2" t="s">
        <v>694</v>
      </c>
      <c r="O2" t="s">
        <v>709</v>
      </c>
      <c r="P2" s="25" t="str">
        <f ca="1">TEXT(NOW(),"hh:mm:ss")</f>
        <v>15:15:01</v>
      </c>
      <c r="T2" t="str">
        <f ca="1">TEXT($P$2,"hh:mm:ss")</f>
        <v>15:15:01</v>
      </c>
    </row>
    <row r="3" spans="1:20">
      <c r="A3" s="21">
        <v>44330</v>
      </c>
      <c r="B3" s="22">
        <v>44330.573151736113</v>
      </c>
      <c r="C3" s="23">
        <v>1</v>
      </c>
      <c r="D3" t="str">
        <f>IF(LEFT(E3,2)="00","ETF",IF(LEFT(G3,2)="FX","FX","Futures"))</f>
        <v>ETF</v>
      </c>
      <c r="E3" t="s">
        <v>12</v>
      </c>
      <c r="F3" s="24" t="s">
        <v>12</v>
      </c>
      <c r="G3" t="s">
        <v>516</v>
      </c>
      <c r="H3">
        <v>128.8140003</v>
      </c>
      <c r="I3">
        <v>128.94999999999999</v>
      </c>
      <c r="J3" s="35" t="str">
        <f ca="1">"INSERT INTO ETFValue (DataDate, TimeCategory, ProductType, ProductLink, ProductCode, ProductName, NAV, Price, RecTime) VALUES ("&amp;"'"&amp;TEXT(A3,"yyyy/m/dd")&amp;"','"&amp; C3&amp;"', '"&amp;D3&amp;"', '"&amp;E3&amp;"','"&amp;F3&amp;"','"&amp;G3&amp;"','"&amp;ROUND(H3,4)&amp;"','"&amp;I3&amp;"','"&amp;TEXT($P$2,"hh:mm:ss")&amp;"')"</f>
        <v>INSERT INTO ETFValue (DataDate, TimeCategory, ProductType, ProductLink, ProductCode, ProductName, NAV, Price, RecTime) VALUES ('2021/5/14','1', 'ETF', '0050','0050','元大台灣50','128.814','128.95','15:15:01')</v>
      </c>
    </row>
    <row r="4" spans="1:20">
      <c r="A4" s="21">
        <v>44330</v>
      </c>
      <c r="B4" s="22">
        <v>44330.573151736113</v>
      </c>
      <c r="C4">
        <v>1</v>
      </c>
      <c r="D4" t="str">
        <f t="shared" ref="D4:D67" si="0">IF(LEFT(E4,2)="00","ETF",IF(LEFT(G4,2)="FX","FX","Futures"))</f>
        <v>ETF</v>
      </c>
      <c r="E4" t="s">
        <v>13</v>
      </c>
      <c r="F4" t="s">
        <v>13</v>
      </c>
      <c r="G4" t="s">
        <v>517</v>
      </c>
      <c r="H4">
        <v>48.907203899999999</v>
      </c>
      <c r="I4">
        <v>48.82</v>
      </c>
      <c r="J4" s="35" t="str">
        <f t="shared" ref="J4:J67" ca="1" si="1">"INSERT INTO ETFValue (DataDate, TimeCategory, ProductType, ProductLink, ProductCode, ProductName, NAV, Price, RecTime) VALUES ("&amp;"'"&amp;TEXT(A4,"yyyy/m/dd")&amp;"','"&amp; C4&amp;"', '"&amp;D4&amp;"', '"&amp;E4&amp;"','"&amp;F4&amp;"','"&amp;G4&amp;"','"&amp;ROUND(H4,4)&amp;"','"&amp;I4&amp;"','"&amp;TEXT($P$2,"hh:mm:ss")&amp;"')"</f>
        <v>INSERT INTO ETFValue (DataDate, TimeCategory, ProductType, ProductLink, ProductCode, ProductName, NAV, Price, RecTime) VALUES ('2021/5/14','1', 'ETF', '0051','0051','元大中型100','48.9072','48.82','15:15:01')</v>
      </c>
    </row>
    <row r="5" spans="1:20">
      <c r="A5" s="21">
        <v>44330</v>
      </c>
      <c r="B5" s="22">
        <v>44330.573151736113</v>
      </c>
      <c r="C5">
        <v>1</v>
      </c>
      <c r="D5" t="str">
        <f t="shared" si="0"/>
        <v>ETF</v>
      </c>
      <c r="E5" t="s">
        <v>14</v>
      </c>
      <c r="F5" t="s">
        <v>14</v>
      </c>
      <c r="G5" t="s">
        <v>518</v>
      </c>
      <c r="H5">
        <v>115.94434298019802</v>
      </c>
      <c r="I5">
        <v>116.15</v>
      </c>
      <c r="J5" s="35" t="str">
        <f t="shared" ca="1" si="1"/>
        <v>INSERT INTO ETFValue (DataDate, TimeCategory, ProductType, ProductLink, ProductCode, ProductName, NAV, Price, RecTime) VALUES ('2021/5/14','1', 'ETF', '0052','0052','富邦科技','115.9443','116.15','15:15:01')</v>
      </c>
    </row>
    <row r="6" spans="1:20">
      <c r="A6" s="21">
        <v>44330</v>
      </c>
      <c r="B6" s="22">
        <v>44330.573151736113</v>
      </c>
      <c r="C6">
        <v>1</v>
      </c>
      <c r="D6" t="str">
        <f t="shared" si="0"/>
        <v>ETF</v>
      </c>
      <c r="E6" t="s">
        <v>15</v>
      </c>
      <c r="F6" t="s">
        <v>15</v>
      </c>
      <c r="G6" t="s">
        <v>519</v>
      </c>
      <c r="H6">
        <v>61.393696800000001</v>
      </c>
      <c r="I6">
        <v>61.1</v>
      </c>
      <c r="J6" s="35" t="str">
        <f t="shared" ca="1" si="1"/>
        <v>INSERT INTO ETFValue (DataDate, TimeCategory, ProductType, ProductLink, ProductCode, ProductName, NAV, Price, RecTime) VALUES ('2021/5/14','1', 'ETF', '0053','0053','元大電子','61.3937','61.1','15:15:01')</v>
      </c>
    </row>
    <row r="7" spans="1:20">
      <c r="A7" s="21">
        <v>44330</v>
      </c>
      <c r="B7" s="22">
        <v>44330.573151736113</v>
      </c>
      <c r="C7">
        <v>1</v>
      </c>
      <c r="D7" t="str">
        <f t="shared" si="0"/>
        <v>ETF</v>
      </c>
      <c r="E7" t="s">
        <v>16</v>
      </c>
      <c r="F7" t="s">
        <v>16</v>
      </c>
      <c r="G7" t="s">
        <v>520</v>
      </c>
      <c r="H7">
        <v>29.295433500000001</v>
      </c>
      <c r="I7">
        <v>29.12</v>
      </c>
      <c r="J7" s="35" t="str">
        <f t="shared" ca="1" si="1"/>
        <v>INSERT INTO ETFValue (DataDate, TimeCategory, ProductType, ProductLink, ProductCode, ProductName, NAV, Price, RecTime) VALUES ('2021/5/14','1', 'ETF', '0054','0054','元大台商50','29.2954','29.12','15:15:01')</v>
      </c>
    </row>
    <row r="8" spans="1:20">
      <c r="A8" s="21">
        <v>44330</v>
      </c>
      <c r="B8" s="22">
        <v>44330.573151736113</v>
      </c>
      <c r="C8">
        <v>1</v>
      </c>
      <c r="D8" t="str">
        <f t="shared" si="0"/>
        <v>ETF</v>
      </c>
      <c r="E8" t="s">
        <v>17</v>
      </c>
      <c r="F8" t="s">
        <v>17</v>
      </c>
      <c r="G8" t="s">
        <v>521</v>
      </c>
      <c r="H8">
        <v>20.432873220000001</v>
      </c>
      <c r="I8">
        <v>20.38</v>
      </c>
      <c r="J8" s="35" t="str">
        <f t="shared" ca="1" si="1"/>
        <v>INSERT INTO ETFValue (DataDate, TimeCategory, ProductType, ProductLink, ProductCode, ProductName, NAV, Price, RecTime) VALUES ('2021/5/14','1', 'ETF', '0055','0055','元大MSCI金融','20.4329','20.38','15:15:01')</v>
      </c>
    </row>
    <row r="9" spans="1:20">
      <c r="A9" s="21">
        <v>44330</v>
      </c>
      <c r="B9" s="22">
        <v>44330.573151736113</v>
      </c>
      <c r="C9">
        <v>1</v>
      </c>
      <c r="D9" t="str">
        <f t="shared" si="0"/>
        <v>ETF</v>
      </c>
      <c r="E9" t="s">
        <v>18</v>
      </c>
      <c r="F9" t="s">
        <v>18</v>
      </c>
      <c r="G9" t="s">
        <v>522</v>
      </c>
      <c r="H9">
        <v>33.552096200000001</v>
      </c>
      <c r="I9">
        <v>33.65</v>
      </c>
      <c r="J9" s="35" t="str">
        <f t="shared" ca="1" si="1"/>
        <v>INSERT INTO ETFValue (DataDate, TimeCategory, ProductType, ProductLink, ProductCode, ProductName, NAV, Price, RecTime) VALUES ('2021/5/14','1', 'ETF', '0056','0056','元大高股息','33.5521','33.65','15:15:01')</v>
      </c>
    </row>
    <row r="10" spans="1:20">
      <c r="A10" s="21">
        <v>44330</v>
      </c>
      <c r="B10" s="22">
        <v>44330.573151736113</v>
      </c>
      <c r="C10">
        <v>1</v>
      </c>
      <c r="D10" t="str">
        <f t="shared" si="0"/>
        <v>ETF</v>
      </c>
      <c r="E10" t="s">
        <v>19</v>
      </c>
      <c r="F10" t="s">
        <v>19</v>
      </c>
      <c r="G10" t="s">
        <v>523</v>
      </c>
      <c r="H10">
        <v>87.722067400036181</v>
      </c>
      <c r="I10">
        <v>86.8</v>
      </c>
      <c r="J10" s="35" t="str">
        <f t="shared" ca="1" si="1"/>
        <v>INSERT INTO ETFValue (DataDate, TimeCategory, ProductType, ProductLink, ProductCode, ProductName, NAV, Price, RecTime) VALUES ('2021/5/14','1', 'ETF', '0057','0057','富邦摩台','87.7221','86.8','15:15:01')</v>
      </c>
    </row>
    <row r="11" spans="1:20">
      <c r="A11" s="21">
        <v>44330</v>
      </c>
      <c r="B11" s="22">
        <v>44330.573151736113</v>
      </c>
      <c r="C11">
        <v>1</v>
      </c>
      <c r="D11" t="str">
        <f t="shared" si="0"/>
        <v>ETF</v>
      </c>
      <c r="E11" t="s">
        <v>22</v>
      </c>
      <c r="F11" t="s">
        <v>22</v>
      </c>
      <c r="G11" t="s">
        <v>363</v>
      </c>
      <c r="H11">
        <v>23.05</v>
      </c>
      <c r="I11" s="30">
        <v>23.37</v>
      </c>
      <c r="J11" s="35" t="str">
        <f t="shared" ca="1" si="1"/>
        <v>INSERT INTO ETFValue (DataDate, TimeCategory, ProductType, ProductLink, ProductCode, ProductName, NAV, Price, RecTime) VALUES ('2021/5/14','1', 'ETF', '0061','0061','元大寶滬深','23.05','23.37','15:15:01')</v>
      </c>
    </row>
    <row r="12" spans="1:20">
      <c r="A12" s="21">
        <v>44330</v>
      </c>
      <c r="B12" s="22">
        <v>44330.573151736113</v>
      </c>
      <c r="C12">
        <v>1</v>
      </c>
      <c r="D12" t="str">
        <f t="shared" si="0"/>
        <v>ETF</v>
      </c>
      <c r="E12" t="s">
        <v>23</v>
      </c>
      <c r="F12" t="s">
        <v>23</v>
      </c>
      <c r="G12" t="s">
        <v>526</v>
      </c>
      <c r="H12">
        <v>17.516623314929014</v>
      </c>
      <c r="I12">
        <v>17.63</v>
      </c>
      <c r="J12" s="35" t="str">
        <f t="shared" ca="1" si="1"/>
        <v>INSERT INTO ETFValue (DataDate, TimeCategory, ProductType, ProductLink, ProductCode, ProductName, NAV, Price, RecTime) VALUES ('2021/5/14','1', 'ETF', '006201','006201','元大富櫃50','17.5166','17.63','15:15:01')</v>
      </c>
    </row>
    <row r="13" spans="1:20">
      <c r="A13" s="21">
        <v>44330</v>
      </c>
      <c r="B13" s="22">
        <v>44330.573151736113</v>
      </c>
      <c r="C13">
        <v>1</v>
      </c>
      <c r="D13" t="str">
        <f t="shared" si="0"/>
        <v>ETF</v>
      </c>
      <c r="E13" t="s">
        <v>24</v>
      </c>
      <c r="F13" t="s">
        <v>24</v>
      </c>
      <c r="G13" t="s">
        <v>527</v>
      </c>
      <c r="H13">
        <v>60.869350279999999</v>
      </c>
      <c r="I13">
        <v>60.4</v>
      </c>
      <c r="J13" s="35" t="str">
        <f t="shared" ca="1" si="1"/>
        <v>INSERT INTO ETFValue (DataDate, TimeCategory, ProductType, ProductLink, ProductCode, ProductName, NAV, Price, RecTime) VALUES ('2021/5/14','1', 'ETF', '006203','006203','元大MSCI台灣','60.8694','60.4','15:15:01')</v>
      </c>
    </row>
    <row r="14" spans="1:20">
      <c r="A14" s="21">
        <v>44330</v>
      </c>
      <c r="B14" s="22">
        <v>44330.573151736113</v>
      </c>
      <c r="C14">
        <v>1</v>
      </c>
      <c r="D14" t="str">
        <f t="shared" si="0"/>
        <v>ETF</v>
      </c>
      <c r="E14" t="s">
        <v>25</v>
      </c>
      <c r="F14" t="s">
        <v>25</v>
      </c>
      <c r="G14" t="s">
        <v>528</v>
      </c>
      <c r="H14">
        <v>80.40479041333333</v>
      </c>
      <c r="I14">
        <v>80.2</v>
      </c>
      <c r="J14" s="35" t="str">
        <f t="shared" ca="1" si="1"/>
        <v>INSERT INTO ETFValue (DataDate, TimeCategory, ProductType, ProductLink, ProductCode, ProductName, NAV, Price, RecTime) VALUES ('2021/5/14','1', 'ETF', '006204','006204','永豐臺灣加權','80.4048','80.2','15:15:01')</v>
      </c>
    </row>
    <row r="15" spans="1:20">
      <c r="A15" s="21">
        <v>44330</v>
      </c>
      <c r="B15" s="22">
        <v>44330.573151736113</v>
      </c>
      <c r="C15">
        <v>1</v>
      </c>
      <c r="D15" t="str">
        <f t="shared" si="0"/>
        <v>ETF</v>
      </c>
      <c r="E15" t="s">
        <v>26</v>
      </c>
      <c r="F15" t="s">
        <v>26</v>
      </c>
      <c r="G15" t="s">
        <v>364</v>
      </c>
      <c r="H15">
        <v>37.97</v>
      </c>
      <c r="I15">
        <v>37.950000000000003</v>
      </c>
      <c r="J15" s="35" t="str">
        <f t="shared" ca="1" si="1"/>
        <v>INSERT INTO ETFValue (DataDate, TimeCategory, ProductType, ProductLink, ProductCode, ProductName, NAV, Price, RecTime) VALUES ('2021/5/14','1', 'ETF', '006205','006205','富邦上証','37.97','37.95','15:15:01')</v>
      </c>
    </row>
    <row r="16" spans="1:20">
      <c r="A16" s="21">
        <v>44330</v>
      </c>
      <c r="B16" s="22">
        <v>44330.573151736113</v>
      </c>
      <c r="C16">
        <v>1</v>
      </c>
      <c r="D16" t="str">
        <f t="shared" si="0"/>
        <v>ETF</v>
      </c>
      <c r="E16" t="s">
        <v>27</v>
      </c>
      <c r="F16" t="s">
        <v>27</v>
      </c>
      <c r="G16" t="s">
        <v>365</v>
      </c>
      <c r="H16">
        <v>38.18</v>
      </c>
      <c r="I16">
        <v>38.049999999999997</v>
      </c>
      <c r="J16" s="35" t="str">
        <f t="shared" ca="1" si="1"/>
        <v>INSERT INTO ETFValue (DataDate, TimeCategory, ProductType, ProductLink, ProductCode, ProductName, NAV, Price, RecTime) VALUES ('2021/5/14','1', 'ETF', '006206','006206','元大上證50','38.18','38.05','15:15:01')</v>
      </c>
    </row>
    <row r="17" spans="1:10">
      <c r="A17" s="21">
        <v>44330</v>
      </c>
      <c r="B17" s="22">
        <v>44330.573151736113</v>
      </c>
      <c r="C17">
        <v>1</v>
      </c>
      <c r="D17" t="str">
        <f t="shared" si="0"/>
        <v>ETF</v>
      </c>
      <c r="E17" t="s">
        <v>28</v>
      </c>
      <c r="F17" t="s">
        <v>28</v>
      </c>
      <c r="G17" t="s">
        <v>366</v>
      </c>
      <c r="H17">
        <v>30.75</v>
      </c>
      <c r="I17">
        <v>30.62</v>
      </c>
      <c r="J17" s="35" t="str">
        <f t="shared" ca="1" si="1"/>
        <v>INSERT INTO ETFValue (DataDate, TimeCategory, ProductType, ProductLink, ProductCode, ProductName, NAV, Price, RecTime) VALUES ('2021/5/14','1', 'ETF', '006207','006207','FH滬深','30.75','30.62','15:15:01')</v>
      </c>
    </row>
    <row r="18" spans="1:10">
      <c r="A18" s="21">
        <v>44330</v>
      </c>
      <c r="B18" s="22">
        <v>44330.573151736113</v>
      </c>
      <c r="C18">
        <v>1</v>
      </c>
      <c r="D18" t="str">
        <f t="shared" si="0"/>
        <v>ETF</v>
      </c>
      <c r="E18" t="s">
        <v>29</v>
      </c>
      <c r="F18" t="s">
        <v>29</v>
      </c>
      <c r="G18" t="s">
        <v>367</v>
      </c>
      <c r="H18">
        <v>73.922946905828184</v>
      </c>
      <c r="I18">
        <v>74.099999999999994</v>
      </c>
      <c r="J18" s="35" t="str">
        <f t="shared" ca="1" si="1"/>
        <v>INSERT INTO ETFValue (DataDate, TimeCategory, ProductType, ProductLink, ProductCode, ProductName, NAV, Price, RecTime) VALUES ('2021/5/14','1', 'ETF', '006208','006208','富邦台50','73.9229','74.1','15:15:01')</v>
      </c>
    </row>
    <row r="19" spans="1:10">
      <c r="A19" s="21">
        <v>44330</v>
      </c>
      <c r="B19" s="22">
        <v>44330.573151736113</v>
      </c>
      <c r="C19">
        <v>1</v>
      </c>
      <c r="D19" t="str">
        <f t="shared" si="0"/>
        <v>ETF</v>
      </c>
      <c r="E19" t="s">
        <v>30</v>
      </c>
      <c r="F19" t="s">
        <v>30</v>
      </c>
      <c r="G19" t="s">
        <v>529</v>
      </c>
      <c r="H19">
        <v>8.75</v>
      </c>
      <c r="I19">
        <v>8.7100000000000009</v>
      </c>
      <c r="J19" s="35" t="str">
        <f t="shared" ca="1" si="1"/>
        <v>INSERT INTO ETFValue (DataDate, TimeCategory, ProductType, ProductLink, ProductCode, ProductName, NAV, Price, RecTime) VALUES ('2021/5/14','1', 'ETF', '00625K','00625K','富邦上証+R','8.75','8.71','15:15:01')</v>
      </c>
    </row>
    <row r="20" spans="1:10">
      <c r="A20" s="21">
        <v>44330</v>
      </c>
      <c r="B20" s="22">
        <v>44330.573151736113</v>
      </c>
      <c r="C20">
        <v>1</v>
      </c>
      <c r="D20" t="str">
        <f t="shared" si="0"/>
        <v>ETF</v>
      </c>
      <c r="E20" t="s">
        <v>31</v>
      </c>
      <c r="F20" t="s">
        <v>31</v>
      </c>
      <c r="G20" t="s">
        <v>368</v>
      </c>
      <c r="H20">
        <v>104.98064485141458</v>
      </c>
      <c r="I20">
        <v>105.2</v>
      </c>
      <c r="J20" s="35" t="str">
        <f t="shared" ca="1" si="1"/>
        <v>INSERT INTO ETFValue (DataDate, TimeCategory, ProductType, ProductLink, ProductCode, ProductName, NAV, Price, RecTime) VALUES ('2021/5/14','1', 'ETF', '00631L','00631L','元大台灣50正2','104.9806','105.2','15:15:01')</v>
      </c>
    </row>
    <row r="21" spans="1:10">
      <c r="A21" s="21">
        <v>44330</v>
      </c>
      <c r="B21" s="22">
        <v>44330.573151736113</v>
      </c>
      <c r="C21">
        <v>1</v>
      </c>
      <c r="D21" t="str">
        <f t="shared" si="0"/>
        <v>ETF</v>
      </c>
      <c r="E21" t="s">
        <v>32</v>
      </c>
      <c r="F21" t="s">
        <v>32</v>
      </c>
      <c r="G21" t="s">
        <v>369</v>
      </c>
      <c r="H21">
        <v>6.2871343665839596</v>
      </c>
      <c r="I21">
        <v>6.3</v>
      </c>
      <c r="J21" s="35" t="str">
        <f t="shared" ca="1" si="1"/>
        <v>INSERT INTO ETFValue (DataDate, TimeCategory, ProductType, ProductLink, ProductCode, ProductName, NAV, Price, RecTime) VALUES ('2021/5/14','1', 'ETF', '00632R','00632R','元大台灣50反1','6.2871','6.3','15:15:01')</v>
      </c>
    </row>
    <row r="22" spans="1:10">
      <c r="A22" s="21">
        <v>44330</v>
      </c>
      <c r="B22" s="22">
        <v>44330.573151736113</v>
      </c>
      <c r="C22">
        <v>1</v>
      </c>
      <c r="D22" t="str">
        <f t="shared" si="0"/>
        <v>ETF</v>
      </c>
      <c r="E22" t="s">
        <v>33</v>
      </c>
      <c r="F22" t="s">
        <v>33</v>
      </c>
      <c r="G22" t="s">
        <v>370</v>
      </c>
      <c r="H22">
        <v>66.704180339276533</v>
      </c>
      <c r="I22">
        <v>66.5</v>
      </c>
      <c r="J22" s="35" t="str">
        <f t="shared" ca="1" si="1"/>
        <v>INSERT INTO ETFValue (DataDate, TimeCategory, ProductType, ProductLink, ProductCode, ProductName, NAV, Price, RecTime) VALUES ('2021/5/14','1', 'ETF', '00633L','00633L','富邦上証正2','66.7042','66.5','15:15:01')</v>
      </c>
    </row>
    <row r="23" spans="1:10">
      <c r="A23" s="21">
        <v>44330</v>
      </c>
      <c r="B23" s="22">
        <v>44330.573151736113</v>
      </c>
      <c r="C23">
        <v>1</v>
      </c>
      <c r="D23" t="str">
        <f t="shared" si="0"/>
        <v>ETF</v>
      </c>
      <c r="E23" t="s">
        <v>34</v>
      </c>
      <c r="F23" t="s">
        <v>34</v>
      </c>
      <c r="G23" t="s">
        <v>371</v>
      </c>
      <c r="H23">
        <v>3.9053002177638474</v>
      </c>
      <c r="I23">
        <v>3.9</v>
      </c>
      <c r="J23" s="35" t="str">
        <f t="shared" ca="1" si="1"/>
        <v>INSERT INTO ETFValue (DataDate, TimeCategory, ProductType, ProductLink, ProductCode, ProductName, NAV, Price, RecTime) VALUES ('2021/5/14','1', 'ETF', '00634R','00634R','富邦上証反1','3.9053','3.9','15:15:01')</v>
      </c>
    </row>
    <row r="24" spans="1:10">
      <c r="A24" s="21">
        <v>44330</v>
      </c>
      <c r="B24" s="22">
        <v>44330.573151736113</v>
      </c>
      <c r="C24">
        <v>1</v>
      </c>
      <c r="D24" t="str">
        <f t="shared" si="0"/>
        <v>ETF</v>
      </c>
      <c r="E24" t="s">
        <v>35</v>
      </c>
      <c r="F24" t="s">
        <v>35</v>
      </c>
      <c r="G24" t="s">
        <v>2513</v>
      </c>
      <c r="H24">
        <v>24.493549522564308</v>
      </c>
      <c r="I24">
        <v>24.46</v>
      </c>
      <c r="J24" s="35" t="str">
        <f t="shared" ca="1" si="1"/>
        <v>INSERT INTO ETFValue (DataDate, TimeCategory, ProductType, ProductLink, ProductCode, ProductName, NAV, Price, RecTime) VALUES ('2021/5/14','1', 'ETF', '00635U','00635U','期元大S&amp;P黃金','24.4935','24.46','15:15:01')</v>
      </c>
    </row>
    <row r="25" spans="1:10">
      <c r="A25" s="21">
        <v>44330</v>
      </c>
      <c r="B25" s="22">
        <v>44330.573151736113</v>
      </c>
      <c r="C25">
        <v>1</v>
      </c>
      <c r="D25" t="str">
        <f t="shared" si="0"/>
        <v>ETF</v>
      </c>
      <c r="E25" t="s">
        <v>36</v>
      </c>
      <c r="F25" t="s">
        <v>36</v>
      </c>
      <c r="G25" t="s">
        <v>372</v>
      </c>
      <c r="H25">
        <v>27.11</v>
      </c>
      <c r="I25">
        <v>27.11</v>
      </c>
      <c r="J25" s="35" t="str">
        <f t="shared" ca="1" si="1"/>
        <v>INSERT INTO ETFValue (DataDate, TimeCategory, ProductType, ProductLink, ProductCode, ProductName, NAV, Price, RecTime) VALUES ('2021/5/14','1', 'ETF', '00636','00636','國泰中國A50','27.11','27.11','15:15:01')</v>
      </c>
    </row>
    <row r="26" spans="1:10">
      <c r="A26" s="21">
        <v>44330</v>
      </c>
      <c r="B26" s="22">
        <v>44330.573151736113</v>
      </c>
      <c r="C26">
        <v>1</v>
      </c>
      <c r="D26" t="str">
        <f t="shared" si="0"/>
        <v>ETF</v>
      </c>
      <c r="E26" t="s">
        <v>37</v>
      </c>
      <c r="F26" t="s">
        <v>37</v>
      </c>
      <c r="G26" t="s">
        <v>531</v>
      </c>
      <c r="H26">
        <v>9.69</v>
      </c>
      <c r="I26">
        <v>9.68</v>
      </c>
      <c r="J26" s="35" t="str">
        <f t="shared" ca="1" si="1"/>
        <v>INSERT INTO ETFValue (DataDate, TimeCategory, ProductType, ProductLink, ProductCode, ProductName, NAV, Price, RecTime) VALUES ('2021/5/14','1', 'ETF', '00636K','00636K','國泰中國A50+U','9.69','9.68','15:15:01')</v>
      </c>
    </row>
    <row r="27" spans="1:10">
      <c r="A27" s="21">
        <v>44330</v>
      </c>
      <c r="B27" s="22">
        <v>44330.573151736113</v>
      </c>
      <c r="C27">
        <v>1</v>
      </c>
      <c r="D27" t="str">
        <f t="shared" si="0"/>
        <v>ETF</v>
      </c>
      <c r="E27" t="s">
        <v>38</v>
      </c>
      <c r="F27" t="s">
        <v>38</v>
      </c>
      <c r="G27" t="s">
        <v>373</v>
      </c>
      <c r="H27">
        <v>26.354784585504419</v>
      </c>
      <c r="I27">
        <v>26.26</v>
      </c>
      <c r="J27" s="35" t="str">
        <f t="shared" ca="1" si="1"/>
        <v>INSERT INTO ETFValue (DataDate, TimeCategory, ProductType, ProductLink, ProductCode, ProductName, NAV, Price, RecTime) VALUES ('2021/5/14','1', 'ETF', '00637L','00637L','元大滬深300正2','26.3548','26.26','15:15:01')</v>
      </c>
    </row>
    <row r="28" spans="1:10">
      <c r="A28" s="21">
        <v>44330</v>
      </c>
      <c r="B28" s="22">
        <v>44330.573151736113</v>
      </c>
      <c r="C28">
        <v>1</v>
      </c>
      <c r="D28" t="str">
        <f t="shared" si="0"/>
        <v>ETF</v>
      </c>
      <c r="E28" t="s">
        <v>39</v>
      </c>
      <c r="F28" t="s">
        <v>39</v>
      </c>
      <c r="G28" t="s">
        <v>374</v>
      </c>
      <c r="H28">
        <v>7.8599702834143175</v>
      </c>
      <c r="I28">
        <v>7.87</v>
      </c>
      <c r="J28" s="35" t="str">
        <f t="shared" ca="1" si="1"/>
        <v>INSERT INTO ETFValue (DataDate, TimeCategory, ProductType, ProductLink, ProductCode, ProductName, NAV, Price, RecTime) VALUES ('2021/5/14','1', 'ETF', '00638R','00638R','元大滬深300反1','7.86','7.87','15:15:01')</v>
      </c>
    </row>
    <row r="29" spans="1:10">
      <c r="A29" s="21">
        <v>44330</v>
      </c>
      <c r="B29" s="22">
        <v>44330.573151736113</v>
      </c>
      <c r="C29">
        <v>1</v>
      </c>
      <c r="D29" t="str">
        <f t="shared" si="0"/>
        <v>ETF</v>
      </c>
      <c r="E29" t="s">
        <v>40</v>
      </c>
      <c r="F29" t="s">
        <v>40</v>
      </c>
      <c r="G29" t="s">
        <v>375</v>
      </c>
      <c r="H29">
        <v>16.649999999999999</v>
      </c>
      <c r="I29">
        <v>16.57</v>
      </c>
      <c r="J29" s="35" t="str">
        <f t="shared" ca="1" si="1"/>
        <v>INSERT INTO ETFValue (DataDate, TimeCategory, ProductType, ProductLink, ProductCode, ProductName, NAV, Price, RecTime) VALUES ('2021/5/14','1', 'ETF', '00639','00639','富邦深100','16.65','16.57','15:15:01')</v>
      </c>
    </row>
    <row r="30" spans="1:10">
      <c r="A30" s="21">
        <v>44330</v>
      </c>
      <c r="B30" s="22">
        <v>44330.573151736113</v>
      </c>
      <c r="C30">
        <v>1</v>
      </c>
      <c r="D30" t="str">
        <f t="shared" si="0"/>
        <v>ETF</v>
      </c>
      <c r="E30" t="s">
        <v>41</v>
      </c>
      <c r="F30" t="s">
        <v>41</v>
      </c>
      <c r="G30" t="s">
        <v>376</v>
      </c>
      <c r="H30">
        <v>27.01363477900173</v>
      </c>
      <c r="I30">
        <v>26.95</v>
      </c>
      <c r="J30" s="35" t="str">
        <f t="shared" ca="1" si="1"/>
        <v>INSERT INTO ETFValue (DataDate, TimeCategory, ProductType, ProductLink, ProductCode, ProductName, NAV, Price, RecTime) VALUES ('2021/5/14','1', 'ETF', '00640L','00640L','富邦日本正2','27.0136','26.95','15:15:01')</v>
      </c>
    </row>
    <row r="31" spans="1:10">
      <c r="A31" s="21">
        <v>44330</v>
      </c>
      <c r="B31" s="22">
        <v>44330.573151736113</v>
      </c>
      <c r="C31">
        <v>1</v>
      </c>
      <c r="D31" t="str">
        <f t="shared" si="0"/>
        <v>ETF</v>
      </c>
      <c r="E31" t="s">
        <v>42</v>
      </c>
      <c r="F31" t="s">
        <v>42</v>
      </c>
      <c r="G31" t="s">
        <v>377</v>
      </c>
      <c r="H31">
        <v>11.006797054979202</v>
      </c>
      <c r="I31">
        <v>11.02</v>
      </c>
      <c r="J31" s="35" t="str">
        <f t="shared" ca="1" si="1"/>
        <v>INSERT INTO ETFValue (DataDate, TimeCategory, ProductType, ProductLink, ProductCode, ProductName, NAV, Price, RecTime) VALUES ('2021/5/14','1', 'ETF', '00641R','00641R','富邦日本反1','11.0068','11.02','15:15:01')</v>
      </c>
    </row>
    <row r="32" spans="1:10">
      <c r="A32" s="21">
        <v>44330</v>
      </c>
      <c r="B32" s="22">
        <v>44330.573151736113</v>
      </c>
      <c r="C32">
        <v>1</v>
      </c>
      <c r="D32" t="str">
        <f t="shared" si="0"/>
        <v>ETF</v>
      </c>
      <c r="E32" t="s">
        <v>43</v>
      </c>
      <c r="F32" t="s">
        <v>43</v>
      </c>
      <c r="G32" t="s">
        <v>2514</v>
      </c>
      <c r="H32">
        <v>10.9056154392681</v>
      </c>
      <c r="I32">
        <v>10.87</v>
      </c>
      <c r="J32" s="35" t="str">
        <f t="shared" ca="1" si="1"/>
        <v>INSERT INTO ETFValue (DataDate, TimeCategory, ProductType, ProductLink, ProductCode, ProductName, NAV, Price, RecTime) VALUES ('2021/5/14','1', 'ETF', '00642U','00642U','期元大S&amp;P石油','10.9056','10.87','15:15:01')</v>
      </c>
    </row>
    <row r="33" spans="1:10">
      <c r="A33" s="21">
        <v>44330</v>
      </c>
      <c r="B33" s="22">
        <v>44330.573151736113</v>
      </c>
      <c r="C33">
        <v>1</v>
      </c>
      <c r="D33" t="str">
        <f t="shared" si="0"/>
        <v>ETF</v>
      </c>
      <c r="E33" t="s">
        <v>44</v>
      </c>
      <c r="F33" t="s">
        <v>44</v>
      </c>
      <c r="G33" t="s">
        <v>378</v>
      </c>
      <c r="H33">
        <v>17.350000000000001</v>
      </c>
      <c r="I33">
        <v>17.21</v>
      </c>
      <c r="J33" s="35" t="str">
        <f t="shared" ca="1" si="1"/>
        <v>INSERT INTO ETFValue (DataDate, TimeCategory, ProductType, ProductLink, ProductCode, ProductName, NAV, Price, RecTime) VALUES ('2021/5/14','1', 'ETF', '00643','00643','群益深証中小','17.35','17.21','15:15:01')</v>
      </c>
    </row>
    <row r="34" spans="1:10">
      <c r="A34" s="21">
        <v>44330</v>
      </c>
      <c r="B34" s="22">
        <v>44330.573151736113</v>
      </c>
      <c r="C34">
        <v>1</v>
      </c>
      <c r="D34" t="str">
        <f t="shared" si="0"/>
        <v>ETF</v>
      </c>
      <c r="E34" t="s">
        <v>45</v>
      </c>
      <c r="F34" t="s">
        <v>45</v>
      </c>
      <c r="G34" t="s">
        <v>533</v>
      </c>
      <c r="H34">
        <v>4</v>
      </c>
      <c r="I34">
        <v>4.01</v>
      </c>
      <c r="J34" s="35" t="str">
        <f t="shared" ca="1" si="1"/>
        <v>INSERT INTO ETFValue (DataDate, TimeCategory, ProductType, ProductLink, ProductCode, ProductName, NAV, Price, RecTime) VALUES ('2021/5/14','1', 'ETF', '00643K','00643K','群益深証中小+R','4','4.01','15:15:01')</v>
      </c>
    </row>
    <row r="35" spans="1:10">
      <c r="A35" s="21">
        <v>44330</v>
      </c>
      <c r="B35" s="22">
        <v>44330.573151736113</v>
      </c>
      <c r="C35">
        <v>1</v>
      </c>
      <c r="D35" t="str">
        <f t="shared" si="0"/>
        <v>ETF</v>
      </c>
      <c r="E35" t="s">
        <v>46</v>
      </c>
      <c r="F35" t="s">
        <v>46</v>
      </c>
      <c r="G35" t="s">
        <v>379</v>
      </c>
      <c r="H35">
        <v>24.68</v>
      </c>
      <c r="I35">
        <v>24.56</v>
      </c>
      <c r="J35" s="35" t="str">
        <f t="shared" ca="1" si="1"/>
        <v>INSERT INTO ETFValue (DataDate, TimeCategory, ProductType, ProductLink, ProductCode, ProductName, NAV, Price, RecTime) VALUES ('2021/5/14','1', 'ETF', '00645','00645','富邦日本','24.68','24.56','15:15:01')</v>
      </c>
    </row>
    <row r="36" spans="1:10">
      <c r="A36" s="21">
        <v>44330</v>
      </c>
      <c r="B36" s="22">
        <v>44330.573151736113</v>
      </c>
      <c r="C36">
        <v>1</v>
      </c>
      <c r="D36" t="str">
        <f t="shared" si="0"/>
        <v>ETF</v>
      </c>
      <c r="E36" t="s">
        <v>47</v>
      </c>
      <c r="F36" t="s">
        <v>47</v>
      </c>
      <c r="G36" t="s">
        <v>380</v>
      </c>
      <c r="H36">
        <v>35.229999999999997</v>
      </c>
      <c r="I36">
        <v>35.340000000000003</v>
      </c>
      <c r="J36" s="35" t="str">
        <f t="shared" ca="1" si="1"/>
        <v>INSERT INTO ETFValue (DataDate, TimeCategory, ProductType, ProductLink, ProductCode, ProductName, NAV, Price, RecTime) VALUES ('2021/5/14','1', 'ETF', '00646','00646','元大S&amp;P500','35.23','35.34','15:15:01')</v>
      </c>
    </row>
    <row r="37" spans="1:10">
      <c r="A37" s="21">
        <v>44330</v>
      </c>
      <c r="B37" s="22">
        <v>44330.573151736113</v>
      </c>
      <c r="C37">
        <v>1</v>
      </c>
      <c r="D37" t="str">
        <f t="shared" si="0"/>
        <v>ETF</v>
      </c>
      <c r="E37" t="s">
        <v>48</v>
      </c>
      <c r="F37" t="s">
        <v>48</v>
      </c>
      <c r="G37" t="s">
        <v>381</v>
      </c>
      <c r="H37">
        <v>60.402707872718047</v>
      </c>
      <c r="I37">
        <v>60.35</v>
      </c>
      <c r="J37" s="35" t="str">
        <f t="shared" ca="1" si="1"/>
        <v>INSERT INTO ETFValue (DataDate, TimeCategory, ProductType, ProductLink, ProductCode, ProductName, NAV, Price, RecTime) VALUES ('2021/5/14','1', 'ETF', '00647L','00647L','元大S&amp;P500正2','60.4027','60.35','15:15:01')</v>
      </c>
    </row>
    <row r="38" spans="1:10">
      <c r="A38" s="21">
        <v>44330</v>
      </c>
      <c r="B38" s="22">
        <v>44330.573151736113</v>
      </c>
      <c r="C38">
        <v>1</v>
      </c>
      <c r="D38" t="str">
        <f t="shared" si="0"/>
        <v>ETF</v>
      </c>
      <c r="E38" t="s">
        <v>49</v>
      </c>
      <c r="F38" t="s">
        <v>49</v>
      </c>
      <c r="G38" t="s">
        <v>382</v>
      </c>
      <c r="H38">
        <v>7.4860313587810117</v>
      </c>
      <c r="I38">
        <v>7.5</v>
      </c>
      <c r="J38" s="35" t="str">
        <f t="shared" ca="1" si="1"/>
        <v>INSERT INTO ETFValue (DataDate, TimeCategory, ProductType, ProductLink, ProductCode, ProductName, NAV, Price, RecTime) VALUES ('2021/5/14','1', 'ETF', '00648R','00648R','元大S&amp;P500反1','7.486','7.5','15:15:01')</v>
      </c>
    </row>
    <row r="39" spans="1:10">
      <c r="A39" s="21">
        <v>44330</v>
      </c>
      <c r="B39" s="22">
        <v>44330.573151736113</v>
      </c>
      <c r="C39">
        <v>1</v>
      </c>
      <c r="D39" t="str">
        <f t="shared" si="0"/>
        <v>ETF</v>
      </c>
      <c r="E39" t="s">
        <v>51</v>
      </c>
      <c r="F39" t="s">
        <v>51</v>
      </c>
      <c r="G39" t="s">
        <v>384</v>
      </c>
      <c r="H39">
        <v>28.538854793975748</v>
      </c>
      <c r="I39">
        <v>28.44</v>
      </c>
      <c r="J39" s="35" t="str">
        <f t="shared" ca="1" si="1"/>
        <v>INSERT INTO ETFValue (DataDate, TimeCategory, ProductType, ProductLink, ProductCode, ProductName, NAV, Price, RecTime) VALUES ('2021/5/14','1', 'ETF', '00650L','00650L','FH香港正2','28.5389','28.44','15:15:01')</v>
      </c>
    </row>
    <row r="40" spans="1:10">
      <c r="A40" s="21">
        <v>44330</v>
      </c>
      <c r="B40" s="22">
        <v>44330.573151736113</v>
      </c>
      <c r="C40">
        <v>1</v>
      </c>
      <c r="D40" t="str">
        <f t="shared" si="0"/>
        <v>ETF</v>
      </c>
      <c r="E40" t="s">
        <v>52</v>
      </c>
      <c r="F40" t="s">
        <v>52</v>
      </c>
      <c r="G40" t="s">
        <v>385</v>
      </c>
      <c r="H40">
        <v>7.1119460627480162</v>
      </c>
      <c r="I40">
        <v>7.08</v>
      </c>
      <c r="J40" s="35" t="str">
        <f t="shared" ca="1" si="1"/>
        <v>INSERT INTO ETFValue (DataDate, TimeCategory, ProductType, ProductLink, ProductCode, ProductName, NAV, Price, RecTime) VALUES ('2021/5/14','1', 'ETF', '00651R','00651R','FH香港反1','7.1119','7.08','15:15:01')</v>
      </c>
    </row>
    <row r="41" spans="1:10">
      <c r="A41" s="21">
        <v>44330</v>
      </c>
      <c r="B41" s="22">
        <v>44330.573151736113</v>
      </c>
      <c r="C41">
        <v>1</v>
      </c>
      <c r="D41" t="str">
        <f t="shared" si="0"/>
        <v>ETF</v>
      </c>
      <c r="E41" t="s">
        <v>53</v>
      </c>
      <c r="F41" t="s">
        <v>53</v>
      </c>
      <c r="G41" t="s">
        <v>386</v>
      </c>
      <c r="H41">
        <v>25.17</v>
      </c>
      <c r="I41">
        <v>24.76</v>
      </c>
      <c r="J41" s="35" t="str">
        <f t="shared" ca="1" si="1"/>
        <v>INSERT INTO ETFValue (DataDate, TimeCategory, ProductType, ProductLink, ProductCode, ProductName, NAV, Price, RecTime) VALUES ('2021/5/14','1', 'ETF', '00652','00652','富邦印度','25.17','24.76','15:15:01')</v>
      </c>
    </row>
    <row r="42" spans="1:10">
      <c r="A42" s="21">
        <v>44330</v>
      </c>
      <c r="B42" s="22">
        <v>44330.573151736113</v>
      </c>
      <c r="C42">
        <v>1</v>
      </c>
      <c r="D42" t="str">
        <f t="shared" si="0"/>
        <v>ETF</v>
      </c>
      <c r="E42" t="s">
        <v>54</v>
      </c>
      <c r="F42" t="s">
        <v>54</v>
      </c>
      <c r="G42" t="s">
        <v>387</v>
      </c>
      <c r="H42">
        <v>33.922238642069111</v>
      </c>
      <c r="I42">
        <v>33.83</v>
      </c>
      <c r="J42" s="35" t="str">
        <f t="shared" ca="1" si="1"/>
        <v>INSERT INTO ETFValue (DataDate, TimeCategory, ProductType, ProductLink, ProductCode, ProductName, NAV, Price, RecTime) VALUES ('2021/5/14','1', 'ETF', '00653L','00653L','富邦印度正2','33.9222','33.83','15:15:01')</v>
      </c>
    </row>
    <row r="43" spans="1:10">
      <c r="A43" s="21">
        <v>44330</v>
      </c>
      <c r="B43" s="22">
        <v>44330.573151736113</v>
      </c>
      <c r="C43">
        <v>1</v>
      </c>
      <c r="D43" t="str">
        <f t="shared" si="0"/>
        <v>ETF</v>
      </c>
      <c r="E43" t="s">
        <v>55</v>
      </c>
      <c r="F43" t="s">
        <v>55</v>
      </c>
      <c r="G43" t="s">
        <v>388</v>
      </c>
      <c r="H43">
        <v>9.8406855659697179</v>
      </c>
      <c r="I43">
        <v>9.86</v>
      </c>
      <c r="J43" s="35" t="str">
        <f t="shared" ca="1" si="1"/>
        <v>INSERT INTO ETFValue (DataDate, TimeCategory, ProductType, ProductLink, ProductCode, ProductName, NAV, Price, RecTime) VALUES ('2021/5/14','1', 'ETF', '00654R','00654R','富邦印度反1','9.8407','9.86','15:15:01')</v>
      </c>
    </row>
    <row r="44" spans="1:10">
      <c r="A44" s="21">
        <v>44330</v>
      </c>
      <c r="B44" s="22">
        <v>44330.573151736113</v>
      </c>
      <c r="C44">
        <v>1</v>
      </c>
      <c r="D44" t="str">
        <f t="shared" si="0"/>
        <v>ETF</v>
      </c>
      <c r="E44" t="s">
        <v>56</v>
      </c>
      <c r="F44" t="s">
        <v>56</v>
      </c>
      <c r="G44" t="s">
        <v>389</v>
      </c>
      <c r="H44">
        <v>50.084102480515725</v>
      </c>
      <c r="I44">
        <v>49.97</v>
      </c>
      <c r="J44" s="35" t="str">
        <f t="shared" ca="1" si="1"/>
        <v>INSERT INTO ETFValue (DataDate, TimeCategory, ProductType, ProductLink, ProductCode, ProductName, NAV, Price, RecTime) VALUES ('2021/5/14','1', 'ETF', '00655L','00655L','國泰中國A50正2','50.0841','49.97','15:15:01')</v>
      </c>
    </row>
    <row r="45" spans="1:10">
      <c r="A45" s="21">
        <v>44330</v>
      </c>
      <c r="B45" s="22">
        <v>44330.573151736113</v>
      </c>
      <c r="C45">
        <v>1</v>
      </c>
      <c r="D45" t="str">
        <f t="shared" si="0"/>
        <v>ETF</v>
      </c>
      <c r="E45" t="s">
        <v>57</v>
      </c>
      <c r="F45" t="s">
        <v>57</v>
      </c>
      <c r="G45" t="s">
        <v>390</v>
      </c>
      <c r="H45">
        <v>7.1951791320663743</v>
      </c>
      <c r="I45">
        <v>7.19</v>
      </c>
      <c r="J45" s="35" t="str">
        <f t="shared" ca="1" si="1"/>
        <v>INSERT INTO ETFValue (DataDate, TimeCategory, ProductType, ProductLink, ProductCode, ProductName, NAV, Price, RecTime) VALUES ('2021/5/14','1', 'ETF', '00656R','00656R','國泰中國A50反1','7.1952','7.19','15:15:01')</v>
      </c>
    </row>
    <row r="46" spans="1:10">
      <c r="A46" s="21">
        <v>44330</v>
      </c>
      <c r="B46" s="22">
        <v>44330.573151736113</v>
      </c>
      <c r="C46">
        <v>1</v>
      </c>
      <c r="D46" t="str">
        <f t="shared" si="0"/>
        <v>ETF</v>
      </c>
      <c r="E46" t="s">
        <v>58</v>
      </c>
      <c r="F46" t="s">
        <v>58</v>
      </c>
      <c r="G46" t="s">
        <v>391</v>
      </c>
      <c r="H46">
        <v>34.409999999999997</v>
      </c>
      <c r="I46">
        <v>34.380000000000003</v>
      </c>
      <c r="J46" s="35" t="str">
        <f t="shared" ca="1" si="1"/>
        <v>INSERT INTO ETFValue (DataDate, TimeCategory, ProductType, ProductLink, ProductCode, ProductName, NAV, Price, RecTime) VALUES ('2021/5/14','1', 'ETF', '00657','00657','國泰日經225','34.41','34.38','15:15:01')</v>
      </c>
    </row>
    <row r="47" spans="1:10">
      <c r="A47" s="21">
        <v>44330</v>
      </c>
      <c r="B47" s="22">
        <v>44330.573151736113</v>
      </c>
      <c r="C47">
        <v>1</v>
      </c>
      <c r="D47" t="str">
        <f t="shared" si="0"/>
        <v>ETF</v>
      </c>
      <c r="E47" t="s">
        <v>59</v>
      </c>
      <c r="F47" t="s">
        <v>59</v>
      </c>
      <c r="G47" t="s">
        <v>534</v>
      </c>
      <c r="H47">
        <v>12.3</v>
      </c>
      <c r="I47">
        <v>12.3</v>
      </c>
      <c r="J47" s="35" t="str">
        <f t="shared" ca="1" si="1"/>
        <v>INSERT INTO ETFValue (DataDate, TimeCategory, ProductType, ProductLink, ProductCode, ProductName, NAV, Price, RecTime) VALUES ('2021/5/14','1', 'ETF', '00657K','00657K','國泰日經225+U','12.3','12.3','15:15:01')</v>
      </c>
    </row>
    <row r="48" spans="1:10">
      <c r="A48" s="21">
        <v>44330</v>
      </c>
      <c r="B48" s="22">
        <v>44330.573151736113</v>
      </c>
      <c r="C48">
        <v>1</v>
      </c>
      <c r="D48" t="str">
        <f t="shared" si="0"/>
        <v>ETF</v>
      </c>
      <c r="E48" t="s">
        <v>62</v>
      </c>
      <c r="F48" t="s">
        <v>62</v>
      </c>
      <c r="G48" t="s">
        <v>394</v>
      </c>
      <c r="H48">
        <v>28.32</v>
      </c>
      <c r="I48">
        <v>28.32</v>
      </c>
      <c r="J48" s="35" t="str">
        <f t="shared" ca="1" si="1"/>
        <v>INSERT INTO ETFValue (DataDate, TimeCategory, ProductType, ProductLink, ProductCode, ProductName, NAV, Price, RecTime) VALUES ('2021/5/14','1', 'ETF', '00660','00660','元大歐洲50','28.32','28.32','15:15:01')</v>
      </c>
    </row>
    <row r="49" spans="1:10">
      <c r="A49" s="21">
        <v>44330</v>
      </c>
      <c r="B49" s="22">
        <v>44330.573151736113</v>
      </c>
      <c r="C49">
        <v>1</v>
      </c>
      <c r="D49" t="str">
        <f t="shared" si="0"/>
        <v>ETF</v>
      </c>
      <c r="E49" t="s">
        <v>63</v>
      </c>
      <c r="F49" t="s">
        <v>63</v>
      </c>
      <c r="G49" t="s">
        <v>395</v>
      </c>
      <c r="H49">
        <v>35.409999999999997</v>
      </c>
      <c r="I49">
        <v>34.67</v>
      </c>
      <c r="J49" s="35" t="str">
        <f t="shared" ca="1" si="1"/>
        <v>INSERT INTO ETFValue (DataDate, TimeCategory, ProductType, ProductLink, ProductCode, ProductName, NAV, Price, RecTime) VALUES ('2021/5/14','1', 'ETF', '00661','00661','元大日經225','35.41','34.67','15:15:01')</v>
      </c>
    </row>
    <row r="50" spans="1:10">
      <c r="A50" s="21">
        <v>44330</v>
      </c>
      <c r="B50" s="22">
        <v>44330.573151736113</v>
      </c>
      <c r="C50">
        <v>1</v>
      </c>
      <c r="D50" t="str">
        <f t="shared" si="0"/>
        <v>ETF</v>
      </c>
      <c r="E50" t="s">
        <v>64</v>
      </c>
      <c r="F50" t="s">
        <v>64</v>
      </c>
      <c r="G50" t="s">
        <v>396</v>
      </c>
      <c r="H50">
        <v>47.18</v>
      </c>
      <c r="I50">
        <v>47.46</v>
      </c>
      <c r="J50" s="35" t="str">
        <f t="shared" ca="1" si="1"/>
        <v>INSERT INTO ETFValue (DataDate, TimeCategory, ProductType, ProductLink, ProductCode, ProductName, NAV, Price, RecTime) VALUES ('2021/5/14','1', 'ETF', '00662','00662','富邦NASDAQ','47.18','47.46','15:15:01')</v>
      </c>
    </row>
    <row r="51" spans="1:10">
      <c r="A51" s="21">
        <v>44330</v>
      </c>
      <c r="B51" s="22">
        <v>44330.573151736113</v>
      </c>
      <c r="C51">
        <v>1</v>
      </c>
      <c r="D51" t="str">
        <f t="shared" si="0"/>
        <v>ETF</v>
      </c>
      <c r="E51" t="s">
        <v>65</v>
      </c>
      <c r="F51" t="s">
        <v>65</v>
      </c>
      <c r="G51" t="s">
        <v>397</v>
      </c>
      <c r="H51">
        <v>93.915623619389436</v>
      </c>
      <c r="I51">
        <v>93.9</v>
      </c>
      <c r="J51" s="35" t="str">
        <f t="shared" ca="1" si="1"/>
        <v>INSERT INTO ETFValue (DataDate, TimeCategory, ProductType, ProductLink, ProductCode, ProductName, NAV, Price, RecTime) VALUES ('2021/5/14','1', 'ETF', '00663L','00663L','國泰臺灣加權正2','93.9156','93.9','15:15:01')</v>
      </c>
    </row>
    <row r="52" spans="1:10">
      <c r="A52" s="21">
        <v>44330</v>
      </c>
      <c r="B52" s="22">
        <v>44330.573151736113</v>
      </c>
      <c r="C52">
        <v>1</v>
      </c>
      <c r="D52" t="str">
        <f t="shared" si="0"/>
        <v>ETF</v>
      </c>
      <c r="E52" t="s">
        <v>66</v>
      </c>
      <c r="F52" t="s">
        <v>66</v>
      </c>
      <c r="G52" t="s">
        <v>398</v>
      </c>
      <c r="H52">
        <v>7.1375658465185801</v>
      </c>
      <c r="I52">
        <v>7.15</v>
      </c>
      <c r="J52" s="35" t="str">
        <f t="shared" ca="1" si="1"/>
        <v>INSERT INTO ETFValue (DataDate, TimeCategory, ProductType, ProductLink, ProductCode, ProductName, NAV, Price, RecTime) VALUES ('2021/5/14','1', 'ETF', '00664R','00664R','國泰臺灣加權反1','7.1376','7.15','15:15:01')</v>
      </c>
    </row>
    <row r="53" spans="1:10">
      <c r="A53" s="21">
        <v>44330</v>
      </c>
      <c r="B53" s="22">
        <v>44330.573151736113</v>
      </c>
      <c r="C53">
        <v>1</v>
      </c>
      <c r="D53" t="str">
        <f t="shared" si="0"/>
        <v>ETF</v>
      </c>
      <c r="E53" t="s">
        <v>67</v>
      </c>
      <c r="F53" t="s">
        <v>67</v>
      </c>
      <c r="G53" t="s">
        <v>535</v>
      </c>
      <c r="H53">
        <v>22.686181900936756</v>
      </c>
      <c r="I53">
        <v>22.69</v>
      </c>
      <c r="J53" s="35" t="str">
        <f t="shared" ca="1" si="1"/>
        <v>INSERT INTO ETFValue (DataDate, TimeCategory, ProductType, ProductLink, ProductCode, ProductName, NAV, Price, RecTime) VALUES ('2021/5/14','1', 'ETF', '00665L','00665L','富邦恒生國企正2','22.6862','22.69','15:15:01')</v>
      </c>
    </row>
    <row r="54" spans="1:10">
      <c r="A54" s="21">
        <v>44330</v>
      </c>
      <c r="B54" s="22">
        <v>44330.573151736113</v>
      </c>
      <c r="C54">
        <v>1</v>
      </c>
      <c r="D54" t="str">
        <f t="shared" si="0"/>
        <v>ETF</v>
      </c>
      <c r="E54" t="s">
        <v>68</v>
      </c>
      <c r="F54" t="s">
        <v>68</v>
      </c>
      <c r="G54" t="s">
        <v>536</v>
      </c>
      <c r="H54">
        <v>11.609823369227238</v>
      </c>
      <c r="I54">
        <v>11.49</v>
      </c>
      <c r="J54" s="35" t="str">
        <f t="shared" ca="1" si="1"/>
        <v>INSERT INTO ETFValue (DataDate, TimeCategory, ProductType, ProductLink, ProductCode, ProductName, NAV, Price, RecTime) VALUES ('2021/5/14','1', 'ETF', '00666R','00666R','富邦恒生國企反1','11.6098','11.49','15:15:01')</v>
      </c>
    </row>
    <row r="55" spans="1:10">
      <c r="A55" s="21">
        <v>44330</v>
      </c>
      <c r="B55" s="22">
        <v>44330.573151736113</v>
      </c>
      <c r="C55">
        <v>1</v>
      </c>
      <c r="D55" t="str">
        <f t="shared" si="0"/>
        <v>ETF</v>
      </c>
      <c r="E55" t="s">
        <v>69</v>
      </c>
      <c r="F55" t="s">
        <v>69</v>
      </c>
      <c r="G55" t="s">
        <v>399</v>
      </c>
      <c r="H55">
        <v>34.44</v>
      </c>
      <c r="I55">
        <v>34.549999999999997</v>
      </c>
      <c r="J55" s="35" t="str">
        <f t="shared" ca="1" si="1"/>
        <v>INSERT INTO ETFValue (DataDate, TimeCategory, ProductType, ProductLink, ProductCode, ProductName, NAV, Price, RecTime) VALUES ('2021/5/14','1', 'ETF', '00668','00668','國泰美國道瓊','34.44','34.55','15:15:01')</v>
      </c>
    </row>
    <row r="56" spans="1:10">
      <c r="A56" s="21">
        <v>44330</v>
      </c>
      <c r="B56" s="22">
        <v>44330.573151736113</v>
      </c>
      <c r="C56">
        <v>1</v>
      </c>
      <c r="D56" t="str">
        <f t="shared" si="0"/>
        <v>ETF</v>
      </c>
      <c r="E56" t="s">
        <v>70</v>
      </c>
      <c r="F56" t="s">
        <v>70</v>
      </c>
      <c r="G56" t="s">
        <v>537</v>
      </c>
      <c r="H56">
        <v>12.31</v>
      </c>
      <c r="I56">
        <v>12.3</v>
      </c>
      <c r="J56" s="35" t="str">
        <f t="shared" ca="1" si="1"/>
        <v>INSERT INTO ETFValue (DataDate, TimeCategory, ProductType, ProductLink, ProductCode, ProductName, NAV, Price, RecTime) VALUES ('2021/5/14','1', 'ETF', '00668K','00668K','國泰美國道瓊+U','12.31','12.3','15:15:01')</v>
      </c>
    </row>
    <row r="57" spans="1:10">
      <c r="A57" s="21">
        <v>44330</v>
      </c>
      <c r="B57" s="22">
        <v>44330.573151736113</v>
      </c>
      <c r="C57">
        <v>1</v>
      </c>
      <c r="D57" t="str">
        <f t="shared" si="0"/>
        <v>ETF</v>
      </c>
      <c r="E57" t="s">
        <v>71</v>
      </c>
      <c r="F57" t="s">
        <v>71</v>
      </c>
      <c r="G57" t="s">
        <v>400</v>
      </c>
      <c r="H57">
        <v>8.1663296015450921</v>
      </c>
      <c r="I57">
        <v>8.17</v>
      </c>
      <c r="J57" s="35" t="str">
        <f t="shared" ca="1" si="1"/>
        <v>INSERT INTO ETFValue (DataDate, TimeCategory, ProductType, ProductLink, ProductCode, ProductName, NAV, Price, RecTime) VALUES ('2021/5/14','1', 'ETF', '00669R','00669R','國泰美國道瓊反1','8.1663','8.17','15:15:01')</v>
      </c>
    </row>
    <row r="58" spans="1:10">
      <c r="A58" s="21">
        <v>44330</v>
      </c>
      <c r="B58" s="22">
        <v>44330.573151736113</v>
      </c>
      <c r="C58">
        <v>1</v>
      </c>
      <c r="D58" t="str">
        <f t="shared" si="0"/>
        <v>ETF</v>
      </c>
      <c r="E58" t="s">
        <v>72</v>
      </c>
      <c r="F58" t="s">
        <v>72</v>
      </c>
      <c r="G58" t="s">
        <v>401</v>
      </c>
      <c r="H58">
        <v>84.021535434514732</v>
      </c>
      <c r="I58">
        <v>84.05</v>
      </c>
      <c r="J58" s="35" t="str">
        <f t="shared" ca="1" si="1"/>
        <v>INSERT INTO ETFValue (DataDate, TimeCategory, ProductType, ProductLink, ProductCode, ProductName, NAV, Price, RecTime) VALUES ('2021/5/14','1', 'ETF', '00670L','00670L','富邦NASDAQ正2','84.0215','84.05','15:15:01')</v>
      </c>
    </row>
    <row r="59" spans="1:10">
      <c r="A59" s="21">
        <v>44330</v>
      </c>
      <c r="B59" s="22">
        <v>44330.573151736113</v>
      </c>
      <c r="C59">
        <v>1</v>
      </c>
      <c r="D59" t="str">
        <f t="shared" si="0"/>
        <v>ETF</v>
      </c>
      <c r="E59" t="s">
        <v>73</v>
      </c>
      <c r="F59" t="s">
        <v>73</v>
      </c>
      <c r="G59" t="s">
        <v>402</v>
      </c>
      <c r="H59">
        <v>6.1672133872786112</v>
      </c>
      <c r="I59">
        <v>6.17</v>
      </c>
      <c r="J59" s="35" t="str">
        <f t="shared" ca="1" si="1"/>
        <v>INSERT INTO ETFValue (DataDate, TimeCategory, ProductType, ProductLink, ProductCode, ProductName, NAV, Price, RecTime) VALUES ('2021/5/14','1', 'ETF', '00671R','00671R','富邦NASDAQ反1','6.1672','6.17','15:15:01')</v>
      </c>
    </row>
    <row r="60" spans="1:10">
      <c r="A60" s="21">
        <v>44330</v>
      </c>
      <c r="B60" s="22">
        <v>44330.573151736113</v>
      </c>
      <c r="C60">
        <v>1</v>
      </c>
      <c r="D60" t="str">
        <f t="shared" si="0"/>
        <v>ETF</v>
      </c>
      <c r="E60" t="s">
        <v>75</v>
      </c>
      <c r="F60" t="s">
        <v>75</v>
      </c>
      <c r="G60" s="40" t="s">
        <v>2515</v>
      </c>
      <c r="H60">
        <v>17.767742978131849</v>
      </c>
      <c r="I60">
        <v>17.739999999999998</v>
      </c>
      <c r="J60" s="35" t="str">
        <f t="shared" ca="1" si="1"/>
        <v>INSERT INTO ETFValue (DataDate, TimeCategory, ProductType, ProductLink, ProductCode, ProductName, NAV, Price, RecTime) VALUES ('2021/5/14','1', 'ETF', '00673R','00673R','期元大S&amp;P原油反1','17.7677','17.74','15:15:01')</v>
      </c>
    </row>
    <row r="61" spans="1:10">
      <c r="A61" s="21">
        <v>44330</v>
      </c>
      <c r="B61" s="22">
        <v>44330.573151736113</v>
      </c>
      <c r="C61">
        <v>1</v>
      </c>
      <c r="D61" t="str">
        <f t="shared" si="0"/>
        <v>ETF</v>
      </c>
      <c r="E61" t="s">
        <v>76</v>
      </c>
      <c r="F61" t="s">
        <v>76</v>
      </c>
      <c r="G61" t="s">
        <v>2516</v>
      </c>
      <c r="H61">
        <v>13.132765742659368</v>
      </c>
      <c r="I61">
        <v>13.14</v>
      </c>
      <c r="J61" s="35" t="str">
        <f t="shared" ca="1" si="1"/>
        <v>INSERT INTO ETFValue (DataDate, TimeCategory, ProductType, ProductLink, ProductCode, ProductName, NAV, Price, RecTime) VALUES ('2021/5/14','1', 'ETF', '00674R','00674R','期元大S&amp;P黃金反1','13.1328','13.14','15:15:01')</v>
      </c>
    </row>
    <row r="62" spans="1:10">
      <c r="A62" s="21">
        <v>44330</v>
      </c>
      <c r="B62" s="22">
        <v>44330.573151736113</v>
      </c>
      <c r="C62">
        <v>1</v>
      </c>
      <c r="D62" t="str">
        <f t="shared" si="0"/>
        <v>ETF</v>
      </c>
      <c r="E62" t="s">
        <v>77</v>
      </c>
      <c r="F62" t="s">
        <v>77</v>
      </c>
      <c r="G62" t="s">
        <v>403</v>
      </c>
      <c r="H62">
        <v>40.367110849703536</v>
      </c>
      <c r="I62">
        <v>40.44</v>
      </c>
      <c r="J62" s="35" t="str">
        <f t="shared" ca="1" si="1"/>
        <v>INSERT INTO ETFValue (DataDate, TimeCategory, ProductType, ProductLink, ProductCode, ProductName, NAV, Price, RecTime) VALUES ('2021/5/14','1', 'ETF', '00675L','00675L','富邦臺灣加權正2','40.3671','40.44','15:15:01')</v>
      </c>
    </row>
    <row r="63" spans="1:10">
      <c r="A63" s="21">
        <v>44330</v>
      </c>
      <c r="B63" s="22">
        <v>44330.573151736113</v>
      </c>
      <c r="C63">
        <v>1</v>
      </c>
      <c r="D63" t="str">
        <f t="shared" si="0"/>
        <v>ETF</v>
      </c>
      <c r="E63" t="s">
        <v>78</v>
      </c>
      <c r="F63" t="s">
        <v>78</v>
      </c>
      <c r="G63" t="s">
        <v>404</v>
      </c>
      <c r="H63">
        <v>3.8928545607087628</v>
      </c>
      <c r="I63">
        <v>3.9</v>
      </c>
      <c r="J63" s="35" t="str">
        <f t="shared" ca="1" si="1"/>
        <v>INSERT INTO ETFValue (DataDate, TimeCategory, ProductType, ProductLink, ProductCode, ProductName, NAV, Price, RecTime) VALUES ('2021/5/14','1', 'ETF', '00676R','00676R','富邦臺灣加權反1','3.8929','3.9','15:15:01')</v>
      </c>
    </row>
    <row r="64" spans="1:10">
      <c r="A64" s="21">
        <v>44330</v>
      </c>
      <c r="B64" s="22">
        <v>44330.573151736113</v>
      </c>
      <c r="C64">
        <v>1</v>
      </c>
      <c r="D64" t="str">
        <f t="shared" si="0"/>
        <v>ETF</v>
      </c>
      <c r="E64" t="s">
        <v>79</v>
      </c>
      <c r="F64" t="s">
        <v>79</v>
      </c>
      <c r="G64" t="s">
        <v>2517</v>
      </c>
      <c r="H64">
        <v>1.8317789386511352</v>
      </c>
      <c r="I64">
        <v>1.83</v>
      </c>
      <c r="J64" s="35" t="str">
        <f t="shared" ca="1" si="1"/>
        <v>INSERT INTO ETFValue (DataDate, TimeCategory, ProductType, ProductLink, ProductCode, ProductName, NAV, Price, RecTime) VALUES ('2021/5/14','1', 'ETF', '00677U','00677U','期富邦VIX','1.8318','1.83','15:15:01')</v>
      </c>
    </row>
    <row r="65" spans="1:10">
      <c r="A65" s="21">
        <v>44330</v>
      </c>
      <c r="B65" s="22">
        <v>44330.573151736113</v>
      </c>
      <c r="C65">
        <v>1</v>
      </c>
      <c r="D65" t="str">
        <f t="shared" si="0"/>
        <v>ETF</v>
      </c>
      <c r="E65" t="s">
        <v>80</v>
      </c>
      <c r="F65" t="s">
        <v>80</v>
      </c>
      <c r="G65" t="s">
        <v>406</v>
      </c>
      <c r="H65">
        <v>26.34</v>
      </c>
      <c r="I65">
        <v>26.39</v>
      </c>
      <c r="J65" s="35" t="str">
        <f t="shared" ca="1" si="1"/>
        <v>INSERT INTO ETFValue (DataDate, TimeCategory, ProductType, ProductLink, ProductCode, ProductName, NAV, Price, RecTime) VALUES ('2021/5/14','1', 'ETF', '00678','00678','群益NBI生技','26.34','26.39','15:15:01')</v>
      </c>
    </row>
    <row r="66" spans="1:10">
      <c r="A66" s="21">
        <v>44330</v>
      </c>
      <c r="B66" s="22">
        <v>44330.573151736113</v>
      </c>
      <c r="C66">
        <v>1</v>
      </c>
      <c r="D66" t="str">
        <f t="shared" si="0"/>
        <v>ETF</v>
      </c>
      <c r="E66" t="s">
        <v>81</v>
      </c>
      <c r="F66" t="s">
        <v>81</v>
      </c>
      <c r="G66" t="s">
        <v>541</v>
      </c>
      <c r="H66">
        <v>38.845999999999997</v>
      </c>
      <c r="I66">
        <v>38.880000000000003</v>
      </c>
      <c r="J66" s="35" t="str">
        <f t="shared" ca="1" si="1"/>
        <v>INSERT INTO ETFValue (DataDate, TimeCategory, ProductType, ProductLink, ProductCode, ProductName, NAV, Price, RecTime) VALUES ('2021/5/14','1', 'ETF', '00679B','00679B','元大美債20年','38.846','38.88','15:15:01')</v>
      </c>
    </row>
    <row r="67" spans="1:10">
      <c r="A67" s="21">
        <v>44330</v>
      </c>
      <c r="B67" s="22">
        <v>44330.573151736113</v>
      </c>
      <c r="C67">
        <v>1</v>
      </c>
      <c r="D67" t="str">
        <f t="shared" si="0"/>
        <v>ETF</v>
      </c>
      <c r="E67" t="s">
        <v>82</v>
      </c>
      <c r="F67" t="s">
        <v>82</v>
      </c>
      <c r="G67" t="s">
        <v>542</v>
      </c>
      <c r="H67">
        <v>21.552021728479168</v>
      </c>
      <c r="I67">
        <v>21.55</v>
      </c>
      <c r="J67" s="35" t="str">
        <f t="shared" ca="1" si="1"/>
        <v>INSERT INTO ETFValue (DataDate, TimeCategory, ProductType, ProductLink, ProductCode, ProductName, NAV, Price, RecTime) VALUES ('2021/5/14','1', 'ETF', '00680L','00680L','元大美債20正2','21.552','21.55','15:15:01')</v>
      </c>
    </row>
    <row r="68" spans="1:10">
      <c r="A68" s="21">
        <v>44330</v>
      </c>
      <c r="B68" s="22">
        <v>44330.573151736113</v>
      </c>
      <c r="C68">
        <v>1</v>
      </c>
      <c r="D68" t="str">
        <f t="shared" ref="D68:D131" si="2">IF(LEFT(E68,2)="00","ETF",IF(LEFT(G68,2)="FX","FX","Futures"))</f>
        <v>ETF</v>
      </c>
      <c r="E68" t="s">
        <v>83</v>
      </c>
      <c r="F68" t="s">
        <v>83</v>
      </c>
      <c r="G68" t="s">
        <v>543</v>
      </c>
      <c r="H68">
        <v>14.523715614002372</v>
      </c>
      <c r="I68">
        <v>14.55</v>
      </c>
      <c r="J68" s="35" t="str">
        <f t="shared" ref="J68:J131" ca="1" si="3">"INSERT INTO ETFValue (DataDate, TimeCategory, ProductType, ProductLink, ProductCode, ProductName, NAV, Price, RecTime) VALUES ("&amp;"'"&amp;TEXT(A68,"yyyy/m/dd")&amp;"','"&amp; C68&amp;"', '"&amp;D68&amp;"', '"&amp;E68&amp;"','"&amp;F68&amp;"','"&amp;G68&amp;"','"&amp;ROUND(H68,4)&amp;"','"&amp;I68&amp;"','"&amp;TEXT($P$2,"hh:mm:ss")&amp;"')"</f>
        <v>INSERT INTO ETFValue (DataDate, TimeCategory, ProductType, ProductLink, ProductCode, ProductName, NAV, Price, RecTime) VALUES ('2021/5/14','1', 'ETF', '00681R','00681R','元大美債20反1','14.5237','14.55','15:15:01')</v>
      </c>
    </row>
    <row r="69" spans="1:10">
      <c r="A69" s="21">
        <v>44330</v>
      </c>
      <c r="B69" s="22">
        <v>44330.573151736113</v>
      </c>
      <c r="C69">
        <v>1</v>
      </c>
      <c r="D69" t="str">
        <f t="shared" si="2"/>
        <v>ETF</v>
      </c>
      <c r="E69" t="s">
        <v>84</v>
      </c>
      <c r="F69" t="s">
        <v>84</v>
      </c>
      <c r="G69" t="s">
        <v>2518</v>
      </c>
      <c r="H69">
        <v>17.976774462832005</v>
      </c>
      <c r="I69">
        <v>18.03</v>
      </c>
      <c r="J69" s="35" t="str">
        <f t="shared" ca="1" si="3"/>
        <v>INSERT INTO ETFValue (DataDate, TimeCategory, ProductType, ProductLink, ProductCode, ProductName, NAV, Price, RecTime) VALUES ('2021/5/14','1', 'ETF', '00682U','00682U','期元大美元指數','17.9768','18.03','15:15:01')</v>
      </c>
    </row>
    <row r="70" spans="1:10">
      <c r="A70" s="21">
        <v>44330</v>
      </c>
      <c r="B70" s="22">
        <v>44330.573151736113</v>
      </c>
      <c r="C70">
        <v>1</v>
      </c>
      <c r="D70" t="str">
        <f t="shared" si="2"/>
        <v>ETF</v>
      </c>
      <c r="E70" t="s">
        <v>85</v>
      </c>
      <c r="F70" t="s">
        <v>85</v>
      </c>
      <c r="G70" t="s">
        <v>2629</v>
      </c>
      <c r="H70">
        <v>16.639716403614319</v>
      </c>
      <c r="I70">
        <v>16.7</v>
      </c>
      <c r="J70" s="35" t="str">
        <f t="shared" ca="1" si="3"/>
        <v>INSERT INTO ETFValue (DataDate, TimeCategory, ProductType, ProductLink, ProductCode, ProductName, NAV, Price, RecTime) VALUES ('2021/5/14','1', 'ETF', '00683L','00683L','期元大美元指正2','16.6397','16.7','15:15:01')</v>
      </c>
    </row>
    <row r="71" spans="1:10">
      <c r="A71" s="21">
        <v>44330</v>
      </c>
      <c r="B71" s="22">
        <v>44330.573151736113</v>
      </c>
      <c r="C71">
        <v>1</v>
      </c>
      <c r="D71" t="str">
        <f t="shared" si="2"/>
        <v>ETF</v>
      </c>
      <c r="E71" t="s">
        <v>86</v>
      </c>
      <c r="F71" t="s">
        <v>86</v>
      </c>
      <c r="G71" t="s">
        <v>2630</v>
      </c>
      <c r="H71">
        <v>19.271269940347072</v>
      </c>
      <c r="I71">
        <v>19.190000000000001</v>
      </c>
      <c r="J71" s="35" t="str">
        <f t="shared" ca="1" si="3"/>
        <v>INSERT INTO ETFValue (DataDate, TimeCategory, ProductType, ProductLink, ProductCode, ProductName, NAV, Price, RecTime) VALUES ('2021/5/14','1', 'ETF', '00684R','00684R','期元大美元指反1','19.2713','19.19','15:15:01')</v>
      </c>
    </row>
    <row r="72" spans="1:10">
      <c r="A72" s="21">
        <v>44330</v>
      </c>
      <c r="B72" s="22">
        <v>44330.573151736113</v>
      </c>
      <c r="C72">
        <v>1</v>
      </c>
      <c r="D72" t="str">
        <f t="shared" si="2"/>
        <v>ETF</v>
      </c>
      <c r="E72" t="s">
        <v>87</v>
      </c>
      <c r="F72" t="s">
        <v>87</v>
      </c>
      <c r="G72" t="s">
        <v>407</v>
      </c>
      <c r="H72">
        <v>35.527772464962901</v>
      </c>
      <c r="I72">
        <v>35.200000000000003</v>
      </c>
      <c r="J72" s="35" t="str">
        <f t="shared" ca="1" si="3"/>
        <v>INSERT INTO ETFValue (DataDate, TimeCategory, ProductType, ProductLink, ProductCode, ProductName, NAV, Price, RecTime) VALUES ('2021/5/14','1', 'ETF', '00685L','00685L','群益臺灣加權正2','35.5278','35.2','15:15:01')</v>
      </c>
    </row>
    <row r="73" spans="1:10">
      <c r="A73" s="21">
        <v>44330</v>
      </c>
      <c r="B73" s="22">
        <v>44330.573151736113</v>
      </c>
      <c r="C73">
        <v>1</v>
      </c>
      <c r="D73" t="str">
        <f t="shared" si="2"/>
        <v>ETF</v>
      </c>
      <c r="E73" t="s">
        <v>88</v>
      </c>
      <c r="F73" t="s">
        <v>88</v>
      </c>
      <c r="G73" t="s">
        <v>408</v>
      </c>
      <c r="H73">
        <v>4.2491522150353918</v>
      </c>
      <c r="I73">
        <v>4.25</v>
      </c>
      <c r="J73" s="35" t="str">
        <f t="shared" ca="1" si="3"/>
        <v>INSERT INTO ETFValue (DataDate, TimeCategory, ProductType, ProductLink, ProductCode, ProductName, NAV, Price, RecTime) VALUES ('2021/5/14','1', 'ETF', '00686R','00686R','群益臺灣加權反1','4.2492','4.25','15:15:01')</v>
      </c>
    </row>
    <row r="74" spans="1:10">
      <c r="A74" s="21">
        <v>44330</v>
      </c>
      <c r="B74" s="22">
        <v>44330.573151736113</v>
      </c>
      <c r="C74">
        <v>1</v>
      </c>
      <c r="D74" t="str">
        <f t="shared" si="2"/>
        <v>ETF</v>
      </c>
      <c r="E74" t="s">
        <v>89</v>
      </c>
      <c r="F74" t="s">
        <v>89</v>
      </c>
      <c r="G74" t="s">
        <v>547</v>
      </c>
      <c r="H74">
        <v>40.441699999999997</v>
      </c>
      <c r="I74">
        <v>40.520000000000003</v>
      </c>
      <c r="J74" s="35" t="str">
        <f t="shared" ca="1" si="3"/>
        <v>INSERT INTO ETFValue (DataDate, TimeCategory, ProductType, ProductLink, ProductCode, ProductName, NAV, Price, RecTime) VALUES ('2021/5/14','1', 'ETF', '00687B','00687B','國泰20年美債','40.4417','40.52','15:15:01')</v>
      </c>
    </row>
    <row r="75" spans="1:10">
      <c r="A75" s="21">
        <v>44330</v>
      </c>
      <c r="B75" s="22">
        <v>44330.573151736113</v>
      </c>
      <c r="C75">
        <v>1</v>
      </c>
      <c r="D75" t="str">
        <f t="shared" si="2"/>
        <v>ETF</v>
      </c>
      <c r="E75" t="s">
        <v>90</v>
      </c>
      <c r="F75" t="s">
        <v>90</v>
      </c>
      <c r="G75" t="s">
        <v>548</v>
      </c>
      <c r="H75">
        <v>21.533430951206075</v>
      </c>
      <c r="I75">
        <v>21.55</v>
      </c>
      <c r="J75" s="35" t="str">
        <f t="shared" ca="1" si="3"/>
        <v>INSERT INTO ETFValue (DataDate, TimeCategory, ProductType, ProductLink, ProductCode, ProductName, NAV, Price, RecTime) VALUES ('2021/5/14','1', 'ETF', '00688L','00688L','國泰20年美債正2','21.5334','21.55','15:15:01')</v>
      </c>
    </row>
    <row r="76" spans="1:10">
      <c r="A76" s="21">
        <v>44330</v>
      </c>
      <c r="B76" s="22">
        <v>44330.573151736113</v>
      </c>
      <c r="C76">
        <v>1</v>
      </c>
      <c r="D76" t="str">
        <f t="shared" si="2"/>
        <v>ETF</v>
      </c>
      <c r="E76" t="s">
        <v>91</v>
      </c>
      <c r="F76" t="s">
        <v>91</v>
      </c>
      <c r="G76" t="s">
        <v>549</v>
      </c>
      <c r="H76">
        <v>15.28489865648041</v>
      </c>
      <c r="I76">
        <v>15.29</v>
      </c>
      <c r="J76" s="35" t="str">
        <f t="shared" ca="1" si="3"/>
        <v>INSERT INTO ETFValue (DataDate, TimeCategory, ProductType, ProductLink, ProductCode, ProductName, NAV, Price, RecTime) VALUES ('2021/5/14','1', 'ETF', '00689R','00689R','國泰20年美債反1','15.2849','15.29','15:15:01')</v>
      </c>
    </row>
    <row r="77" spans="1:10">
      <c r="A77" s="21">
        <v>44330</v>
      </c>
      <c r="B77" s="22">
        <v>44330.573151736113</v>
      </c>
      <c r="C77">
        <v>1</v>
      </c>
      <c r="D77" t="str">
        <f t="shared" si="2"/>
        <v>ETF</v>
      </c>
      <c r="E77" t="s">
        <v>92</v>
      </c>
      <c r="F77" t="s">
        <v>92</v>
      </c>
      <c r="G77" t="s">
        <v>409</v>
      </c>
      <c r="H77">
        <v>30.671974241686943</v>
      </c>
      <c r="I77">
        <v>30.62</v>
      </c>
      <c r="J77" s="35" t="str">
        <f t="shared" ca="1" si="3"/>
        <v>INSERT INTO ETFValue (DataDate, TimeCategory, ProductType, ProductLink, ProductCode, ProductName, NAV, Price, RecTime) VALUES ('2021/5/14','1', 'ETF', '00690','00690','兆豐藍籌30','30.672','30.62','15:15:01')</v>
      </c>
    </row>
    <row r="78" spans="1:10">
      <c r="A78" s="21">
        <v>44330</v>
      </c>
      <c r="B78" s="22">
        <v>44330.573151736113</v>
      </c>
      <c r="C78">
        <v>1</v>
      </c>
      <c r="D78" t="str">
        <f t="shared" si="2"/>
        <v>ETF</v>
      </c>
      <c r="E78" t="s">
        <v>94</v>
      </c>
      <c r="F78" t="s">
        <v>94</v>
      </c>
      <c r="G78" t="s">
        <v>410</v>
      </c>
      <c r="H78">
        <v>32.97923360632695</v>
      </c>
      <c r="I78">
        <v>33.119999999999997</v>
      </c>
      <c r="J78" s="35" t="str">
        <f t="shared" ca="1" si="3"/>
        <v>INSERT INTO ETFValue (DataDate, TimeCategory, ProductType, ProductLink, ProductCode, ProductName, NAV, Price, RecTime) VALUES ('2021/5/14','1', 'ETF', '00692','00692','富邦公司治理','32.9792','33.12','15:15:01')</v>
      </c>
    </row>
    <row r="79" spans="1:10">
      <c r="A79" s="21">
        <v>44330</v>
      </c>
      <c r="B79" s="22">
        <v>44330.573151736113</v>
      </c>
      <c r="C79">
        <v>1</v>
      </c>
      <c r="D79" t="str">
        <f t="shared" si="2"/>
        <v>ETF</v>
      </c>
      <c r="E79" t="s">
        <v>95</v>
      </c>
      <c r="F79" t="s">
        <v>95</v>
      </c>
      <c r="G79" t="s">
        <v>2519</v>
      </c>
      <c r="H79">
        <v>24.252422156719764</v>
      </c>
      <c r="I79">
        <v>24.18</v>
      </c>
      <c r="J79" s="35" t="str">
        <f t="shared" ca="1" si="3"/>
        <v>INSERT INTO ETFValue (DataDate, TimeCategory, ProductType, ProductLink, ProductCode, ProductName, NAV, Price, RecTime) VALUES ('2021/5/14','1', 'ETF', '00693U','00693U','期街口S&amp;P黃豆','24.2524','24.18','15:15:01')</v>
      </c>
    </row>
    <row r="80" spans="1:10">
      <c r="A80" s="21">
        <v>44330</v>
      </c>
      <c r="B80" s="22">
        <v>44330.573151736113</v>
      </c>
      <c r="C80">
        <v>1</v>
      </c>
      <c r="D80" t="str">
        <f t="shared" si="2"/>
        <v>ETF</v>
      </c>
      <c r="E80" t="s">
        <v>96</v>
      </c>
      <c r="F80" t="s">
        <v>96</v>
      </c>
      <c r="G80" t="s">
        <v>552</v>
      </c>
      <c r="H80">
        <v>37.409500000000001</v>
      </c>
      <c r="I80">
        <v>37.4</v>
      </c>
      <c r="J80" s="35" t="str">
        <f t="shared" ca="1" si="3"/>
        <v>INSERT INTO ETFValue (DataDate, TimeCategory, ProductType, ProductLink, ProductCode, ProductName, NAV, Price, RecTime) VALUES ('2021/5/14','1', 'ETF', '00694B','00694B','富邦美債1-3年','37.4095','37.4','15:15:01')</v>
      </c>
    </row>
    <row r="81" spans="1:10">
      <c r="A81" s="21">
        <v>44330</v>
      </c>
      <c r="B81" s="22">
        <v>44330.573151736113</v>
      </c>
      <c r="C81">
        <v>1</v>
      </c>
      <c r="D81" t="str">
        <f t="shared" si="2"/>
        <v>ETF</v>
      </c>
      <c r="E81" t="s">
        <v>97</v>
      </c>
      <c r="F81" t="s">
        <v>97</v>
      </c>
      <c r="G81" t="s">
        <v>553</v>
      </c>
      <c r="H81">
        <v>36.6708</v>
      </c>
      <c r="I81">
        <v>36.67</v>
      </c>
      <c r="J81" s="35" t="str">
        <f t="shared" ca="1" si="3"/>
        <v>INSERT INTO ETFValue (DataDate, TimeCategory, ProductType, ProductLink, ProductCode, ProductName, NAV, Price, RecTime) VALUES ('2021/5/14','1', 'ETF', '00695B','00695B','富邦美債7-10年','36.6708','36.67','15:15:01')</v>
      </c>
    </row>
    <row r="82" spans="1:10">
      <c r="A82" s="21">
        <v>44330</v>
      </c>
      <c r="B82" s="22">
        <v>44330.573151736113</v>
      </c>
      <c r="C82">
        <v>1</v>
      </c>
      <c r="D82" t="str">
        <f t="shared" si="2"/>
        <v>ETF</v>
      </c>
      <c r="E82" t="s">
        <v>98</v>
      </c>
      <c r="F82" t="s">
        <v>98</v>
      </c>
      <c r="G82" t="s">
        <v>411</v>
      </c>
      <c r="H82">
        <v>40.3125</v>
      </c>
      <c r="I82">
        <v>40.409999999999997</v>
      </c>
      <c r="J82" s="35" t="str">
        <f t="shared" ca="1" si="3"/>
        <v>INSERT INTO ETFValue (DataDate, TimeCategory, ProductType, ProductLink, ProductCode, ProductName, NAV, Price, RecTime) VALUES ('2021/5/14','1', 'ETF', '00696B','00696B','富邦美債20年','40.3125','40.41','15:15:01')</v>
      </c>
    </row>
    <row r="83" spans="1:10">
      <c r="A83" s="21">
        <v>44330</v>
      </c>
      <c r="B83" s="22">
        <v>44330.573151736113</v>
      </c>
      <c r="C83">
        <v>1</v>
      </c>
      <c r="D83" t="str">
        <f t="shared" si="2"/>
        <v>ETF</v>
      </c>
      <c r="E83" t="s">
        <v>99</v>
      </c>
      <c r="F83" t="s">
        <v>99</v>
      </c>
      <c r="G83" t="s">
        <v>554</v>
      </c>
      <c r="H83">
        <v>39.055199999999999</v>
      </c>
      <c r="I83">
        <v>39.06</v>
      </c>
      <c r="J83" s="35" t="str">
        <f t="shared" ca="1" si="3"/>
        <v>INSERT INTO ETFValue (DataDate, TimeCategory, ProductType, ProductLink, ProductCode, ProductName, NAV, Price, RecTime) VALUES ('2021/5/14','1', 'ETF', '00697B','00697B','元大美債7-10','39.0552','39.06','15:15:01')</v>
      </c>
    </row>
    <row r="84" spans="1:10">
      <c r="A84" s="21">
        <v>44330</v>
      </c>
      <c r="B84" s="22">
        <v>44330.573151736113</v>
      </c>
      <c r="C84">
        <v>1</v>
      </c>
      <c r="D84" t="str">
        <f t="shared" si="2"/>
        <v>ETF</v>
      </c>
      <c r="E84" t="s">
        <v>100</v>
      </c>
      <c r="F84" t="s">
        <v>100</v>
      </c>
      <c r="G84" t="s">
        <v>555</v>
      </c>
      <c r="H84">
        <v>18.48</v>
      </c>
      <c r="I84">
        <v>18.36</v>
      </c>
      <c r="J84" s="35" t="str">
        <f t="shared" ca="1" si="3"/>
        <v>INSERT INTO ETFValue (DataDate, TimeCategory, ProductType, ProductLink, ProductCode, ProductName, NAV, Price, RecTime) VALUES ('2021/5/14','1', 'ETF', '00700','00700','富邦恆生國企','18.48','18.36','15:15:01')</v>
      </c>
    </row>
    <row r="85" spans="1:10">
      <c r="A85" s="21">
        <v>44330</v>
      </c>
      <c r="B85" s="22">
        <v>44330.573151736113</v>
      </c>
      <c r="C85">
        <v>1</v>
      </c>
      <c r="D85" t="str">
        <f t="shared" si="2"/>
        <v>ETF</v>
      </c>
      <c r="E85" t="s">
        <v>101</v>
      </c>
      <c r="F85" t="s">
        <v>101</v>
      </c>
      <c r="G85" t="s">
        <v>556</v>
      </c>
      <c r="H85">
        <v>23.49</v>
      </c>
      <c r="I85">
        <v>23.37</v>
      </c>
      <c r="J85" s="35" t="str">
        <f t="shared" ca="1" si="3"/>
        <v>INSERT INTO ETFValue (DataDate, TimeCategory, ProductType, ProductLink, ProductCode, ProductName, NAV, Price, RecTime) VALUES ('2021/5/14','1', 'ETF', '00701','00701','國泰股利精選30','23.49','23.37','15:15:01')</v>
      </c>
    </row>
    <row r="86" spans="1:10">
      <c r="A86" s="21">
        <v>44330</v>
      </c>
      <c r="B86" s="22">
        <v>44330.573151736113</v>
      </c>
      <c r="C86">
        <v>1</v>
      </c>
      <c r="D86" t="str">
        <f t="shared" si="2"/>
        <v>ETF</v>
      </c>
      <c r="E86" t="s">
        <v>102</v>
      </c>
      <c r="F86" t="s">
        <v>102</v>
      </c>
      <c r="G86" t="s">
        <v>557</v>
      </c>
      <c r="H86">
        <v>20.85</v>
      </c>
      <c r="I86">
        <v>20.9</v>
      </c>
      <c r="J86" s="35" t="str">
        <f ca="1">"INSERT INTO ETFValue (DataDate, TimeCategory, ProductType, ProductLink, ProductCode, ProductName, NAV, Price, RecTime) VALUES ("&amp;"'"&amp;TEXT(A86,"yyyy/m/dd")&amp;"','"&amp; C86&amp;"', '"&amp;D86&amp;"', '"&amp;E86&amp;"','"&amp;F86&amp;"','"&amp;G86&amp;"','"&amp;ROUND(H86,4)&amp;"','"&amp;I86&amp;"','"&amp;TEXT($P$2,"hh:mm:ss")&amp;"')"</f>
        <v>INSERT INTO ETFValue (DataDate, TimeCategory, ProductType, ProductLink, ProductCode, ProductName, NAV, Price, RecTime) VALUES ('2021/5/14','1', 'ETF', '00702','00702','國泰標普低波高息','20.85','20.9','15:15:01')</v>
      </c>
    </row>
    <row r="87" spans="1:10">
      <c r="A87" s="21">
        <v>44330</v>
      </c>
      <c r="B87" s="22">
        <v>44330.573151736113</v>
      </c>
      <c r="C87">
        <v>1</v>
      </c>
      <c r="D87" t="str">
        <f t="shared" si="2"/>
        <v>ETF</v>
      </c>
      <c r="E87" t="s">
        <v>103</v>
      </c>
      <c r="F87" t="s">
        <v>103</v>
      </c>
      <c r="G87" t="s">
        <v>558</v>
      </c>
      <c r="H87">
        <v>23.48</v>
      </c>
      <c r="I87">
        <v>23.43</v>
      </c>
      <c r="J87" s="35" t="str">
        <f t="shared" ca="1" si="3"/>
        <v>INSERT INTO ETFValue (DataDate, TimeCategory, ProductType, ProductLink, ProductCode, ProductName, NAV, Price, RecTime) VALUES ('2021/5/14','1', 'ETF', '00703','00703','台新MSCI中國','23.48','23.43','15:15:01')</v>
      </c>
    </row>
    <row r="88" spans="1:10">
      <c r="A88" s="21">
        <v>44330</v>
      </c>
      <c r="B88" s="22">
        <v>44330.573151736113</v>
      </c>
      <c r="C88">
        <v>1</v>
      </c>
      <c r="D88" t="str">
        <f t="shared" si="2"/>
        <v>ETF</v>
      </c>
      <c r="E88" t="s">
        <v>104</v>
      </c>
      <c r="F88" t="s">
        <v>104</v>
      </c>
      <c r="G88" t="s">
        <v>2520</v>
      </c>
      <c r="H88">
        <v>16.168685497987546</v>
      </c>
      <c r="I88">
        <v>16.16</v>
      </c>
      <c r="J88" s="35" t="str">
        <f t="shared" ca="1" si="3"/>
        <v>INSERT INTO ETFValue (DataDate, TimeCategory, ProductType, ProductLink, ProductCode, ProductName, NAV, Price, RecTime) VALUES ('2021/5/14','1', 'ETF', '00706L','00706L','期元大S&amp;P日圓正2','16.1687','16.16','15:15:01')</v>
      </c>
    </row>
    <row r="89" spans="1:10">
      <c r="A89" s="21">
        <v>44330</v>
      </c>
      <c r="B89" s="22">
        <v>44330.573151736113</v>
      </c>
      <c r="C89">
        <v>1</v>
      </c>
      <c r="D89" t="str">
        <f t="shared" si="2"/>
        <v>ETF</v>
      </c>
      <c r="E89" t="s">
        <v>105</v>
      </c>
      <c r="F89" t="s">
        <v>105</v>
      </c>
      <c r="G89" t="s">
        <v>2521</v>
      </c>
      <c r="H89">
        <v>19.827397678339821</v>
      </c>
      <c r="I89">
        <v>19.73</v>
      </c>
      <c r="J89" s="35" t="str">
        <f t="shared" ca="1" si="3"/>
        <v>INSERT INTO ETFValue (DataDate, TimeCategory, ProductType, ProductLink, ProductCode, ProductName, NAV, Price, RecTime) VALUES ('2021/5/14','1', 'ETF', '00707R','00707R','期元大S&amp;P日圓反1','19.8274','19.73','15:15:01')</v>
      </c>
    </row>
    <row r="90" spans="1:10">
      <c r="A90" s="21">
        <v>44330</v>
      </c>
      <c r="B90" s="22">
        <v>44330.573151736113</v>
      </c>
      <c r="C90">
        <v>1</v>
      </c>
      <c r="D90" t="str">
        <f t="shared" si="2"/>
        <v>ETF</v>
      </c>
      <c r="E90" t="s">
        <v>106</v>
      </c>
      <c r="F90" t="s">
        <v>106</v>
      </c>
      <c r="G90" t="s">
        <v>2522</v>
      </c>
      <c r="H90">
        <v>27.380703947235585</v>
      </c>
      <c r="I90">
        <v>27.32</v>
      </c>
      <c r="J90" s="35" t="str">
        <f t="shared" ca="1" si="3"/>
        <v>INSERT INTO ETFValue (DataDate, TimeCategory, ProductType, ProductLink, ProductCode, ProductName, NAV, Price, RecTime) VALUES ('2021/5/14','1', 'ETF', '00708L','00708L','期元大S&amp;P黃金正2','27.3807','27.32','15:15:01')</v>
      </c>
    </row>
    <row r="91" spans="1:10">
      <c r="A91" s="21">
        <v>44330</v>
      </c>
      <c r="B91" s="22">
        <v>44330.573151736113</v>
      </c>
      <c r="C91">
        <v>1</v>
      </c>
      <c r="D91" t="str">
        <f t="shared" si="2"/>
        <v>ETF</v>
      </c>
      <c r="E91" t="s">
        <v>107</v>
      </c>
      <c r="F91" t="s">
        <v>107</v>
      </c>
      <c r="G91" t="s">
        <v>412</v>
      </c>
      <c r="H91">
        <v>23.21</v>
      </c>
      <c r="I91">
        <v>23.37</v>
      </c>
      <c r="J91" s="35" t="str">
        <f t="shared" ca="1" si="3"/>
        <v>INSERT INTO ETFValue (DataDate, TimeCategory, ProductType, ProductLink, ProductCode, ProductName, NAV, Price, RecTime) VALUES ('2021/5/14','1', 'ETF', '00709','00709','富邦歐洲','23.21','23.37','15:15:01')</v>
      </c>
    </row>
    <row r="92" spans="1:10">
      <c r="A92" s="21">
        <v>44330</v>
      </c>
      <c r="B92" s="22">
        <v>44330.573151736113</v>
      </c>
      <c r="C92">
        <v>1</v>
      </c>
      <c r="D92" t="str">
        <f t="shared" si="2"/>
        <v>ETF</v>
      </c>
      <c r="E92" t="s">
        <v>108</v>
      </c>
      <c r="F92" t="s">
        <v>108</v>
      </c>
      <c r="G92" t="s">
        <v>562</v>
      </c>
      <c r="H92">
        <v>18.309999999999999</v>
      </c>
      <c r="I92">
        <v>18.46</v>
      </c>
      <c r="J92" s="35" t="str">
        <f t="shared" ca="1" si="3"/>
        <v>INSERT INTO ETFValue (DataDate, TimeCategory, ProductType, ProductLink, ProductCode, ProductName, NAV, Price, RecTime) VALUES ('2021/5/14','1', 'ETF', '00710B','00710B','FH彭博高收益債','18.31','18.46','15:15:01')</v>
      </c>
    </row>
    <row r="93" spans="1:10">
      <c r="A93" s="21">
        <v>44330</v>
      </c>
      <c r="B93" s="22">
        <v>44330.573151736113</v>
      </c>
      <c r="C93">
        <v>1</v>
      </c>
      <c r="D93" t="str">
        <f t="shared" si="2"/>
        <v>ETF</v>
      </c>
      <c r="E93" t="s">
        <v>109</v>
      </c>
      <c r="F93" t="s">
        <v>109</v>
      </c>
      <c r="G93" t="s">
        <v>563</v>
      </c>
      <c r="H93">
        <v>19.84</v>
      </c>
      <c r="I93">
        <v>19.93</v>
      </c>
      <c r="J93" s="35" t="str">
        <f t="shared" ca="1" si="3"/>
        <v>INSERT INTO ETFValue (DataDate, TimeCategory, ProductType, ProductLink, ProductCode, ProductName, NAV, Price, RecTime) VALUES ('2021/5/14','1', 'ETF', '00711B','00711B','FH彭博新興債','19.84','19.93','15:15:01')</v>
      </c>
    </row>
    <row r="94" spans="1:10">
      <c r="A94" s="21">
        <v>44330</v>
      </c>
      <c r="B94" s="22">
        <v>44330.573151736113</v>
      </c>
      <c r="C94">
        <v>1</v>
      </c>
      <c r="D94" t="str">
        <f t="shared" si="2"/>
        <v>ETF</v>
      </c>
      <c r="E94" t="s">
        <v>110</v>
      </c>
      <c r="F94" t="s">
        <v>110</v>
      </c>
      <c r="G94" t="s">
        <v>564</v>
      </c>
      <c r="H94">
        <v>13.93</v>
      </c>
      <c r="I94">
        <v>13.93</v>
      </c>
      <c r="J94" s="35" t="str">
        <f t="shared" ca="1" si="3"/>
        <v>INSERT INTO ETFValue (DataDate, TimeCategory, ProductType, ProductLink, ProductCode, ProductName, NAV, Price, RecTime) VALUES ('2021/5/14','1', 'ETF', '00712','00712','FH富時不動產','13.93','13.93','15:15:01')</v>
      </c>
    </row>
    <row r="95" spans="1:10">
      <c r="A95" s="21">
        <v>44330</v>
      </c>
      <c r="B95" s="22">
        <v>44330.573151736113</v>
      </c>
      <c r="C95">
        <v>1</v>
      </c>
      <c r="D95" t="str">
        <f t="shared" si="2"/>
        <v>ETF</v>
      </c>
      <c r="E95" t="s">
        <v>111</v>
      </c>
      <c r="F95" t="s">
        <v>111</v>
      </c>
      <c r="G95" t="s">
        <v>565</v>
      </c>
      <c r="H95">
        <v>40.630000000000003</v>
      </c>
      <c r="I95">
        <v>40.44</v>
      </c>
      <c r="J95" s="35" t="str">
        <f t="shared" ca="1" si="3"/>
        <v>INSERT INTO ETFValue (DataDate, TimeCategory, ProductType, ProductLink, ProductCode, ProductName, NAV, Price, RecTime) VALUES ('2021/5/14','1', 'ETF', '00713','00713','元大台灣高息低波','40.63','40.44','15:15:01')</v>
      </c>
    </row>
    <row r="96" spans="1:10">
      <c r="A96" s="21">
        <v>44330</v>
      </c>
      <c r="B96" s="22">
        <v>44330.573151736113</v>
      </c>
      <c r="C96">
        <v>1</v>
      </c>
      <c r="D96" t="str">
        <f t="shared" si="2"/>
        <v>ETF</v>
      </c>
      <c r="E96" t="s">
        <v>112</v>
      </c>
      <c r="F96" t="s">
        <v>112</v>
      </c>
      <c r="G96" t="s">
        <v>566</v>
      </c>
      <c r="H96">
        <v>20.63</v>
      </c>
      <c r="I96">
        <v>20.62</v>
      </c>
      <c r="J96" s="35" t="str">
        <f t="shared" ca="1" si="3"/>
        <v>INSERT INTO ETFValue (DataDate, TimeCategory, ProductType, ProductLink, ProductCode, ProductName, NAV, Price, RecTime) VALUES ('2021/5/14','1', 'ETF', '00714','00714','群益道瓊美國地產','20.63','20.62','15:15:01')</v>
      </c>
    </row>
    <row r="97" spans="1:10">
      <c r="A97" s="21">
        <v>44330</v>
      </c>
      <c r="B97" s="22">
        <v>44330.573151736113</v>
      </c>
      <c r="C97">
        <v>1</v>
      </c>
      <c r="D97" t="str">
        <f t="shared" si="2"/>
        <v>ETF</v>
      </c>
      <c r="E97" t="s">
        <v>113</v>
      </c>
      <c r="F97" t="s">
        <v>113</v>
      </c>
      <c r="G97" t="s">
        <v>2523</v>
      </c>
      <c r="H97">
        <v>7.2228712687977401</v>
      </c>
      <c r="I97">
        <v>7.16</v>
      </c>
      <c r="J97" s="35" t="str">
        <f t="shared" ca="1" si="3"/>
        <v>INSERT INTO ETFValue (DataDate, TimeCategory, ProductType, ProductLink, ProductCode, ProductName, NAV, Price, RecTime) VALUES ('2021/5/14','1', 'ETF', '00715L','00715L','期街口S&amp;P布蘭特油正2','7.2229','7.16','15:15:01')</v>
      </c>
    </row>
    <row r="98" spans="1:10">
      <c r="A98" s="21">
        <v>44330</v>
      </c>
      <c r="B98" s="22">
        <v>44330.573151736113</v>
      </c>
      <c r="C98">
        <v>1</v>
      </c>
      <c r="D98" t="str">
        <f t="shared" si="2"/>
        <v>ETF</v>
      </c>
      <c r="E98" t="s">
        <v>114</v>
      </c>
      <c r="F98" t="s">
        <v>114</v>
      </c>
      <c r="G98" t="s">
        <v>568</v>
      </c>
      <c r="H98">
        <v>16.64</v>
      </c>
      <c r="I98">
        <v>16.54</v>
      </c>
      <c r="J98" s="35" t="str">
        <f t="shared" ca="1" si="3"/>
        <v>INSERT INTO ETFValue (DataDate, TimeCategory, ProductType, ProductLink, ProductCode, ProductName, NAV, Price, RecTime) VALUES ('2021/5/14','1', 'ETF', '00717','00717','富邦美國特別股','16.64','16.54','15:15:01')</v>
      </c>
    </row>
    <row r="99" spans="1:10">
      <c r="A99" s="21">
        <v>44330</v>
      </c>
      <c r="B99" s="22">
        <v>44330.573151736113</v>
      </c>
      <c r="C99">
        <v>1</v>
      </c>
      <c r="D99" t="str">
        <f t="shared" si="2"/>
        <v>ETF</v>
      </c>
      <c r="E99" t="s">
        <v>115</v>
      </c>
      <c r="F99" t="s">
        <v>115</v>
      </c>
      <c r="G99" t="s">
        <v>569</v>
      </c>
      <c r="H99">
        <v>19.7119</v>
      </c>
      <c r="I99">
        <v>19.66</v>
      </c>
      <c r="J99" s="35" t="str">
        <f t="shared" ca="1" si="3"/>
        <v>INSERT INTO ETFValue (DataDate, TimeCategory, ProductType, ProductLink, ProductCode, ProductName, NAV, Price, RecTime) VALUES ('2021/5/14','1', 'ETF', '00718B','00718B','富邦中國政策債','19.7119','19.66','15:15:01')</v>
      </c>
    </row>
    <row r="100" spans="1:10">
      <c r="A100" s="21">
        <v>44330</v>
      </c>
      <c r="B100" s="22">
        <v>44330.573151736113</v>
      </c>
      <c r="C100">
        <v>1</v>
      </c>
      <c r="D100" t="str">
        <f t="shared" si="2"/>
        <v>ETF</v>
      </c>
      <c r="E100" t="s">
        <v>116</v>
      </c>
      <c r="F100" t="s">
        <v>116</v>
      </c>
      <c r="G100" t="s">
        <v>570</v>
      </c>
      <c r="H100">
        <v>30.142299999999999</v>
      </c>
      <c r="I100">
        <v>30.18</v>
      </c>
      <c r="J100" s="35" t="str">
        <f t="shared" ca="1" si="3"/>
        <v>INSERT INTO ETFValue (DataDate, TimeCategory, ProductType, ProductLink, ProductCode, ProductName, NAV, Price, RecTime) VALUES ('2021/5/14','1', 'ETF', '00719B','00719B','元大美債1-3','30.1423','30.18','15:15:01')</v>
      </c>
    </row>
    <row r="101" spans="1:10">
      <c r="A101" s="21">
        <v>44330</v>
      </c>
      <c r="B101" s="22">
        <v>44330.573151736113</v>
      </c>
      <c r="C101">
        <v>1</v>
      </c>
      <c r="D101" t="str">
        <f t="shared" si="2"/>
        <v>ETF</v>
      </c>
      <c r="E101" t="s">
        <v>117</v>
      </c>
      <c r="F101" t="s">
        <v>117</v>
      </c>
      <c r="G101" t="s">
        <v>571</v>
      </c>
      <c r="H101">
        <v>41.750300000000003</v>
      </c>
      <c r="I101">
        <v>41.85</v>
      </c>
      <c r="J101" s="35" t="str">
        <f t="shared" ca="1" si="3"/>
        <v>INSERT INTO ETFValue (DataDate, TimeCategory, ProductType, ProductLink, ProductCode, ProductName, NAV, Price, RecTime) VALUES ('2021/5/14','1', 'ETF', '00720B','00720B','元大投資級公司債','41.7503','41.85','15:15:01')</v>
      </c>
    </row>
    <row r="102" spans="1:10">
      <c r="A102" s="21">
        <v>44330</v>
      </c>
      <c r="B102" s="22">
        <v>44330.573151736113</v>
      </c>
      <c r="C102">
        <v>1</v>
      </c>
      <c r="D102" t="str">
        <f t="shared" si="2"/>
        <v>ETF</v>
      </c>
      <c r="E102" t="s">
        <v>118</v>
      </c>
      <c r="F102" t="s">
        <v>118</v>
      </c>
      <c r="G102" t="s">
        <v>572</v>
      </c>
      <c r="H102">
        <v>45.1449</v>
      </c>
      <c r="I102">
        <v>45.05</v>
      </c>
      <c r="J102" s="35" t="str">
        <f t="shared" ca="1" si="3"/>
        <v>INSERT INTO ETFValue (DataDate, TimeCategory, ProductType, ProductLink, ProductCode, ProductName, NAV, Price, RecTime) VALUES ('2021/5/14','1', 'ETF', '00721B','00721B','元大中國債3-5','45.1449','45.05','15:15:01')</v>
      </c>
    </row>
    <row r="103" spans="1:10">
      <c r="A103" s="21">
        <v>44330</v>
      </c>
      <c r="B103" s="22">
        <v>44330.573151736113</v>
      </c>
      <c r="C103">
        <v>1</v>
      </c>
      <c r="D103" t="str">
        <f t="shared" si="2"/>
        <v>ETF</v>
      </c>
      <c r="E103" t="s">
        <v>119</v>
      </c>
      <c r="F103" t="s">
        <v>119</v>
      </c>
      <c r="G103" t="s">
        <v>573</v>
      </c>
      <c r="H103">
        <v>44.129399999999997</v>
      </c>
      <c r="I103">
        <v>44.3</v>
      </c>
      <c r="J103" s="35" t="str">
        <f t="shared" ca="1" si="3"/>
        <v>INSERT INTO ETFValue (DataDate, TimeCategory, ProductType, ProductLink, ProductCode, ProductName, NAV, Price, RecTime) VALUES ('2021/5/14','1', 'ETF', '00722B','00722B','群益15年IG電信債','44.1294','44.3','15:15:01')</v>
      </c>
    </row>
    <row r="104" spans="1:10">
      <c r="A104" s="21">
        <v>44330</v>
      </c>
      <c r="B104" s="22">
        <v>44330.573151736113</v>
      </c>
      <c r="C104">
        <v>1</v>
      </c>
      <c r="D104" t="str">
        <f t="shared" si="2"/>
        <v>ETF</v>
      </c>
      <c r="E104" t="s">
        <v>120</v>
      </c>
      <c r="F104" t="s">
        <v>120</v>
      </c>
      <c r="G104" t="s">
        <v>574</v>
      </c>
      <c r="H104">
        <v>40.011000000000003</v>
      </c>
      <c r="I104">
        <v>40.22</v>
      </c>
      <c r="J104" s="35" t="str">
        <f t="shared" ca="1" si="3"/>
        <v>INSERT INTO ETFValue (DataDate, TimeCategory, ProductType, ProductLink, ProductCode, ProductName, NAV, Price, RecTime) VALUES ('2021/5/14','1', 'ETF', '00723B','00723B','群益15年IG科技債','40.011','40.22','15:15:01')</v>
      </c>
    </row>
    <row r="105" spans="1:10">
      <c r="A105" s="21">
        <v>44330</v>
      </c>
      <c r="B105" s="22">
        <v>44330.573151736113</v>
      </c>
      <c r="C105">
        <v>1</v>
      </c>
      <c r="D105" t="str">
        <f t="shared" si="2"/>
        <v>ETF</v>
      </c>
      <c r="E105" t="s">
        <v>121</v>
      </c>
      <c r="F105" t="s">
        <v>121</v>
      </c>
      <c r="G105" t="s">
        <v>575</v>
      </c>
      <c r="H105">
        <v>40.094000000000001</v>
      </c>
      <c r="I105">
        <v>40.369999999999997</v>
      </c>
      <c r="J105" s="35" t="str">
        <f t="shared" ca="1" si="3"/>
        <v>INSERT INTO ETFValue (DataDate, TimeCategory, ProductType, ProductLink, ProductCode, ProductName, NAV, Price, RecTime) VALUES ('2021/5/14','1', 'ETF', '00724B','00724B','群益10年IG金融債','40.094','40.37','15:15:01')</v>
      </c>
    </row>
    <row r="106" spans="1:10">
      <c r="A106" s="21">
        <v>44330</v>
      </c>
      <c r="B106" s="22">
        <v>44330.573151736113</v>
      </c>
      <c r="C106">
        <v>1</v>
      </c>
      <c r="D106" t="str">
        <f t="shared" si="2"/>
        <v>ETF</v>
      </c>
      <c r="E106" t="s">
        <v>122</v>
      </c>
      <c r="F106" t="s">
        <v>122</v>
      </c>
      <c r="G106" t="s">
        <v>576</v>
      </c>
      <c r="H106">
        <v>42.2883</v>
      </c>
      <c r="I106">
        <v>42.3</v>
      </c>
      <c r="J106" s="35" t="str">
        <f t="shared" ca="1" si="3"/>
        <v>INSERT INTO ETFValue (DataDate, TimeCategory, ProductType, ProductLink, ProductCode, ProductName, NAV, Price, RecTime) VALUES ('2021/5/14','1', 'ETF', '00725B','00725B','國泰投資級公司債','42.2883','42.3','15:15:01')</v>
      </c>
    </row>
    <row r="107" spans="1:10">
      <c r="A107" s="21">
        <v>44330</v>
      </c>
      <c r="B107" s="22">
        <v>44330.573151736113</v>
      </c>
      <c r="C107">
        <v>1</v>
      </c>
      <c r="D107" t="str">
        <f t="shared" si="2"/>
        <v>ETF</v>
      </c>
      <c r="E107" t="s">
        <v>123</v>
      </c>
      <c r="F107" t="s">
        <v>123</v>
      </c>
      <c r="G107" t="s">
        <v>577</v>
      </c>
      <c r="H107">
        <v>41.314700000000002</v>
      </c>
      <c r="I107">
        <v>41.3</v>
      </c>
      <c r="J107" s="35" t="str">
        <f t="shared" ca="1" si="3"/>
        <v>INSERT INTO ETFValue (DataDate, TimeCategory, ProductType, ProductLink, ProductCode, ProductName, NAV, Price, RecTime) VALUES ('2021/5/14','1', 'ETF', '00726B','00726B','國泰5Y+新興債','41.3147','41.3','15:15:01')</v>
      </c>
    </row>
    <row r="108" spans="1:10">
      <c r="A108" s="21">
        <v>44330</v>
      </c>
      <c r="B108" s="22">
        <v>44330.573151736113</v>
      </c>
      <c r="C108">
        <v>1</v>
      </c>
      <c r="D108" t="str">
        <f t="shared" si="2"/>
        <v>ETF</v>
      </c>
      <c r="E108" t="s">
        <v>124</v>
      </c>
      <c r="F108" t="s">
        <v>124</v>
      </c>
      <c r="G108" t="s">
        <v>578</v>
      </c>
      <c r="H108">
        <v>38.2224</v>
      </c>
      <c r="I108">
        <v>38.35</v>
      </c>
      <c r="J108" s="35" t="str">
        <f t="shared" ca="1" si="3"/>
        <v>INSERT INTO ETFValue (DataDate, TimeCategory, ProductType, ProductLink, ProductCode, ProductName, NAV, Price, RecTime) VALUES ('2021/5/14','1', 'ETF', '00727B','00727B','國泰1-5Y高收債','38.2224','38.35','15:15:01')</v>
      </c>
    </row>
    <row r="109" spans="1:10">
      <c r="A109" s="21">
        <v>44330</v>
      </c>
      <c r="B109" s="22">
        <v>44330.573151736113</v>
      </c>
      <c r="C109">
        <v>1</v>
      </c>
      <c r="D109" t="str">
        <f t="shared" si="2"/>
        <v>ETF</v>
      </c>
      <c r="E109" t="s">
        <v>125</v>
      </c>
      <c r="F109" t="s">
        <v>125</v>
      </c>
      <c r="G109" t="s">
        <v>579</v>
      </c>
      <c r="H109">
        <v>26.308330203306699</v>
      </c>
      <c r="I109">
        <v>26.45</v>
      </c>
      <c r="J109" s="35" t="str">
        <f t="shared" ca="1" si="3"/>
        <v>INSERT INTO ETFValue (DataDate, TimeCategory, ProductType, ProductLink, ProductCode, ProductName, NAV, Price, RecTime) VALUES ('2021/5/14','1', 'ETF', '00728','00728','第一金工業30','26.3083','26.45','15:15:01')</v>
      </c>
    </row>
    <row r="110" spans="1:10">
      <c r="A110" s="21">
        <v>44330</v>
      </c>
      <c r="B110" s="22">
        <v>44330.573151736113</v>
      </c>
      <c r="C110">
        <v>1</v>
      </c>
      <c r="D110" t="str">
        <f t="shared" si="2"/>
        <v>ETF</v>
      </c>
      <c r="E110" t="s">
        <v>126</v>
      </c>
      <c r="F110" t="s">
        <v>126</v>
      </c>
      <c r="G110" t="s">
        <v>580</v>
      </c>
      <c r="H110">
        <v>20.453148910820524</v>
      </c>
      <c r="I110">
        <v>20.399999999999999</v>
      </c>
      <c r="J110" s="35" t="str">
        <f t="shared" ca="1" si="3"/>
        <v>INSERT INTO ETFValue (DataDate, TimeCategory, ProductType, ProductLink, ProductCode, ProductName, NAV, Price, RecTime) VALUES ('2021/5/14','1', 'ETF', '00730','00730','富邦臺灣優質高息','20.4531','20.4','15:15:01')</v>
      </c>
    </row>
    <row r="111" spans="1:10">
      <c r="A111" s="21">
        <v>44330</v>
      </c>
      <c r="B111" s="22">
        <v>44330.573151736113</v>
      </c>
      <c r="C111">
        <v>1</v>
      </c>
      <c r="D111" t="str">
        <f t="shared" si="2"/>
        <v>ETF</v>
      </c>
      <c r="E111" t="s">
        <v>127</v>
      </c>
      <c r="F111" t="s">
        <v>127</v>
      </c>
      <c r="G111" t="s">
        <v>581</v>
      </c>
      <c r="H111">
        <v>55.701343161290325</v>
      </c>
      <c r="I111">
        <v>55.85</v>
      </c>
      <c r="J111" s="35" t="str">
        <f t="shared" ca="1" si="3"/>
        <v>INSERT INTO ETFValue (DataDate, TimeCategory, ProductType, ProductLink, ProductCode, ProductName, NAV, Price, RecTime) VALUES ('2021/5/14','1', 'ETF', '00731','00731','FH富時高息低波','55.7013','55.85','15:15:01')</v>
      </c>
    </row>
    <row r="112" spans="1:10">
      <c r="A112" s="21">
        <v>44330</v>
      </c>
      <c r="B112" s="22">
        <v>44330.573151736113</v>
      </c>
      <c r="C112">
        <v>1</v>
      </c>
      <c r="D112" t="str">
        <f t="shared" si="2"/>
        <v>ETF</v>
      </c>
      <c r="E112" t="s">
        <v>128</v>
      </c>
      <c r="F112" t="s">
        <v>128</v>
      </c>
      <c r="G112" t="s">
        <v>582</v>
      </c>
      <c r="H112">
        <v>39.711799999999997</v>
      </c>
      <c r="I112">
        <v>39.69</v>
      </c>
      <c r="J112" s="35" t="str">
        <f t="shared" ca="1" si="3"/>
        <v>INSERT INTO ETFValue (DataDate, TimeCategory, ProductType, ProductLink, ProductCode, ProductName, NAV, Price, RecTime) VALUES ('2021/5/14','1', 'ETF', '00732','00732','國泰RMB短期報酬','39.7118','39.69','15:15:01')</v>
      </c>
    </row>
    <row r="113" spans="1:10">
      <c r="A113" s="21">
        <v>44330</v>
      </c>
      <c r="B113" s="22">
        <v>44330.573151736113</v>
      </c>
      <c r="C113">
        <v>1</v>
      </c>
      <c r="D113" t="str">
        <f t="shared" si="2"/>
        <v>ETF</v>
      </c>
      <c r="E113" t="s">
        <v>129</v>
      </c>
      <c r="F113" t="s">
        <v>129</v>
      </c>
      <c r="G113" t="s">
        <v>583</v>
      </c>
      <c r="H113">
        <v>37.486031927553682</v>
      </c>
      <c r="I113">
        <v>37.5</v>
      </c>
      <c r="J113" s="35" t="str">
        <f t="shared" ca="1" si="3"/>
        <v>INSERT INTO ETFValue (DataDate, TimeCategory, ProductType, ProductLink, ProductCode, ProductName, NAV, Price, RecTime) VALUES ('2021/5/14','1', 'ETF', '00733','00733','富邦臺灣中小','37.486','37.5','15:15:01')</v>
      </c>
    </row>
    <row r="114" spans="1:10">
      <c r="A114" s="21">
        <v>44330</v>
      </c>
      <c r="B114" s="22">
        <v>44330.573151736113</v>
      </c>
      <c r="C114">
        <v>1</v>
      </c>
      <c r="D114" t="str">
        <f t="shared" si="2"/>
        <v>ETF</v>
      </c>
      <c r="E114" t="s">
        <v>130</v>
      </c>
      <c r="F114" t="s">
        <v>130</v>
      </c>
      <c r="G114" t="s">
        <v>584</v>
      </c>
      <c r="H114">
        <v>19.29</v>
      </c>
      <c r="I114">
        <v>19.21</v>
      </c>
      <c r="J114" s="35" t="str">
        <f t="shared" ca="1" si="3"/>
        <v>INSERT INTO ETFValue (DataDate, TimeCategory, ProductType, ProductLink, ProductCode, ProductName, NAV, Price, RecTime) VALUES ('2021/5/14','1', 'ETF', '00734B','00734B','台新JPM新興債','19.29','19.21','15:15:01')</v>
      </c>
    </row>
    <row r="115" spans="1:10">
      <c r="A115" s="21">
        <v>44330</v>
      </c>
      <c r="B115" s="22">
        <v>44330.573151736113</v>
      </c>
      <c r="C115">
        <v>1</v>
      </c>
      <c r="D115" t="str">
        <f t="shared" si="2"/>
        <v>ETF</v>
      </c>
      <c r="E115" t="s">
        <v>131</v>
      </c>
      <c r="F115" t="s">
        <v>131</v>
      </c>
      <c r="G115" t="s">
        <v>585</v>
      </c>
      <c r="H115">
        <v>31.75</v>
      </c>
      <c r="I115">
        <v>31.69</v>
      </c>
      <c r="J115" s="35" t="str">
        <f t="shared" ca="1" si="3"/>
        <v>INSERT INTO ETFValue (DataDate, TimeCategory, ProductType, ProductLink, ProductCode, ProductName, NAV, Price, RecTime) VALUES ('2021/5/14','1', 'ETF', '00735','00735','國泰臺韓科技','31.75','31.69','15:15:01')</v>
      </c>
    </row>
    <row r="116" spans="1:10">
      <c r="A116" s="21">
        <v>44330</v>
      </c>
      <c r="B116" s="22">
        <v>44330.573151736113</v>
      </c>
      <c r="C116">
        <v>1</v>
      </c>
      <c r="D116" t="str">
        <f t="shared" si="2"/>
        <v>ETF</v>
      </c>
      <c r="E116" t="s">
        <v>132</v>
      </c>
      <c r="F116" t="s">
        <v>132</v>
      </c>
      <c r="G116" t="s">
        <v>586</v>
      </c>
      <c r="H116">
        <v>22.49</v>
      </c>
      <c r="I116">
        <v>22.58</v>
      </c>
      <c r="J116" s="35" t="str">
        <f t="shared" ca="1" si="3"/>
        <v>INSERT INTO ETFValue (DataDate, TimeCategory, ProductType, ProductLink, ProductCode, ProductName, NAV, Price, RecTime) VALUES ('2021/5/14','1', 'ETF', '00736','00736','國泰新興市場','22.49','22.58','15:15:01')</v>
      </c>
    </row>
    <row r="117" spans="1:10">
      <c r="A117" s="21">
        <v>44330</v>
      </c>
      <c r="B117" s="22">
        <v>44330.573151736113</v>
      </c>
      <c r="C117">
        <v>1</v>
      </c>
      <c r="D117" t="str">
        <f t="shared" si="2"/>
        <v>ETF</v>
      </c>
      <c r="E117" t="s">
        <v>133</v>
      </c>
      <c r="F117" t="s">
        <v>133</v>
      </c>
      <c r="G117" t="s">
        <v>587</v>
      </c>
      <c r="H117">
        <v>30.13</v>
      </c>
      <c r="I117">
        <v>30.27</v>
      </c>
      <c r="J117" s="35" t="str">
        <f t="shared" ca="1" si="3"/>
        <v>INSERT INTO ETFValue (DataDate, TimeCategory, ProductType, ProductLink, ProductCode, ProductName, NAV, Price, RecTime) VALUES ('2021/5/14','1', 'ETF', '00737','00737','國泰AI+ROBO','30.13','30.27','15:15:01')</v>
      </c>
    </row>
    <row r="118" spans="1:10">
      <c r="A118" s="21">
        <v>44330</v>
      </c>
      <c r="B118" s="22">
        <v>44330.573151736113</v>
      </c>
      <c r="C118">
        <v>1</v>
      </c>
      <c r="D118" t="str">
        <f t="shared" si="2"/>
        <v>ETF</v>
      </c>
      <c r="E118" t="s">
        <v>134</v>
      </c>
      <c r="F118" t="s">
        <v>134</v>
      </c>
      <c r="G118" t="s">
        <v>2524</v>
      </c>
      <c r="H118">
        <v>27.938256938083867</v>
      </c>
      <c r="I118">
        <v>27.91</v>
      </c>
      <c r="J118" s="35" t="str">
        <f t="shared" ca="1" si="3"/>
        <v>INSERT INTO ETFValue (DataDate, TimeCategory, ProductType, ProductLink, ProductCode, ProductName, NAV, Price, RecTime) VALUES ('2021/5/14','1', 'ETF', '00738U','00738U','期元大道瓊白銀','27.9383','27.91','15:15:01')</v>
      </c>
    </row>
    <row r="119" spans="1:10">
      <c r="A119" s="21">
        <v>44330</v>
      </c>
      <c r="B119" s="22">
        <v>44330.573151736113</v>
      </c>
      <c r="C119">
        <v>1</v>
      </c>
      <c r="D119" t="str">
        <f t="shared" si="2"/>
        <v>ETF</v>
      </c>
      <c r="E119" t="s">
        <v>135</v>
      </c>
      <c r="F119" t="s">
        <v>135</v>
      </c>
      <c r="G119" t="s">
        <v>589</v>
      </c>
      <c r="H119">
        <v>27.96</v>
      </c>
      <c r="I119">
        <v>27.77</v>
      </c>
      <c r="J119" s="35" t="str">
        <f t="shared" ca="1" si="3"/>
        <v>INSERT INTO ETFValue (DataDate, TimeCategory, ProductType, ProductLink, ProductCode, ProductName, NAV, Price, RecTime) VALUES ('2021/5/14','1', 'ETF', '00739','00739','元大MSCI A股','27.96','27.77','15:15:01')</v>
      </c>
    </row>
    <row r="120" spans="1:10">
      <c r="A120" s="21">
        <v>44330</v>
      </c>
      <c r="B120" s="22">
        <v>44330.573151736113</v>
      </c>
      <c r="C120">
        <v>1</v>
      </c>
      <c r="D120" t="str">
        <f t="shared" si="2"/>
        <v>ETF</v>
      </c>
      <c r="E120" t="s">
        <v>136</v>
      </c>
      <c r="F120" t="s">
        <v>136</v>
      </c>
      <c r="G120" t="s">
        <v>590</v>
      </c>
      <c r="H120">
        <v>45.239800000000002</v>
      </c>
      <c r="I120">
        <v>45.32</v>
      </c>
      <c r="J120" s="35" t="str">
        <f t="shared" ca="1" si="3"/>
        <v>INSERT INTO ETFValue (DataDate, TimeCategory, ProductType, ProductLink, ProductCode, ProductName, NAV, Price, RecTime) VALUES ('2021/5/14','1', 'ETF', '00740B','00740B','富邦全球投等債','45.2398','45.32','15:15:01')</v>
      </c>
    </row>
    <row r="121" spans="1:10">
      <c r="A121" s="21">
        <v>44330</v>
      </c>
      <c r="B121" s="22">
        <v>44330.573151736113</v>
      </c>
      <c r="C121">
        <v>1</v>
      </c>
      <c r="D121" t="str">
        <f t="shared" si="2"/>
        <v>ETF</v>
      </c>
      <c r="E121" t="s">
        <v>137</v>
      </c>
      <c r="F121" t="s">
        <v>137</v>
      </c>
      <c r="G121" t="s">
        <v>591</v>
      </c>
      <c r="H121">
        <v>37.336599999999997</v>
      </c>
      <c r="I121">
        <v>37.409999999999997</v>
      </c>
      <c r="J121" s="35" t="str">
        <f t="shared" ca="1" si="3"/>
        <v>INSERT INTO ETFValue (DataDate, TimeCategory, ProductType, ProductLink, ProductCode, ProductName, NAV, Price, RecTime) VALUES ('2021/5/14','1', 'ETF', '00741B','00741B','富邦全球高收債','37.3366','37.41','15:15:01')</v>
      </c>
    </row>
    <row r="122" spans="1:10">
      <c r="A122" s="21">
        <v>44330</v>
      </c>
      <c r="B122" s="22">
        <v>44330.573151736113</v>
      </c>
      <c r="C122">
        <v>1</v>
      </c>
      <c r="D122" t="str">
        <f t="shared" si="2"/>
        <v>ETF</v>
      </c>
      <c r="E122" t="s">
        <v>138</v>
      </c>
      <c r="F122" t="s">
        <v>138</v>
      </c>
      <c r="G122" t="s">
        <v>592</v>
      </c>
      <c r="H122">
        <v>21.73</v>
      </c>
      <c r="I122">
        <v>21.75</v>
      </c>
      <c r="J122" s="35" t="str">
        <f t="shared" ca="1" si="3"/>
        <v>INSERT INTO ETFValue (DataDate, TimeCategory, ProductType, ProductLink, ProductCode, ProductName, NAV, Price, RecTime) VALUES ('2021/5/14','1', 'ETF', '00742','00742','新光內需收益','21.73','21.75','15:15:01')</v>
      </c>
    </row>
    <row r="123" spans="1:10">
      <c r="A123" s="21">
        <v>44330</v>
      </c>
      <c r="B123" s="22">
        <v>44330.573151736113</v>
      </c>
      <c r="C123">
        <v>1</v>
      </c>
      <c r="D123" t="str">
        <f t="shared" si="2"/>
        <v>ETF</v>
      </c>
      <c r="E123" t="s">
        <v>139</v>
      </c>
      <c r="F123" t="s">
        <v>139</v>
      </c>
      <c r="G123" t="s">
        <v>593</v>
      </c>
      <c r="H123">
        <v>29.17</v>
      </c>
      <c r="I123">
        <v>29.05</v>
      </c>
      <c r="J123" s="35" t="str">
        <f t="shared" ca="1" si="3"/>
        <v>INSERT INTO ETFValue (DataDate, TimeCategory, ProductType, ProductLink, ProductCode, ProductName, NAV, Price, RecTime) VALUES ('2021/5/14','1', 'ETF', '00743','00743','國泰中國A150','29.17','29.05','15:15:01')</v>
      </c>
    </row>
    <row r="124" spans="1:10">
      <c r="A124" s="21">
        <v>44330</v>
      </c>
      <c r="B124" s="22">
        <v>44330.573151736113</v>
      </c>
      <c r="C124">
        <v>1</v>
      </c>
      <c r="D124" t="str">
        <f t="shared" si="2"/>
        <v>ETF</v>
      </c>
      <c r="E124" t="s">
        <v>140</v>
      </c>
      <c r="F124" t="s">
        <v>140</v>
      </c>
      <c r="G124" t="s">
        <v>594</v>
      </c>
      <c r="H124">
        <v>41.689900000000002</v>
      </c>
      <c r="I124">
        <v>41.5</v>
      </c>
      <c r="J124" s="35" t="str">
        <f t="shared" ca="1" si="3"/>
        <v>INSERT INTO ETFValue (DataDate, TimeCategory, ProductType, ProductLink, ProductCode, ProductName, NAV, Price, RecTime) VALUES ('2021/5/14','1', 'ETF', '00744B','00744B','國泰中國政金債5+','41.6899','41.5','15:15:01')</v>
      </c>
    </row>
    <row r="125" spans="1:10">
      <c r="A125" s="21">
        <v>44330</v>
      </c>
      <c r="B125" s="22">
        <v>44330.573151736113</v>
      </c>
      <c r="C125">
        <v>1</v>
      </c>
      <c r="D125" t="str">
        <f t="shared" si="2"/>
        <v>ETF</v>
      </c>
      <c r="E125" t="s">
        <v>141</v>
      </c>
      <c r="F125" t="s">
        <v>141</v>
      </c>
      <c r="G125" t="s">
        <v>595</v>
      </c>
      <c r="H125">
        <v>40.709699999999998</v>
      </c>
      <c r="I125">
        <v>40.630000000000003</v>
      </c>
      <c r="J125" s="35" t="str">
        <f t="shared" ca="1" si="3"/>
        <v>INSERT INTO ETFValue (DataDate, TimeCategory, ProductType, ProductLink, ProductCode, ProductName, NAV, Price, RecTime) VALUES ('2021/5/14','1', 'ETF', '00745B','00745B','富邦中政債0-1','40.7097','40.63','15:15:01')</v>
      </c>
    </row>
    <row r="126" spans="1:10">
      <c r="A126" s="21">
        <v>44330</v>
      </c>
      <c r="B126" s="22">
        <v>44330.573151736113</v>
      </c>
      <c r="C126">
        <v>1</v>
      </c>
      <c r="D126" t="str">
        <f t="shared" si="2"/>
        <v>ETF</v>
      </c>
      <c r="E126" t="s">
        <v>142</v>
      </c>
      <c r="F126" t="s">
        <v>142</v>
      </c>
      <c r="G126" t="s">
        <v>596</v>
      </c>
      <c r="H126">
        <v>42.290300000000002</v>
      </c>
      <c r="I126">
        <v>42.55</v>
      </c>
      <c r="J126" s="35" t="str">
        <f t="shared" ca="1" si="3"/>
        <v>INSERT INTO ETFValue (DataDate, TimeCategory, ProductType, ProductLink, ProductCode, ProductName, NAV, Price, RecTime) VALUES ('2021/5/14','1', 'ETF', '00746B','00746B','富邦A級公司債','42.2903','42.55','15:15:01')</v>
      </c>
    </row>
    <row r="127" spans="1:10">
      <c r="A127" s="21">
        <v>44330</v>
      </c>
      <c r="B127" s="22">
        <v>44330.573151736113</v>
      </c>
      <c r="C127">
        <v>1</v>
      </c>
      <c r="D127" t="str">
        <f t="shared" si="2"/>
        <v>ETF</v>
      </c>
      <c r="E127" t="s">
        <v>143</v>
      </c>
      <c r="F127" t="s">
        <v>143</v>
      </c>
      <c r="G127" t="s">
        <v>597</v>
      </c>
      <c r="H127">
        <v>50.752400000000002</v>
      </c>
      <c r="I127">
        <v>50.75</v>
      </c>
      <c r="J127" s="35" t="str">
        <f t="shared" ca="1" si="3"/>
        <v>INSERT INTO ETFValue (DataDate, TimeCategory, ProductType, ProductLink, ProductCode, ProductName, NAV, Price, RecTime) VALUES ('2021/5/14','1', 'ETF', '00747B','00747B','FH中國政策債','50.7524','50.75','15:15:01')</v>
      </c>
    </row>
    <row r="128" spans="1:10">
      <c r="A128" s="21">
        <v>44330</v>
      </c>
      <c r="B128" s="22">
        <v>44330.573151736113</v>
      </c>
      <c r="C128">
        <v>1</v>
      </c>
      <c r="D128" t="str">
        <f t="shared" si="2"/>
        <v>ETF</v>
      </c>
      <c r="E128" t="s">
        <v>144</v>
      </c>
      <c r="F128" t="s">
        <v>144</v>
      </c>
      <c r="G128" t="s">
        <v>598</v>
      </c>
      <c r="H128">
        <v>41.54</v>
      </c>
      <c r="I128">
        <v>41.63</v>
      </c>
      <c r="J128" s="35" t="str">
        <f t="shared" ca="1" si="3"/>
        <v>INSERT INTO ETFValue (DataDate, TimeCategory, ProductType, ProductLink, ProductCode, ProductName, NAV, Price, RecTime) VALUES ('2021/5/14','1', 'ETF', '00748B','00748B','凱基中國債3-10','41.54','41.63','15:15:01')</v>
      </c>
    </row>
    <row r="129" spans="1:10">
      <c r="A129" s="21">
        <v>44330</v>
      </c>
      <c r="B129" s="22">
        <v>44330.573151736113</v>
      </c>
      <c r="C129">
        <v>1</v>
      </c>
      <c r="D129" t="str">
        <f t="shared" si="2"/>
        <v>ETF</v>
      </c>
      <c r="E129" t="s">
        <v>145</v>
      </c>
      <c r="F129" t="s">
        <v>145</v>
      </c>
      <c r="G129" t="s">
        <v>599</v>
      </c>
      <c r="H129">
        <v>41.52</v>
      </c>
      <c r="I129">
        <v>41.68</v>
      </c>
      <c r="J129" s="35" t="str">
        <f t="shared" ca="1" si="3"/>
        <v>INSERT INTO ETFValue (DataDate, TimeCategory, ProductType, ProductLink, ProductCode, ProductName, NAV, Price, RecTime) VALUES ('2021/5/14','1', 'ETF', '00749B','00749B','凱基新興債10+','41.52','41.68','15:15:01')</v>
      </c>
    </row>
    <row r="130" spans="1:10">
      <c r="A130" s="21">
        <v>44330</v>
      </c>
      <c r="B130" s="22">
        <v>44330.573151736113</v>
      </c>
      <c r="C130">
        <v>1</v>
      </c>
      <c r="D130" t="str">
        <f t="shared" si="2"/>
        <v>ETF</v>
      </c>
      <c r="E130" t="s">
        <v>146</v>
      </c>
      <c r="F130" t="s">
        <v>146</v>
      </c>
      <c r="G130" t="s">
        <v>600</v>
      </c>
      <c r="H130">
        <v>41.2</v>
      </c>
      <c r="I130">
        <v>41.29</v>
      </c>
      <c r="J130" s="35" t="str">
        <f t="shared" ca="1" si="3"/>
        <v>INSERT INTO ETFValue (DataDate, TimeCategory, ProductType, ProductLink, ProductCode, ProductName, NAV, Price, RecTime) VALUES ('2021/5/14','1', 'ETF', '00750B','00750B','凱基科技債10+','41.2','41.29','15:15:01')</v>
      </c>
    </row>
    <row r="131" spans="1:10">
      <c r="A131" s="21">
        <v>44330</v>
      </c>
      <c r="B131" s="22">
        <v>44330.573151736113</v>
      </c>
      <c r="C131">
        <v>1</v>
      </c>
      <c r="D131" t="str">
        <f t="shared" si="2"/>
        <v>ETF</v>
      </c>
      <c r="E131" t="s">
        <v>147</v>
      </c>
      <c r="F131" t="s">
        <v>147</v>
      </c>
      <c r="G131" t="s">
        <v>601</v>
      </c>
      <c r="H131">
        <v>42.395099999999999</v>
      </c>
      <c r="I131">
        <v>42.46</v>
      </c>
      <c r="J131" s="35" t="str">
        <f t="shared" ca="1" si="3"/>
        <v>INSERT INTO ETFValue (DataDate, TimeCategory, ProductType, ProductLink, ProductCode, ProductName, NAV, Price, RecTime) VALUES ('2021/5/14','1', 'ETF', '00751B','00751B','元大AAA至A公司債','42.3951','42.46','15:15:01')</v>
      </c>
    </row>
    <row r="132" spans="1:10">
      <c r="A132" s="21">
        <v>44330</v>
      </c>
      <c r="B132" s="22">
        <v>44330.573151736113</v>
      </c>
      <c r="C132">
        <v>1</v>
      </c>
      <c r="D132" t="str">
        <f t="shared" ref="D132:D195" si="4">IF(LEFT(E132,2)="00","ETF",IF(LEFT(G132,2)="FX","FX","Futures"))</f>
        <v>ETF</v>
      </c>
      <c r="E132" t="s">
        <v>148</v>
      </c>
      <c r="F132" t="s">
        <v>148</v>
      </c>
      <c r="G132" t="s">
        <v>602</v>
      </c>
      <c r="H132">
        <v>27.39</v>
      </c>
      <c r="I132">
        <v>27.52</v>
      </c>
      <c r="J132" s="35" t="str">
        <f t="shared" ref="J132:J195" ca="1" si="5">"INSERT INTO ETFValue (DataDate, TimeCategory, ProductType, ProductLink, ProductCode, ProductName, NAV, Price, RecTime) VALUES ("&amp;"'"&amp;TEXT(A132,"yyyy/m/dd")&amp;"','"&amp; C132&amp;"', '"&amp;D132&amp;"', '"&amp;E132&amp;"','"&amp;F132&amp;"','"&amp;G132&amp;"','"&amp;ROUND(H132,4)&amp;"','"&amp;I132&amp;"','"&amp;TEXT($P$2,"hh:mm:ss")&amp;"')"</f>
        <v>INSERT INTO ETFValue (DataDate, TimeCategory, ProductType, ProductLink, ProductCode, ProductName, NAV, Price, RecTime) VALUES ('2021/5/14','1', 'ETF', '00752','00752','中信中國50','27.39','27.52','15:15:01')</v>
      </c>
    </row>
    <row r="133" spans="1:10">
      <c r="A133" s="21">
        <v>44330</v>
      </c>
      <c r="B133" s="22">
        <v>44330.573151736113</v>
      </c>
      <c r="C133">
        <v>1</v>
      </c>
      <c r="D133" t="str">
        <f t="shared" si="4"/>
        <v>ETF</v>
      </c>
      <c r="E133" t="s">
        <v>149</v>
      </c>
      <c r="F133" t="s">
        <v>149</v>
      </c>
      <c r="G133" t="s">
        <v>603</v>
      </c>
      <c r="H133">
        <v>33.376171697967727</v>
      </c>
      <c r="I133">
        <v>33.36</v>
      </c>
      <c r="J133" s="35" t="str">
        <f t="shared" ca="1" si="5"/>
        <v>INSERT INTO ETFValue (DataDate, TimeCategory, ProductType, ProductLink, ProductCode, ProductName, NAV, Price, RecTime) VALUES ('2021/5/14','1', 'ETF', '00753L','00753L','中信中國50正2','33.3762','33.36','15:15:01')</v>
      </c>
    </row>
    <row r="134" spans="1:10">
      <c r="A134" s="21">
        <v>44330</v>
      </c>
      <c r="B134" s="22">
        <v>44330.573151736113</v>
      </c>
      <c r="C134">
        <v>1</v>
      </c>
      <c r="D134" t="str">
        <f t="shared" si="4"/>
        <v>ETF</v>
      </c>
      <c r="E134" t="s">
        <v>150</v>
      </c>
      <c r="F134" t="s">
        <v>150</v>
      </c>
      <c r="G134" t="s">
        <v>604</v>
      </c>
      <c r="H134">
        <v>43.697299999999998</v>
      </c>
      <c r="I134">
        <v>43.85</v>
      </c>
      <c r="J134" s="35" t="str">
        <f t="shared" ca="1" si="5"/>
        <v>INSERT INTO ETFValue (DataDate, TimeCategory, ProductType, ProductLink, ProductCode, ProductName, NAV, Price, RecTime) VALUES ('2021/5/14','1', 'ETF', '00754B','00754B','群益AAA-AA公司債','43.6973','43.85','15:15:01')</v>
      </c>
    </row>
    <row r="135" spans="1:10">
      <c r="A135" s="21">
        <v>44330</v>
      </c>
      <c r="B135" s="22">
        <v>44330.573151736113</v>
      </c>
      <c r="C135">
        <v>1</v>
      </c>
      <c r="D135" t="str">
        <f t="shared" si="4"/>
        <v>ETF</v>
      </c>
      <c r="E135" t="s">
        <v>151</v>
      </c>
      <c r="F135" t="s">
        <v>151</v>
      </c>
      <c r="G135" t="s">
        <v>605</v>
      </c>
      <c r="H135">
        <v>41.901499999999999</v>
      </c>
      <c r="I135">
        <v>42.15</v>
      </c>
      <c r="J135" s="35" t="str">
        <f t="shared" ca="1" si="5"/>
        <v>INSERT INTO ETFValue (DataDate, TimeCategory, ProductType, ProductLink, ProductCode, ProductName, NAV, Price, RecTime) VALUES ('2021/5/14','1', 'ETF', '00755B','00755B','群益15年IG公用債','41.9015','42.15','15:15:01')</v>
      </c>
    </row>
    <row r="136" spans="1:10">
      <c r="A136" s="21">
        <v>44330</v>
      </c>
      <c r="B136" s="22">
        <v>44330.573151736113</v>
      </c>
      <c r="C136">
        <v>1</v>
      </c>
      <c r="D136" t="str">
        <f t="shared" si="4"/>
        <v>ETF</v>
      </c>
      <c r="E136" t="s">
        <v>152</v>
      </c>
      <c r="F136" t="s">
        <v>152</v>
      </c>
      <c r="G136" t="s">
        <v>606</v>
      </c>
      <c r="H136">
        <v>43.275199999999998</v>
      </c>
      <c r="I136">
        <v>43.55</v>
      </c>
      <c r="J136" s="35" t="str">
        <f t="shared" ca="1" si="5"/>
        <v>INSERT INTO ETFValue (DataDate, TimeCategory, ProductType, ProductLink, ProductCode, ProductName, NAV, Price, RecTime) VALUES ('2021/5/14','1', 'ETF', '00756B','00756B','群益15年EM主權債','43.2752','43.55','15:15:01')</v>
      </c>
    </row>
    <row r="137" spans="1:10">
      <c r="A137" s="21">
        <v>44330</v>
      </c>
      <c r="B137" s="22">
        <v>44330.573151736113</v>
      </c>
      <c r="C137">
        <v>1</v>
      </c>
      <c r="D137" t="str">
        <f t="shared" si="4"/>
        <v>ETF</v>
      </c>
      <c r="E137" t="s">
        <v>153</v>
      </c>
      <c r="F137" t="s">
        <v>153</v>
      </c>
      <c r="G137" t="s">
        <v>607</v>
      </c>
      <c r="H137">
        <v>42.74</v>
      </c>
      <c r="I137">
        <v>43.24</v>
      </c>
      <c r="J137" s="35" t="str">
        <f t="shared" ca="1" si="5"/>
        <v>INSERT INTO ETFValue (DataDate, TimeCategory, ProductType, ProductLink, ProductCode, ProductName, NAV, Price, RecTime) VALUES ('2021/5/14','1', 'ETF', '00757','00757','統一FANG+','42.74','43.24','15:15:01')</v>
      </c>
    </row>
    <row r="138" spans="1:10">
      <c r="A138" s="21">
        <v>44330</v>
      </c>
      <c r="B138" s="22">
        <v>44330.573151736113</v>
      </c>
      <c r="C138">
        <v>1</v>
      </c>
      <c r="D138" t="str">
        <f t="shared" si="4"/>
        <v>ETF</v>
      </c>
      <c r="E138" t="s">
        <v>154</v>
      </c>
      <c r="F138" t="s">
        <v>154</v>
      </c>
      <c r="G138" t="s">
        <v>608</v>
      </c>
      <c r="H138">
        <v>60</v>
      </c>
      <c r="I138">
        <v>60.15</v>
      </c>
      <c r="J138" s="35" t="str">
        <f t="shared" ca="1" si="5"/>
        <v>INSERT INTO ETFValue (DataDate, TimeCategory, ProductType, ProductLink, ProductCode, ProductName, NAV, Price, RecTime) VALUES ('2021/5/14','1', 'ETF', '00758B','00758B','FH能源債','60','60.15','15:15:01')</v>
      </c>
    </row>
    <row r="139" spans="1:10">
      <c r="A139" s="21">
        <v>44330</v>
      </c>
      <c r="B139" s="22">
        <v>44330.573151736113</v>
      </c>
      <c r="C139">
        <v>1</v>
      </c>
      <c r="D139" t="str">
        <f t="shared" si="4"/>
        <v>ETF</v>
      </c>
      <c r="E139" t="s">
        <v>155</v>
      </c>
      <c r="F139" t="s">
        <v>155</v>
      </c>
      <c r="G139" t="s">
        <v>609</v>
      </c>
      <c r="H139">
        <v>66.92</v>
      </c>
      <c r="I139">
        <v>67.05</v>
      </c>
      <c r="J139" s="35" t="str">
        <f t="shared" ca="1" si="5"/>
        <v>INSERT INTO ETFValue (DataDate, TimeCategory, ProductType, ProductLink, ProductCode, ProductName, NAV, Price, RecTime) VALUES ('2021/5/14','1', 'ETF', '00759B','00759B','FH製藥債','66.92','67.05','15:15:01')</v>
      </c>
    </row>
    <row r="140" spans="1:10">
      <c r="A140" s="21">
        <v>44330</v>
      </c>
      <c r="B140" s="22">
        <v>44330.573151736113</v>
      </c>
      <c r="C140">
        <v>1</v>
      </c>
      <c r="D140" t="str">
        <f t="shared" si="4"/>
        <v>ETF</v>
      </c>
      <c r="E140" t="s">
        <v>156</v>
      </c>
      <c r="F140" t="s">
        <v>156</v>
      </c>
      <c r="G140" t="s">
        <v>610</v>
      </c>
      <c r="H140">
        <v>63.83</v>
      </c>
      <c r="I140">
        <v>64.150000000000006</v>
      </c>
      <c r="J140" s="35" t="str">
        <f t="shared" ca="1" si="5"/>
        <v>INSERT INTO ETFValue (DataDate, TimeCategory, ProductType, ProductLink, ProductCode, ProductName, NAV, Price, RecTime) VALUES ('2021/5/14','1', 'ETF', '00760B','00760B','FH新興企業債','63.83','64.15','15:15:01')</v>
      </c>
    </row>
    <row r="141" spans="1:10">
      <c r="A141" s="21">
        <v>44330</v>
      </c>
      <c r="B141" s="22">
        <v>44330.573151736113</v>
      </c>
      <c r="C141">
        <v>1</v>
      </c>
      <c r="D141" t="str">
        <f t="shared" si="4"/>
        <v>ETF</v>
      </c>
      <c r="E141" t="s">
        <v>157</v>
      </c>
      <c r="F141" t="s">
        <v>157</v>
      </c>
      <c r="G141" t="s">
        <v>611</v>
      </c>
      <c r="H141">
        <v>43.531399999999998</v>
      </c>
      <c r="I141">
        <v>43.47</v>
      </c>
      <c r="J141" s="35" t="str">
        <f t="shared" ca="1" si="5"/>
        <v>INSERT INTO ETFValue (DataDate, TimeCategory, ProductType, ProductLink, ProductCode, ProductName, NAV, Price, RecTime) VALUES ('2021/5/14','1', 'ETF', '00761B','00761B','國泰A級公司債','43.5314','43.47','15:15:01')</v>
      </c>
    </row>
    <row r="142" spans="1:10">
      <c r="A142" s="21">
        <v>44330</v>
      </c>
      <c r="B142" s="22">
        <v>44330.573151736113</v>
      </c>
      <c r="C142">
        <v>1</v>
      </c>
      <c r="D142" t="str">
        <f t="shared" si="4"/>
        <v>ETF</v>
      </c>
      <c r="E142" t="s">
        <v>158</v>
      </c>
      <c r="F142" t="s">
        <v>158</v>
      </c>
      <c r="G142" t="s">
        <v>612</v>
      </c>
      <c r="H142">
        <v>34.72</v>
      </c>
      <c r="I142">
        <v>34.83</v>
      </c>
      <c r="J142" s="35" t="str">
        <f t="shared" ca="1" si="5"/>
        <v>INSERT INTO ETFValue (DataDate, TimeCategory, ProductType, ProductLink, ProductCode, ProductName, NAV, Price, RecTime) VALUES ('2021/5/14','1', 'ETF', '00762','00762','元大全球AI','34.72','34.83','15:15:01')</v>
      </c>
    </row>
    <row r="143" spans="1:10">
      <c r="A143" s="21">
        <v>44330</v>
      </c>
      <c r="B143" s="22">
        <v>44330.573151736113</v>
      </c>
      <c r="C143">
        <v>1</v>
      </c>
      <c r="D143" t="str">
        <f t="shared" si="4"/>
        <v>ETF</v>
      </c>
      <c r="E143" t="s">
        <v>159</v>
      </c>
      <c r="F143" t="s">
        <v>159</v>
      </c>
      <c r="G143" t="s">
        <v>2525</v>
      </c>
      <c r="H143">
        <v>30.167779446845714</v>
      </c>
      <c r="I143">
        <v>30.24</v>
      </c>
      <c r="J143" s="35" t="str">
        <f t="shared" ca="1" si="5"/>
        <v>INSERT INTO ETFValue (DataDate, TimeCategory, ProductType, ProductLink, ProductCode, ProductName, NAV, Price, RecTime) VALUES ('2021/5/14','1', 'ETF', '00763U','00763U','期街口道瓊銅','30.1678','30.24','15:15:01')</v>
      </c>
    </row>
    <row r="144" spans="1:10">
      <c r="A144" s="21">
        <v>44330</v>
      </c>
      <c r="B144" s="22">
        <v>44330.573151736113</v>
      </c>
      <c r="C144">
        <v>1</v>
      </c>
      <c r="D144" t="str">
        <f t="shared" si="4"/>
        <v>ETF</v>
      </c>
      <c r="E144" t="s">
        <v>160</v>
      </c>
      <c r="F144" t="s">
        <v>160</v>
      </c>
      <c r="G144" t="s">
        <v>614</v>
      </c>
      <c r="H144">
        <v>40.338099999999997</v>
      </c>
      <c r="I144">
        <v>40.299999999999997</v>
      </c>
      <c r="J144" s="35" t="str">
        <f t="shared" ca="1" si="5"/>
        <v>INSERT INTO ETFValue (DataDate, TimeCategory, ProductType, ProductLink, ProductCode, ProductName, NAV, Price, RecTime) VALUES ('2021/5/14','1', 'ETF', '00764B','00764B','群益25年美債','40.3381','40.3','15:15:01')</v>
      </c>
    </row>
    <row r="145" spans="1:10">
      <c r="A145" s="21">
        <v>44330</v>
      </c>
      <c r="B145" s="22">
        <v>44330.573151736113</v>
      </c>
      <c r="C145">
        <v>1</v>
      </c>
      <c r="D145" t="str">
        <f t="shared" si="4"/>
        <v>ETF</v>
      </c>
      <c r="E145" t="s">
        <v>161</v>
      </c>
      <c r="F145" t="s">
        <v>161</v>
      </c>
      <c r="G145" t="s">
        <v>615</v>
      </c>
      <c r="H145">
        <v>39.857900000000001</v>
      </c>
      <c r="I145">
        <v>39.97</v>
      </c>
      <c r="J145" s="35" t="str">
        <f t="shared" ca="1" si="5"/>
        <v>INSERT INTO ETFValue (DataDate, TimeCategory, ProductType, ProductLink, ProductCode, ProductName, NAV, Price, RecTime) VALUES ('2021/5/14','1', 'ETF', '00765B','00765B','群益中國政金債','39.8579','39.97','15:15:01')</v>
      </c>
    </row>
    <row r="146" spans="1:10">
      <c r="A146" s="21">
        <v>44330</v>
      </c>
      <c r="B146" s="22">
        <v>44330.573151736113</v>
      </c>
      <c r="C146">
        <v>1</v>
      </c>
      <c r="D146" t="str">
        <f t="shared" si="4"/>
        <v>ETF</v>
      </c>
      <c r="E146" t="s">
        <v>164</v>
      </c>
      <c r="F146" t="s">
        <v>164</v>
      </c>
      <c r="G146" t="s">
        <v>618</v>
      </c>
      <c r="H146">
        <v>64.384399999999999</v>
      </c>
      <c r="I146">
        <v>64.3</v>
      </c>
      <c r="J146" s="35" t="str">
        <f t="shared" ca="1" si="5"/>
        <v>INSERT INTO ETFValue (DataDate, TimeCategory, ProductType, ProductLink, ProductCode, ProductName, NAV, Price, RecTime) VALUES ('2021/5/14','1', 'ETF', '00768B','00768B','FH20年美債','64.3844','64.3','15:15:01')</v>
      </c>
    </row>
    <row r="147" spans="1:10">
      <c r="A147" s="21">
        <v>44330</v>
      </c>
      <c r="B147" s="22">
        <v>44330.573151736113</v>
      </c>
      <c r="C147">
        <v>1</v>
      </c>
      <c r="D147" t="str">
        <f t="shared" si="4"/>
        <v>ETF</v>
      </c>
      <c r="E147" t="s">
        <v>166</v>
      </c>
      <c r="F147" t="s">
        <v>166</v>
      </c>
      <c r="G147" t="s">
        <v>620</v>
      </c>
      <c r="H147">
        <v>33.130000000000003</v>
      </c>
      <c r="I147">
        <v>33.340000000000003</v>
      </c>
      <c r="J147" s="35" t="str">
        <f t="shared" ca="1" si="5"/>
        <v>INSERT INTO ETFValue (DataDate, TimeCategory, ProductType, ProductLink, ProductCode, ProductName, NAV, Price, RecTime) VALUES ('2021/5/14','1', 'ETF', '00770','00770','國泰北美科技','33.13','33.34','15:15:01')</v>
      </c>
    </row>
    <row r="148" spans="1:10">
      <c r="A148" s="21">
        <v>44330</v>
      </c>
      <c r="B148" s="22">
        <v>44330.573151736113</v>
      </c>
      <c r="C148">
        <v>1</v>
      </c>
      <c r="D148" t="str">
        <f t="shared" si="4"/>
        <v>ETF</v>
      </c>
      <c r="E148" t="s">
        <v>167</v>
      </c>
      <c r="F148" t="s">
        <v>167</v>
      </c>
      <c r="G148" t="s">
        <v>621</v>
      </c>
      <c r="H148">
        <v>19.14</v>
      </c>
      <c r="I148">
        <v>19</v>
      </c>
      <c r="J148" s="35" t="str">
        <f t="shared" ca="1" si="5"/>
        <v>INSERT INTO ETFValue (DataDate, TimeCategory, ProductType, ProductLink, ProductCode, ProductName, NAV, Price, RecTime) VALUES ('2021/5/14','1', 'ETF', '00771','00771','元大US高息特別股','19.14','19','15:15:01')</v>
      </c>
    </row>
    <row r="149" spans="1:10">
      <c r="A149" s="21">
        <v>44330</v>
      </c>
      <c r="B149" s="22">
        <v>44330.573151736113</v>
      </c>
      <c r="C149">
        <v>1</v>
      </c>
      <c r="D149" t="str">
        <f t="shared" si="4"/>
        <v>ETF</v>
      </c>
      <c r="E149" t="s">
        <v>168</v>
      </c>
      <c r="F149" t="s">
        <v>168</v>
      </c>
      <c r="G149" t="s">
        <v>622</v>
      </c>
      <c r="H149">
        <v>42.301400000000001</v>
      </c>
      <c r="I149" s="30">
        <v>42.25</v>
      </c>
      <c r="J149" s="35" t="str">
        <f t="shared" ca="1" si="5"/>
        <v>INSERT INTO ETFValue (DataDate, TimeCategory, ProductType, ProductLink, ProductCode, ProductName, NAV, Price, RecTime) VALUES ('2021/5/14','1', 'ETF', '00772B','00772B','中信高評級公司債','42.3014','42.25','15:15:01')</v>
      </c>
    </row>
    <row r="150" spans="1:10">
      <c r="A150" s="21">
        <v>44330</v>
      </c>
      <c r="B150" s="22">
        <v>44330.573151736113</v>
      </c>
      <c r="C150">
        <v>1</v>
      </c>
      <c r="D150" t="str">
        <f t="shared" si="4"/>
        <v>ETF</v>
      </c>
      <c r="E150" t="s">
        <v>169</v>
      </c>
      <c r="F150" t="s">
        <v>169</v>
      </c>
      <c r="G150" t="s">
        <v>623</v>
      </c>
      <c r="H150">
        <v>43.008200000000002</v>
      </c>
      <c r="I150">
        <v>43.03</v>
      </c>
      <c r="J150" s="35" t="str">
        <f t="shared" ca="1" si="5"/>
        <v>INSERT INTO ETFValue (DataDate, TimeCategory, ProductType, ProductLink, ProductCode, ProductName, NAV, Price, RecTime) VALUES ('2021/5/14','1', 'ETF', '00773B','00773B','中信優先金融債','43.0082','43.03','15:15:01')</v>
      </c>
    </row>
    <row r="151" spans="1:10">
      <c r="A151" s="21">
        <v>44330</v>
      </c>
      <c r="B151" s="22">
        <v>44330.573151736113</v>
      </c>
      <c r="C151">
        <v>1</v>
      </c>
      <c r="D151" t="str">
        <f t="shared" si="4"/>
        <v>ETF</v>
      </c>
      <c r="E151" t="s">
        <v>170</v>
      </c>
      <c r="F151" t="s">
        <v>170</v>
      </c>
      <c r="G151" t="s">
        <v>624</v>
      </c>
      <c r="H151">
        <v>39.039400000000001</v>
      </c>
      <c r="I151" s="47">
        <v>38.979999999999997</v>
      </c>
      <c r="J151" s="35" t="str">
        <f t="shared" ca="1" si="5"/>
        <v>INSERT INTO ETFValue (DataDate, TimeCategory, ProductType, ProductLink, ProductCode, ProductName, NAV, Price, RecTime) VALUES ('2021/5/14','1', 'ETF', '00774B','00774B','新光中國政金綠債','39.0394','38.98','15:15:01')</v>
      </c>
    </row>
    <row r="152" spans="1:10">
      <c r="A152" s="21">
        <v>44330</v>
      </c>
      <c r="B152" s="22">
        <v>44330.573151736113</v>
      </c>
      <c r="C152">
        <v>1</v>
      </c>
      <c r="D152" t="str">
        <f t="shared" si="4"/>
        <v>ETF</v>
      </c>
      <c r="E152" t="s">
        <v>434</v>
      </c>
      <c r="F152" t="s">
        <v>434</v>
      </c>
      <c r="G152" t="s">
        <v>625</v>
      </c>
      <c r="H152">
        <v>8.9962999999999997</v>
      </c>
      <c r="I152">
        <v>9.11</v>
      </c>
      <c r="J152" s="35" t="str">
        <f t="shared" ca="1" si="5"/>
        <v>INSERT INTO ETFValue (DataDate, TimeCategory, ProductType, ProductLink, ProductCode, ProductName, NAV, Price, RecTime) VALUES ('2021/5/14','1', 'ETF', '00774C','00774C','新光中政金綠債+R','8.9963','9.11','15:15:01')</v>
      </c>
    </row>
    <row r="153" spans="1:10">
      <c r="A153" s="21">
        <v>44330</v>
      </c>
      <c r="B153" s="22">
        <v>44330.573151736113</v>
      </c>
      <c r="C153">
        <v>1</v>
      </c>
      <c r="D153" t="str">
        <f t="shared" si="4"/>
        <v>ETF</v>
      </c>
      <c r="E153" t="s">
        <v>171</v>
      </c>
      <c r="F153" t="s">
        <v>171</v>
      </c>
      <c r="G153" t="s">
        <v>626</v>
      </c>
      <c r="H153">
        <v>40.4529</v>
      </c>
      <c r="I153">
        <v>40.520000000000003</v>
      </c>
      <c r="J153" s="35" t="str">
        <f t="shared" ca="1" si="5"/>
        <v>INSERT INTO ETFValue (DataDate, TimeCategory, ProductType, ProductLink, ProductCode, ProductName, NAV, Price, RecTime) VALUES ('2021/5/14','1', 'ETF', '00775B','00775B','新光投等債15+','40.4529','40.52','15:15:01')</v>
      </c>
    </row>
    <row r="154" spans="1:10">
      <c r="A154" s="21">
        <v>44330</v>
      </c>
      <c r="B154" s="22">
        <v>44330.573151736113</v>
      </c>
      <c r="C154">
        <v>1</v>
      </c>
      <c r="D154" t="str">
        <f t="shared" si="4"/>
        <v>ETF</v>
      </c>
      <c r="E154" t="s">
        <v>173</v>
      </c>
      <c r="F154" t="s">
        <v>173</v>
      </c>
      <c r="G154" t="s">
        <v>628</v>
      </c>
      <c r="H154">
        <v>41.3</v>
      </c>
      <c r="I154">
        <v>41.42</v>
      </c>
      <c r="J154" s="35" t="str">
        <f t="shared" ca="1" si="5"/>
        <v>INSERT INTO ETFValue (DataDate, TimeCategory, ProductType, ProductLink, ProductCode, ProductName, NAV, Price, RecTime) VALUES ('2021/5/14','1', 'ETF', '00777B','00777B','凱基AAA至A公司債','41.3','41.42','15:15:01')</v>
      </c>
    </row>
    <row r="155" spans="1:10">
      <c r="A155" s="21">
        <v>44330</v>
      </c>
      <c r="B155" s="22">
        <v>44330.573151736113</v>
      </c>
      <c r="C155">
        <v>1</v>
      </c>
      <c r="D155" t="str">
        <f t="shared" si="4"/>
        <v>ETF</v>
      </c>
      <c r="E155" t="s">
        <v>174</v>
      </c>
      <c r="F155" t="s">
        <v>174</v>
      </c>
      <c r="G155" t="s">
        <v>629</v>
      </c>
      <c r="H155">
        <v>42.76</v>
      </c>
      <c r="I155">
        <v>42.48</v>
      </c>
      <c r="J155" s="35" t="str">
        <f t="shared" ca="1" si="5"/>
        <v>INSERT INTO ETFValue (DataDate, TimeCategory, ProductType, ProductLink, ProductCode, ProductName, NAV, Price, RecTime) VALUES ('2021/5/14','1', 'ETF', '00778B','00778B','凱基金融債20+','42.76','42.48','15:15:01')</v>
      </c>
    </row>
    <row r="156" spans="1:10">
      <c r="A156" s="21">
        <v>44330</v>
      </c>
      <c r="B156" s="22">
        <v>44330.573151736113</v>
      </c>
      <c r="C156">
        <v>1</v>
      </c>
      <c r="D156" t="str">
        <f t="shared" si="4"/>
        <v>ETF</v>
      </c>
      <c r="E156" t="s">
        <v>175</v>
      </c>
      <c r="F156" t="s">
        <v>175</v>
      </c>
      <c r="G156" t="s">
        <v>630</v>
      </c>
      <c r="H156">
        <v>40.479999999999997</v>
      </c>
      <c r="I156">
        <v>40.5</v>
      </c>
      <c r="J156" s="35" t="str">
        <f t="shared" ca="1" si="5"/>
        <v>INSERT INTO ETFValue (DataDate, TimeCategory, ProductType, ProductLink, ProductCode, ProductName, NAV, Price, RecTime) VALUES ('2021/5/14','1', 'ETF', '00779B','00779B','凱基美債25+','40.48','40.5','15:15:01')</v>
      </c>
    </row>
    <row r="157" spans="1:10">
      <c r="A157" s="21">
        <v>44330</v>
      </c>
      <c r="B157" s="22">
        <v>44330.573151736113</v>
      </c>
      <c r="C157">
        <v>1</v>
      </c>
      <c r="D157" t="str">
        <f t="shared" si="4"/>
        <v>ETF</v>
      </c>
      <c r="E157" t="s">
        <v>176</v>
      </c>
      <c r="F157" t="s">
        <v>176</v>
      </c>
      <c r="G157" t="s">
        <v>631</v>
      </c>
      <c r="H157">
        <v>40.406700000000001</v>
      </c>
      <c r="I157">
        <v>40.299999999999997</v>
      </c>
      <c r="J157" s="35" t="str">
        <f t="shared" ca="1" si="5"/>
        <v>INSERT INTO ETFValue (DataDate, TimeCategory, ProductType, ProductLink, ProductCode, ProductName, NAV, Price, RecTime) VALUES ('2021/5/14','1', 'ETF', '00780B','00780B','國泰A級金融債','40.4067','40.3','15:15:01')</v>
      </c>
    </row>
    <row r="158" spans="1:10">
      <c r="A158" s="21">
        <v>44330</v>
      </c>
      <c r="B158" s="22">
        <v>44330.573151736113</v>
      </c>
      <c r="C158">
        <v>1</v>
      </c>
      <c r="D158" t="str">
        <f t="shared" si="4"/>
        <v>ETF</v>
      </c>
      <c r="E158" t="s">
        <v>177</v>
      </c>
      <c r="F158" t="s">
        <v>177</v>
      </c>
      <c r="G158" t="s">
        <v>632</v>
      </c>
      <c r="H158">
        <v>40.344499999999996</v>
      </c>
      <c r="I158">
        <v>40.31</v>
      </c>
      <c r="J158" s="35" t="str">
        <f t="shared" ca="1" si="5"/>
        <v>INSERT INTO ETFValue (DataDate, TimeCategory, ProductType, ProductLink, ProductCode, ProductName, NAV, Price, RecTime) VALUES ('2021/5/14','1', 'ETF', '00781B','00781B','國泰A級科技債','40.3445','40.31','15:15:01')</v>
      </c>
    </row>
    <row r="159" spans="1:10">
      <c r="A159" s="21">
        <v>44330</v>
      </c>
      <c r="B159" s="22">
        <v>44330.573151736113</v>
      </c>
      <c r="C159">
        <v>1</v>
      </c>
      <c r="D159" t="str">
        <f t="shared" si="4"/>
        <v>ETF</v>
      </c>
      <c r="E159" t="s">
        <v>178</v>
      </c>
      <c r="F159" t="s">
        <v>178</v>
      </c>
      <c r="G159" t="s">
        <v>633</v>
      </c>
      <c r="H159">
        <v>40.639200000000002</v>
      </c>
      <c r="I159">
        <v>40.700000000000003</v>
      </c>
      <c r="J159" s="35" t="str">
        <f t="shared" ca="1" si="5"/>
        <v>INSERT INTO ETFValue (DataDate, TimeCategory, ProductType, ProductLink, ProductCode, ProductName, NAV, Price, RecTime) VALUES ('2021/5/14','1', 'ETF', '00782B','00782B','國泰A級公用債','40.6392','40.7','15:15:01')</v>
      </c>
    </row>
    <row r="160" spans="1:10">
      <c r="A160" s="21">
        <v>44330</v>
      </c>
      <c r="B160" s="22">
        <v>44330.573151736113</v>
      </c>
      <c r="C160">
        <v>1</v>
      </c>
      <c r="D160" t="str">
        <f t="shared" si="4"/>
        <v>ETF</v>
      </c>
      <c r="E160" t="s">
        <v>179</v>
      </c>
      <c r="F160" t="s">
        <v>179</v>
      </c>
      <c r="G160" t="s">
        <v>634</v>
      </c>
      <c r="H160">
        <v>22.28</v>
      </c>
      <c r="I160">
        <v>22.15</v>
      </c>
      <c r="J160" s="35" t="str">
        <f t="shared" ca="1" si="5"/>
        <v>INSERT INTO ETFValue (DataDate, TimeCategory, ProductType, ProductLink, ProductCode, ProductName, NAV, Price, RecTime) VALUES ('2021/5/14','1', 'ETF', '00783','00783','富邦中証500','22.28','22.15','15:15:01')</v>
      </c>
    </row>
    <row r="161" spans="1:10">
      <c r="A161" s="21">
        <v>44330</v>
      </c>
      <c r="B161" s="22">
        <v>44330.573151736113</v>
      </c>
      <c r="C161">
        <v>1</v>
      </c>
      <c r="D161" t="str">
        <f t="shared" si="4"/>
        <v>ETF</v>
      </c>
      <c r="E161" t="s">
        <v>180</v>
      </c>
      <c r="F161" t="s">
        <v>180</v>
      </c>
      <c r="G161" t="s">
        <v>635</v>
      </c>
      <c r="H161">
        <v>37.318399999999997</v>
      </c>
      <c r="I161">
        <v>37.369999999999997</v>
      </c>
      <c r="J161" s="35" t="str">
        <f t="shared" ca="1" si="5"/>
        <v>INSERT INTO ETFValue (DataDate, TimeCategory, ProductType, ProductLink, ProductCode, ProductName, NAV, Price, RecTime) VALUES ('2021/5/14','1', 'ETF', '00784B','00784B','富邦中國投等債','37.3184','37.37','15:15:01')</v>
      </c>
    </row>
    <row r="162" spans="1:10">
      <c r="A162" s="21">
        <v>44330</v>
      </c>
      <c r="B162" s="22">
        <v>44330.573151736113</v>
      </c>
      <c r="C162">
        <v>1</v>
      </c>
      <c r="D162" t="str">
        <f t="shared" si="4"/>
        <v>ETF</v>
      </c>
      <c r="E162" t="s">
        <v>181</v>
      </c>
      <c r="F162" t="s">
        <v>181</v>
      </c>
      <c r="G162" t="s">
        <v>636</v>
      </c>
      <c r="H162">
        <v>41.070099999999996</v>
      </c>
      <c r="I162">
        <v>41.15</v>
      </c>
      <c r="J162" s="35" t="str">
        <f t="shared" ca="1" si="5"/>
        <v>INSERT INTO ETFValue (DataDate, TimeCategory, ProductType, ProductLink, ProductCode, ProductName, NAV, Price, RecTime) VALUES ('2021/5/14','1', 'ETF', '00785B','00785B','富邦金融投等債','41.0701','41.15','15:15:01')</v>
      </c>
    </row>
    <row r="163" spans="1:10">
      <c r="A163" s="21">
        <v>44330</v>
      </c>
      <c r="B163" s="22">
        <v>44330.573151736113</v>
      </c>
      <c r="C163">
        <v>1</v>
      </c>
      <c r="D163" t="str">
        <f t="shared" si="4"/>
        <v>ETF</v>
      </c>
      <c r="E163" t="s">
        <v>182</v>
      </c>
      <c r="F163" t="s">
        <v>182</v>
      </c>
      <c r="G163" t="s">
        <v>637</v>
      </c>
      <c r="H163">
        <v>40.223199999999999</v>
      </c>
      <c r="I163">
        <v>40.200000000000003</v>
      </c>
      <c r="J163" s="35" t="str">
        <f t="shared" ca="1" si="5"/>
        <v>INSERT INTO ETFValue (DataDate, TimeCategory, ProductType, ProductLink, ProductCode, ProductName, NAV, Price, RecTime) VALUES ('2021/5/14','1', 'ETF', '00786B','00786B','元大10年IG銀行債','40.2232','40.2','15:15:01')</v>
      </c>
    </row>
    <row r="164" spans="1:10">
      <c r="A164" s="21">
        <v>44330</v>
      </c>
      <c r="B164" s="22">
        <v>44330.573151736113</v>
      </c>
      <c r="C164">
        <v>1</v>
      </c>
      <c r="D164" t="str">
        <f t="shared" si="4"/>
        <v>ETF</v>
      </c>
      <c r="E164" t="s">
        <v>183</v>
      </c>
      <c r="F164" t="s">
        <v>183</v>
      </c>
      <c r="G164" t="s">
        <v>638</v>
      </c>
      <c r="H164">
        <v>41.224699999999999</v>
      </c>
      <c r="I164">
        <v>41.13</v>
      </c>
      <c r="J164" s="35" t="str">
        <f t="shared" ca="1" si="5"/>
        <v>INSERT INTO ETFValue (DataDate, TimeCategory, ProductType, ProductLink, ProductCode, ProductName, NAV, Price, RecTime) VALUES ('2021/5/14','1', 'ETF', '00787B','00787B','元大10年IG醫療債','41.2247','41.13','15:15:01')</v>
      </c>
    </row>
    <row r="165" spans="1:10">
      <c r="A165" s="21">
        <v>44330</v>
      </c>
      <c r="B165" s="22">
        <v>44330.573151736113</v>
      </c>
      <c r="C165">
        <v>1</v>
      </c>
      <c r="D165" t="str">
        <f t="shared" si="4"/>
        <v>ETF</v>
      </c>
      <c r="E165" t="s">
        <v>184</v>
      </c>
      <c r="F165" t="s">
        <v>184</v>
      </c>
      <c r="G165" t="s">
        <v>639</v>
      </c>
      <c r="H165">
        <v>38.899000000000001</v>
      </c>
      <c r="I165">
        <v>39.119999999999997</v>
      </c>
      <c r="J165" s="35" t="str">
        <f t="shared" ca="1" si="5"/>
        <v>INSERT INTO ETFValue (DataDate, TimeCategory, ProductType, ProductLink, ProductCode, ProductName, NAV, Price, RecTime) VALUES ('2021/5/14','1', 'ETF', '00788B','00788B','元大10年IG電能債','38.899','39.12','15:15:01')</v>
      </c>
    </row>
    <row r="166" spans="1:10">
      <c r="A166" s="21">
        <v>44330</v>
      </c>
      <c r="B166" s="22">
        <v>44330.573151736113</v>
      </c>
      <c r="C166">
        <v>1</v>
      </c>
      <c r="D166" t="str">
        <f t="shared" si="4"/>
        <v>ETF</v>
      </c>
      <c r="E166" t="s">
        <v>185</v>
      </c>
      <c r="F166" t="s">
        <v>185</v>
      </c>
      <c r="G166" t="s">
        <v>640</v>
      </c>
      <c r="H166">
        <v>61.839799999999997</v>
      </c>
      <c r="I166">
        <v>61.65</v>
      </c>
      <c r="J166" s="35" t="str">
        <f t="shared" ca="1" si="5"/>
        <v>INSERT INTO ETFValue (DataDate, TimeCategory, ProductType, ProductLink, ProductCode, ProductName, NAV, Price, RecTime) VALUES ('2021/5/14','1', 'ETF', '00789B','00789B','FH公司債A3','61.8398','61.65','15:15:01')</v>
      </c>
    </row>
    <row r="167" spans="1:10">
      <c r="A167" s="21">
        <v>44330</v>
      </c>
      <c r="B167" s="22">
        <v>44330.573151736113</v>
      </c>
      <c r="C167">
        <v>1</v>
      </c>
      <c r="D167" t="str">
        <f t="shared" si="4"/>
        <v>ETF</v>
      </c>
      <c r="E167" t="s">
        <v>186</v>
      </c>
      <c r="F167" t="s">
        <v>186</v>
      </c>
      <c r="G167" t="s">
        <v>641</v>
      </c>
      <c r="H167">
        <v>61.616199999999999</v>
      </c>
      <c r="I167">
        <v>61.6</v>
      </c>
      <c r="J167" s="35" t="str">
        <f t="shared" ca="1" si="5"/>
        <v>INSERT INTO ETFValue (DataDate, TimeCategory, ProductType, ProductLink, ProductCode, ProductName, NAV, Price, RecTime) VALUES ('2021/5/14','1', 'ETF', '00790B','00790B','FH次順位IG金融債','61.6162','61.6','15:15:01')</v>
      </c>
    </row>
    <row r="168" spans="1:10">
      <c r="A168" s="21">
        <v>44330</v>
      </c>
      <c r="B168" s="22">
        <v>44330.573151736113</v>
      </c>
      <c r="C168">
        <v>1</v>
      </c>
      <c r="D168" t="str">
        <f t="shared" si="4"/>
        <v>ETF</v>
      </c>
      <c r="E168" t="s">
        <v>187</v>
      </c>
      <c r="F168" t="s">
        <v>187</v>
      </c>
      <c r="G168" t="s">
        <v>642</v>
      </c>
      <c r="H168">
        <v>55.985100000000003</v>
      </c>
      <c r="I168">
        <v>55.85</v>
      </c>
      <c r="J168" s="35" t="str">
        <f t="shared" ca="1" si="5"/>
        <v>INSERT INTO ETFValue (DataDate, TimeCategory, ProductType, ProductLink, ProductCode, ProductName, NAV, Price, RecTime) VALUES ('2021/5/14','1', 'ETF', '00791B','00791B','FH美元信用債1-5Y','55.9851','55.85','15:15:01')</v>
      </c>
    </row>
    <row r="169" spans="1:10">
      <c r="A169" s="21">
        <v>44330</v>
      </c>
      <c r="B169" s="22">
        <v>44330.573151736113</v>
      </c>
      <c r="C169">
        <v>1</v>
      </c>
      <c r="D169" t="str">
        <f t="shared" si="4"/>
        <v>ETF</v>
      </c>
      <c r="E169" t="s">
        <v>188</v>
      </c>
      <c r="F169" t="s">
        <v>188</v>
      </c>
      <c r="G169" t="s">
        <v>643</v>
      </c>
      <c r="H169">
        <v>40.413400000000003</v>
      </c>
      <c r="I169">
        <v>40.65</v>
      </c>
      <c r="J169" s="35" t="str">
        <f t="shared" ca="1" si="5"/>
        <v>INSERT INTO ETFValue (DataDate, TimeCategory, ProductType, ProductLink, ProductCode, ProductName, NAV, Price, RecTime) VALUES ('2021/5/14','1', 'ETF', '00792B','00792B','群益A級公司債','40.4134','40.65','15:15:01')</v>
      </c>
    </row>
    <row r="170" spans="1:10">
      <c r="A170" s="21">
        <v>44330</v>
      </c>
      <c r="B170" s="22">
        <v>44330.573151736113</v>
      </c>
      <c r="C170">
        <v>1</v>
      </c>
      <c r="D170" t="str">
        <f t="shared" si="4"/>
        <v>ETF</v>
      </c>
      <c r="E170" t="s">
        <v>189</v>
      </c>
      <c r="F170" t="s">
        <v>189</v>
      </c>
      <c r="G170" t="s">
        <v>644</v>
      </c>
      <c r="H170">
        <v>40.262</v>
      </c>
      <c r="I170">
        <v>40</v>
      </c>
      <c r="J170" s="35" t="str">
        <f t="shared" ca="1" si="5"/>
        <v>INSERT INTO ETFValue (DataDate, TimeCategory, ProductType, ProductLink, ProductCode, ProductName, NAV, Price, RecTime) VALUES ('2021/5/14','1', 'ETF', '00793B','00793B','群益AAA-A醫療債','40.262','40','15:15:01')</v>
      </c>
    </row>
    <row r="171" spans="1:10">
      <c r="A171" s="21">
        <v>44330</v>
      </c>
      <c r="B171" s="22">
        <v>44330.573151736113</v>
      </c>
      <c r="C171">
        <v>1</v>
      </c>
      <c r="D171" t="str">
        <f t="shared" si="4"/>
        <v>ETF</v>
      </c>
      <c r="E171" t="s">
        <v>190</v>
      </c>
      <c r="F171" t="s">
        <v>190</v>
      </c>
      <c r="G171" t="s">
        <v>645</v>
      </c>
      <c r="H171">
        <v>39.777700000000003</v>
      </c>
      <c r="I171">
        <v>39.76</v>
      </c>
      <c r="J171" s="35" t="str">
        <f t="shared" ca="1" si="5"/>
        <v>INSERT INTO ETFValue (DataDate, TimeCategory, ProductType, ProductLink, ProductCode, ProductName, NAV, Price, RecTime) VALUES ('2021/5/14','1', 'ETF', '00794B','00794B','群益7+中國政金債','39.7777','39.76','15:15:01')</v>
      </c>
    </row>
    <row r="172" spans="1:10">
      <c r="A172" s="21">
        <v>44330</v>
      </c>
      <c r="B172" s="22">
        <v>44330.573151736113</v>
      </c>
      <c r="C172">
        <v>1</v>
      </c>
      <c r="D172" t="str">
        <f t="shared" si="4"/>
        <v>ETF</v>
      </c>
      <c r="E172" t="s">
        <v>191</v>
      </c>
      <c r="F172" t="s">
        <v>191</v>
      </c>
      <c r="G172" t="s">
        <v>646</v>
      </c>
      <c r="H172">
        <v>39.110199999999999</v>
      </c>
      <c r="I172">
        <v>39.06</v>
      </c>
      <c r="J172" s="35" t="str">
        <f t="shared" ca="1" si="5"/>
        <v>INSERT INTO ETFValue (DataDate, TimeCategory, ProductType, ProductLink, ProductCode, ProductName, NAV, Price, RecTime) VALUES ('2021/5/14','1', 'ETF', '00795B','00795B','中信美國公債20年','39.1102','39.06','15:15:01')</v>
      </c>
    </row>
    <row r="173" spans="1:10">
      <c r="A173" s="21">
        <v>44330</v>
      </c>
      <c r="B173" s="22">
        <v>44330.573151736113</v>
      </c>
      <c r="C173">
        <v>1</v>
      </c>
      <c r="D173" t="str">
        <f t="shared" si="4"/>
        <v>ETF</v>
      </c>
      <c r="E173" t="s">
        <v>192</v>
      </c>
      <c r="F173" t="s">
        <v>192</v>
      </c>
      <c r="G173" t="s">
        <v>647</v>
      </c>
      <c r="H173">
        <v>39.441800000000001</v>
      </c>
      <c r="I173">
        <v>39.380000000000003</v>
      </c>
      <c r="J173" s="35" t="str">
        <f t="shared" ca="1" si="5"/>
        <v>INSERT INTO ETFValue (DataDate, TimeCategory, ProductType, ProductLink, ProductCode, ProductName, NAV, Price, RecTime) VALUES ('2021/5/14','1', 'ETF', '00796B','00796B','中信中國債7-10','39.4418','39.38','15:15:01')</v>
      </c>
    </row>
    <row r="174" spans="1:10">
      <c r="A174" s="21">
        <v>44330</v>
      </c>
      <c r="B174" s="22">
        <v>44330.573151736113</v>
      </c>
      <c r="C174">
        <v>1</v>
      </c>
      <c r="D174" t="str">
        <f t="shared" si="4"/>
        <v>ETF</v>
      </c>
      <c r="E174" t="s">
        <v>195</v>
      </c>
      <c r="F174" t="s">
        <v>195</v>
      </c>
      <c r="G174" t="s">
        <v>650</v>
      </c>
      <c r="H174">
        <v>40.573799999999999</v>
      </c>
      <c r="I174">
        <v>40.17</v>
      </c>
      <c r="J174" s="35" t="str">
        <f t="shared" ca="1" si="5"/>
        <v>INSERT INTO ETFValue (DataDate, TimeCategory, ProductType, ProductLink, ProductCode, ProductName, NAV, Price, RecTime) VALUES ('2021/5/14','1', 'ETF', '00799B','00799B','國泰A級醫療債','40.5738','40.17','15:15:01')</v>
      </c>
    </row>
    <row r="175" spans="1:10">
      <c r="A175" s="21">
        <v>44330</v>
      </c>
      <c r="B175" s="22">
        <v>44330.573151736113</v>
      </c>
      <c r="C175">
        <v>1</v>
      </c>
      <c r="D175" t="str">
        <f t="shared" si="4"/>
        <v>ETF</v>
      </c>
      <c r="E175" t="s">
        <v>196</v>
      </c>
      <c r="F175" t="s">
        <v>196</v>
      </c>
      <c r="G175" t="s">
        <v>651</v>
      </c>
      <c r="H175">
        <v>125.55</v>
      </c>
      <c r="I175">
        <v>122.5</v>
      </c>
      <c r="J175" s="35" t="str">
        <f t="shared" ca="1" si="5"/>
        <v>INSERT INTO ETFValue (DataDate, TimeCategory, ProductType, ProductLink, ProductCode, ProductName, NAV, Price, RecTime) VALUES ('2021/5/14','1', 'ETF', '008201','008201','BP上證50','125.55','122.5','15:15:01')</v>
      </c>
    </row>
    <row r="176" spans="1:10">
      <c r="A176" s="21">
        <v>44330</v>
      </c>
      <c r="B176" s="22">
        <v>44330.573151736113</v>
      </c>
      <c r="C176">
        <v>1</v>
      </c>
      <c r="D176" t="str">
        <f t="shared" si="4"/>
        <v>ETF</v>
      </c>
      <c r="E176" t="s">
        <v>197</v>
      </c>
      <c r="F176" t="s">
        <v>197</v>
      </c>
      <c r="G176" t="s">
        <v>652</v>
      </c>
      <c r="H176">
        <v>25.58</v>
      </c>
      <c r="I176">
        <v>25.75</v>
      </c>
      <c r="J176" s="35" t="str">
        <f t="shared" ca="1" si="5"/>
        <v>INSERT INTO ETFValue (DataDate, TimeCategory, ProductType, ProductLink, ProductCode, ProductName, NAV, Price, RecTime) VALUES ('2021/5/14','1', 'ETF', '00830','00830','國泰費城半導體','25.58','25.75','15:15:01')</v>
      </c>
    </row>
    <row r="177" spans="1:10">
      <c r="A177" s="21">
        <v>44330</v>
      </c>
      <c r="B177" s="22">
        <v>44330.573151736113</v>
      </c>
      <c r="C177">
        <v>1</v>
      </c>
      <c r="D177" t="str">
        <f t="shared" si="4"/>
        <v>ETF</v>
      </c>
      <c r="E177" t="s">
        <v>198</v>
      </c>
      <c r="F177" t="s">
        <v>198</v>
      </c>
      <c r="G177" t="s">
        <v>653</v>
      </c>
      <c r="H177">
        <v>36.645499999999998</v>
      </c>
      <c r="I177">
        <v>36.700000000000003</v>
      </c>
      <c r="J177" s="35" t="str">
        <f t="shared" ca="1" si="5"/>
        <v>INSERT INTO ETFValue (DataDate, TimeCategory, ProductType, ProductLink, ProductCode, ProductName, NAV, Price, RecTime) VALUES ('2021/5/14','1', 'ETF', '00831B','00831B','新光美債1-3','36.6455','36.7','15:15:01')</v>
      </c>
    </row>
    <row r="178" spans="1:10">
      <c r="A178" s="21">
        <v>44330</v>
      </c>
      <c r="B178" s="22">
        <v>44330.573151736113</v>
      </c>
      <c r="C178">
        <v>1</v>
      </c>
      <c r="D178" t="str">
        <f t="shared" si="4"/>
        <v>ETF</v>
      </c>
      <c r="E178" t="s">
        <v>199</v>
      </c>
      <c r="F178" t="s">
        <v>199</v>
      </c>
      <c r="G178" t="s">
        <v>654</v>
      </c>
      <c r="H178">
        <v>39.822899999999997</v>
      </c>
      <c r="I178" s="49">
        <v>39.840000000000003</v>
      </c>
      <c r="J178" s="35" t="str">
        <f t="shared" ca="1" si="5"/>
        <v>INSERT INTO ETFValue (DataDate, TimeCategory, ProductType, ProductLink, ProductCode, ProductName, NAV, Price, RecTime) VALUES ('2021/5/14','1', 'ETF', '00832B','00832B','新光美債20+','39.8229','39.84','15:15:01')</v>
      </c>
    </row>
    <row r="179" spans="1:10">
      <c r="A179" s="21">
        <v>44330</v>
      </c>
      <c r="B179" s="22">
        <v>44330.573151736113</v>
      </c>
      <c r="C179">
        <v>1</v>
      </c>
      <c r="D179" t="str">
        <f t="shared" si="4"/>
        <v>ETF</v>
      </c>
      <c r="E179" t="s">
        <v>201</v>
      </c>
      <c r="F179" t="s">
        <v>201</v>
      </c>
      <c r="G179" t="s">
        <v>656</v>
      </c>
      <c r="H179">
        <v>40.402500000000003</v>
      </c>
      <c r="I179">
        <v>40.43</v>
      </c>
      <c r="J179" s="35" t="str">
        <f t="shared" ca="1" si="5"/>
        <v>INSERT INTO ETFValue (DataDate, TimeCategory, ProductType, ProductLink, ProductCode, ProductName, NAV, Price, RecTime) VALUES ('2021/5/14','1', 'ETF', '00834B','00834B','第一金金融債10+','40.4025','40.43','15:15:01')</v>
      </c>
    </row>
    <row r="180" spans="1:10">
      <c r="A180" s="21">
        <v>44330</v>
      </c>
      <c r="B180" s="22">
        <v>44330.573151736113</v>
      </c>
      <c r="C180">
        <v>1</v>
      </c>
      <c r="D180" t="str">
        <f t="shared" si="4"/>
        <v>ETF</v>
      </c>
      <c r="E180" t="s">
        <v>203</v>
      </c>
      <c r="F180" t="s">
        <v>203</v>
      </c>
      <c r="G180" t="s">
        <v>658</v>
      </c>
      <c r="H180">
        <v>37.9</v>
      </c>
      <c r="I180">
        <v>37.909999999999997</v>
      </c>
      <c r="J180" s="35" t="str">
        <f t="shared" ca="1" si="5"/>
        <v>INSERT INTO ETFValue (DataDate, TimeCategory, ProductType, ProductLink, ProductCode, ProductName, NAV, Price, RecTime) VALUES ('2021/5/14','1', 'ETF', '00836B','00836B','永豐10年A公司債','37.9','37.91','15:15:01')</v>
      </c>
    </row>
    <row r="181" spans="1:10">
      <c r="A181" s="21">
        <v>44330</v>
      </c>
      <c r="B181" s="22">
        <v>44330.573151736113</v>
      </c>
      <c r="C181">
        <v>1</v>
      </c>
      <c r="D181" t="str">
        <f t="shared" si="4"/>
        <v>ETF</v>
      </c>
      <c r="E181" t="s">
        <v>205</v>
      </c>
      <c r="F181" t="s">
        <v>205</v>
      </c>
      <c r="G181" t="s">
        <v>660</v>
      </c>
      <c r="H181">
        <v>39.090000000000003</v>
      </c>
      <c r="I181">
        <v>39.04</v>
      </c>
      <c r="J181" s="35" t="str">
        <f t="shared" ca="1" si="5"/>
        <v>INSERT INTO ETFValue (DataDate, TimeCategory, ProductType, ProductLink, ProductCode, ProductName, NAV, Price, RecTime) VALUES ('2021/5/14','1', 'ETF', '00838B','00838B','永豐7-10年中國債','39.09','39.04','15:15:01')</v>
      </c>
    </row>
    <row r="182" spans="1:10">
      <c r="A182" s="21">
        <v>44330</v>
      </c>
      <c r="B182" s="22">
        <v>44330.573151736113</v>
      </c>
      <c r="C182">
        <v>1</v>
      </c>
      <c r="D182" t="str">
        <f t="shared" si="4"/>
        <v>ETF</v>
      </c>
      <c r="E182" t="s">
        <v>206</v>
      </c>
      <c r="F182" t="s">
        <v>206</v>
      </c>
      <c r="G182" t="s">
        <v>661</v>
      </c>
      <c r="H182">
        <v>39.82</v>
      </c>
      <c r="I182">
        <v>39.93</v>
      </c>
      <c r="J182" s="35" t="str">
        <f t="shared" ca="1" si="5"/>
        <v>INSERT INTO ETFValue (DataDate, TimeCategory, ProductType, ProductLink, ProductCode, ProductName, NAV, Price, RecTime) VALUES ('2021/5/14','1', 'ETF', '00839B','00839B','凱基醫療保健債','39.82','39.93','15:15:01')</v>
      </c>
    </row>
    <row r="183" spans="1:10">
      <c r="A183" s="21">
        <v>44330</v>
      </c>
      <c r="B183" s="22">
        <v>44330.573151736113</v>
      </c>
      <c r="C183">
        <v>1</v>
      </c>
      <c r="D183" t="str">
        <f t="shared" si="4"/>
        <v>ETF</v>
      </c>
      <c r="E183" t="s">
        <v>207</v>
      </c>
      <c r="F183" t="s">
        <v>207</v>
      </c>
      <c r="G183" t="s">
        <v>662</v>
      </c>
      <c r="H183">
        <v>37.93</v>
      </c>
      <c r="I183">
        <v>37.99</v>
      </c>
      <c r="J183" s="35" t="str">
        <f t="shared" ca="1" si="5"/>
        <v>INSERT INTO ETFValue (DataDate, TimeCategory, ProductType, ProductLink, ProductCode, ProductName, NAV, Price, RecTime) VALUES ('2021/5/14','1', 'ETF', '00840B','00840B','凱基IG精選15+','37.93','37.99','15:15:01')</v>
      </c>
    </row>
    <row r="184" spans="1:10">
      <c r="A184" s="21">
        <v>44330</v>
      </c>
      <c r="B184" s="22">
        <v>44330.573151736113</v>
      </c>
      <c r="C184">
        <v>1</v>
      </c>
      <c r="D184" t="str">
        <f t="shared" si="4"/>
        <v>ETF</v>
      </c>
      <c r="E184" t="s">
        <v>208</v>
      </c>
      <c r="F184" t="s">
        <v>208</v>
      </c>
      <c r="G184" t="s">
        <v>663</v>
      </c>
      <c r="H184">
        <v>38.06</v>
      </c>
      <c r="I184">
        <v>38.1</v>
      </c>
      <c r="J184" s="35" t="str">
        <f t="shared" ca="1" si="5"/>
        <v>INSERT INTO ETFValue (DataDate, TimeCategory, ProductType, ProductLink, ProductCode, ProductName, NAV, Price, RecTime) VALUES ('2021/5/14','1', 'ETF', '00841B','00841B','凱基AAA-AA公司債','38.06','38.1','15:15:01')</v>
      </c>
    </row>
    <row r="185" spans="1:10">
      <c r="A185" s="21">
        <v>44330</v>
      </c>
      <c r="B185" s="22">
        <v>44330.573151736113</v>
      </c>
      <c r="C185">
        <v>1</v>
      </c>
      <c r="D185" t="str">
        <f t="shared" si="4"/>
        <v>ETF</v>
      </c>
      <c r="E185" t="s">
        <v>209</v>
      </c>
      <c r="F185" t="s">
        <v>209</v>
      </c>
      <c r="G185" t="s">
        <v>664</v>
      </c>
      <c r="H185">
        <v>39.090000000000003</v>
      </c>
      <c r="I185">
        <v>39.1</v>
      </c>
      <c r="J185" s="35" t="str">
        <f t="shared" ca="1" si="5"/>
        <v>INSERT INTO ETFValue (DataDate, TimeCategory, ProductType, ProductLink, ProductCode, ProductName, NAV, Price, RecTime) VALUES ('2021/5/14','1', 'ETF', '00842B','00842B','台新美元銀行債','39.09','39.1','15:15:01')</v>
      </c>
    </row>
    <row r="186" spans="1:10">
      <c r="A186" s="21">
        <v>44330</v>
      </c>
      <c r="B186" s="22">
        <v>44330.573151736113</v>
      </c>
      <c r="C186">
        <v>1</v>
      </c>
      <c r="D186" t="str">
        <f t="shared" si="4"/>
        <v>ETF</v>
      </c>
      <c r="E186" t="s">
        <v>425</v>
      </c>
      <c r="F186" t="s">
        <v>425</v>
      </c>
      <c r="G186" t="s">
        <v>665</v>
      </c>
      <c r="H186">
        <v>39.270000000000003</v>
      </c>
      <c r="I186">
        <v>39.229999999999997</v>
      </c>
      <c r="J186" s="35" t="str">
        <f t="shared" ca="1" si="5"/>
        <v>INSERT INTO ETFValue (DataDate, TimeCategory, ProductType, ProductLink, ProductCode, ProductName, NAV, Price, RecTime) VALUES ('2021/5/14','1', 'ETF', '00843B','00843B','台新中國政策債','39.27','39.23','15:15:01')</v>
      </c>
    </row>
    <row r="187" spans="1:10">
      <c r="A187" s="21">
        <v>44330</v>
      </c>
      <c r="B187" s="22">
        <v>44330.573151736113</v>
      </c>
      <c r="C187">
        <v>1</v>
      </c>
      <c r="D187" t="str">
        <f t="shared" si="4"/>
        <v>ETF</v>
      </c>
      <c r="E187" t="s">
        <v>426</v>
      </c>
      <c r="F187" t="s">
        <v>426</v>
      </c>
      <c r="G187" t="s">
        <v>666</v>
      </c>
      <c r="H187">
        <v>38.322600000000001</v>
      </c>
      <c r="I187">
        <v>38.380000000000003</v>
      </c>
      <c r="J187" s="35" t="str">
        <f t="shared" ca="1" si="5"/>
        <v>INSERT INTO ETFValue (DataDate, TimeCategory, ProductType, ProductLink, ProductCode, ProductName, NAV, Price, RecTime) VALUES ('2021/5/14','1', 'ETF', '00844B','00844B','新光15年IG金融債','38.3226','38.38','15:15:01')</v>
      </c>
    </row>
    <row r="188" spans="1:10">
      <c r="A188" s="21">
        <v>44330</v>
      </c>
      <c r="B188" s="22">
        <v>44330.573151736113</v>
      </c>
      <c r="C188">
        <v>1</v>
      </c>
      <c r="D188" t="str">
        <f t="shared" si="4"/>
        <v>ETF</v>
      </c>
      <c r="E188" t="s">
        <v>427</v>
      </c>
      <c r="F188" t="s">
        <v>427</v>
      </c>
      <c r="G188" t="s">
        <v>667</v>
      </c>
      <c r="H188">
        <v>36.730400000000003</v>
      </c>
      <c r="I188">
        <v>36.78</v>
      </c>
      <c r="J188" s="35" t="str">
        <f t="shared" ca="1" si="5"/>
        <v>INSERT INTO ETFValue (DataDate, TimeCategory, ProductType, ProductLink, ProductCode, ProductName, NAV, Price, RecTime) VALUES ('2021/5/14','1', 'ETF', '00845B','00845B','富邦新興投等債','36.7304','36.78','15:15:01')</v>
      </c>
    </row>
    <row r="189" spans="1:10">
      <c r="A189" s="21">
        <v>44330</v>
      </c>
      <c r="B189" s="22">
        <v>44330.573151736113</v>
      </c>
      <c r="C189">
        <v>1</v>
      </c>
      <c r="D189" t="str">
        <f t="shared" si="4"/>
        <v>ETF</v>
      </c>
      <c r="E189" t="s">
        <v>428</v>
      </c>
      <c r="F189" t="s">
        <v>428</v>
      </c>
      <c r="G189" t="s">
        <v>668</v>
      </c>
      <c r="H189">
        <v>37.377699999999997</v>
      </c>
      <c r="I189" s="30">
        <v>37.229999999999997</v>
      </c>
      <c r="J189" s="35" t="str">
        <f t="shared" ca="1" si="5"/>
        <v>INSERT INTO ETFValue (DataDate, TimeCategory, ProductType, ProductLink, ProductCode, ProductName, NAV, Price, RecTime) VALUES ('2021/5/14','1', 'ETF', '00846B','00846B','富邦歐洲銀行債','37.3777','37.23','15:15:01')</v>
      </c>
    </row>
    <row r="190" spans="1:10">
      <c r="A190" s="21">
        <v>44330</v>
      </c>
      <c r="B190" s="22">
        <v>44330.573151736113</v>
      </c>
      <c r="C190">
        <v>1</v>
      </c>
      <c r="D190" t="str">
        <f t="shared" si="4"/>
        <v>ETF</v>
      </c>
      <c r="E190" t="s">
        <v>435</v>
      </c>
      <c r="F190" t="s">
        <v>435</v>
      </c>
      <c r="G190" t="s">
        <v>669</v>
      </c>
      <c r="H190">
        <v>33.926499999999997</v>
      </c>
      <c r="I190">
        <v>33.92</v>
      </c>
      <c r="J190" s="35" t="str">
        <f t="shared" ca="1" si="5"/>
        <v>INSERT INTO ETFValue (DataDate, TimeCategory, ProductType, ProductLink, ProductCode, ProductName, NAV, Price, RecTime) VALUES ('2021/5/14','1', 'ETF', '00847B','00847B','中信美國市政債','33.9265','33.92','15:15:01')</v>
      </c>
    </row>
    <row r="191" spans="1:10">
      <c r="A191" s="21">
        <v>44330</v>
      </c>
      <c r="B191" s="22">
        <v>44330.573151736113</v>
      </c>
      <c r="C191">
        <v>1</v>
      </c>
      <c r="D191" t="str">
        <f t="shared" si="4"/>
        <v>ETF</v>
      </c>
      <c r="E191" t="s">
        <v>436</v>
      </c>
      <c r="F191" t="s">
        <v>436</v>
      </c>
      <c r="G191" t="s">
        <v>670</v>
      </c>
      <c r="H191">
        <v>36.886800000000001</v>
      </c>
      <c r="I191">
        <v>36.799999999999997</v>
      </c>
      <c r="J191" s="35" t="str">
        <f t="shared" ca="1" si="5"/>
        <v>INSERT INTO ETFValue (DataDate, TimeCategory, ProductType, ProductLink, ProductCode, ProductName, NAV, Price, RecTime) VALUES ('2021/5/14','1', 'ETF', '00848B','00848B','中信新興亞洲債','36.8868','36.8','15:15:01')</v>
      </c>
    </row>
    <row r="192" spans="1:10">
      <c r="A192" s="21">
        <v>44330</v>
      </c>
      <c r="B192" s="22">
        <v>44330.573151736113</v>
      </c>
      <c r="C192">
        <v>1</v>
      </c>
      <c r="D192" t="str">
        <f t="shared" si="4"/>
        <v>ETF</v>
      </c>
      <c r="E192" t="s">
        <v>437</v>
      </c>
      <c r="F192" t="s">
        <v>437</v>
      </c>
      <c r="G192" t="s">
        <v>671</v>
      </c>
      <c r="H192">
        <v>36.7468</v>
      </c>
      <c r="I192">
        <v>36.71</v>
      </c>
      <c r="J192" s="35" t="str">
        <f t="shared" ca="1" si="5"/>
        <v>INSERT INTO ETFValue (DataDate, TimeCategory, ProductType, ProductLink, ProductCode, ProductName, NAV, Price, RecTime) VALUES ('2021/5/14','1', 'ETF', '00849B','00849B','中信EM主權債0-5','36.7468','36.71','15:15:01')</v>
      </c>
    </row>
    <row r="193" spans="1:10">
      <c r="A193" s="21">
        <v>44330</v>
      </c>
      <c r="B193" s="22">
        <v>44330.573151736113</v>
      </c>
      <c r="C193">
        <v>1</v>
      </c>
      <c r="D193" t="str">
        <f t="shared" si="4"/>
        <v>ETF</v>
      </c>
      <c r="E193" t="s">
        <v>438</v>
      </c>
      <c r="F193" t="s">
        <v>438</v>
      </c>
      <c r="G193" t="s">
        <v>672</v>
      </c>
      <c r="H193">
        <v>32.035294368655698</v>
      </c>
      <c r="I193">
        <v>32</v>
      </c>
      <c r="J193" s="35" t="str">
        <f t="shared" ca="1" si="5"/>
        <v>INSERT INTO ETFValue (DataDate, TimeCategory, ProductType, ProductLink, ProductCode, ProductName, NAV, Price, RecTime) VALUES ('2021/5/14','1', 'ETF', '00850','00850','元大臺灣ESG永續','32.0353','32','15:15:01')</v>
      </c>
    </row>
    <row r="194" spans="1:10">
      <c r="A194" s="21">
        <v>44330</v>
      </c>
      <c r="B194" s="22">
        <v>44330.573151736113</v>
      </c>
      <c r="C194">
        <v>1</v>
      </c>
      <c r="D194" t="str">
        <f t="shared" si="4"/>
        <v>ETF</v>
      </c>
      <c r="E194" t="s">
        <v>439</v>
      </c>
      <c r="F194" t="s">
        <v>439</v>
      </c>
      <c r="G194" t="s">
        <v>673</v>
      </c>
      <c r="H194">
        <v>28.33</v>
      </c>
      <c r="I194">
        <v>28.38</v>
      </c>
      <c r="J194" s="35" t="str">
        <f t="shared" ca="1" si="5"/>
        <v>INSERT INTO ETFValue (DataDate, TimeCategory, ProductType, ProductLink, ProductCode, ProductName, NAV, Price, RecTime) VALUES ('2021/5/14','1', 'ETF', '00851','00851','台新全球AI','28.33','28.38','15:15:01')</v>
      </c>
    </row>
    <row r="195" spans="1:10">
      <c r="A195" s="21">
        <v>44330</v>
      </c>
      <c r="B195" s="22">
        <v>44330.573151736113</v>
      </c>
      <c r="C195">
        <v>1</v>
      </c>
      <c r="D195" t="str">
        <f t="shared" si="4"/>
        <v>ETF</v>
      </c>
      <c r="E195" t="s">
        <v>440</v>
      </c>
      <c r="F195" t="s">
        <v>440</v>
      </c>
      <c r="G195" t="s">
        <v>674</v>
      </c>
      <c r="H195">
        <v>20.416491888863479</v>
      </c>
      <c r="I195">
        <v>20.36</v>
      </c>
      <c r="J195" s="35" t="str">
        <f t="shared" ca="1" si="5"/>
        <v>INSERT INTO ETFValue (DataDate, TimeCategory, ProductType, ProductLink, ProductCode, ProductName, NAV, Price, RecTime) VALUES ('2021/5/14','1', 'ETF', '00852L','00852L','國泰美國道瓊正2','20.4165','20.36','15:15:01')</v>
      </c>
    </row>
    <row r="196" spans="1:10">
      <c r="A196" s="21">
        <v>44330</v>
      </c>
      <c r="B196" s="22">
        <v>44330.573151736113</v>
      </c>
      <c r="C196">
        <v>1</v>
      </c>
      <c r="D196" t="str">
        <f t="shared" ref="D196:D273" si="6">IF(LEFT(E196,2)="00","ETF",IF(LEFT(G196,2)="FX","FX","Futures"))</f>
        <v>ETF</v>
      </c>
      <c r="E196" t="s">
        <v>441</v>
      </c>
      <c r="F196" t="s">
        <v>441</v>
      </c>
      <c r="G196" t="s">
        <v>675</v>
      </c>
      <c r="H196">
        <v>34.39</v>
      </c>
      <c r="I196">
        <v>34.14</v>
      </c>
      <c r="J196" s="35" t="str">
        <f t="shared" ref="J196:J217" ca="1" si="7">"INSERT INTO ETFValue (DataDate, TimeCategory, ProductType, ProductLink, ProductCode, ProductName, NAV, Price, RecTime) VALUES ("&amp;"'"&amp;TEXT(A196,"yyyy/m/dd")&amp;"','"&amp; C196&amp;"', '"&amp;D196&amp;"', '"&amp;E196&amp;"','"&amp;F196&amp;"','"&amp;G196&amp;"','"&amp;ROUND(H196,4)&amp;"','"&amp;I196&amp;"','"&amp;TEXT($P$2,"hh:mm:ss")&amp;"')"</f>
        <v>INSERT INTO ETFValue (DataDate, TimeCategory, ProductType, ProductLink, ProductCode, ProductName, NAV, Price, RecTime) VALUES ('2021/5/14','1', 'ETF', '00853B','00853B','統一美債10年Aa-A','34.39','34.14','15:15:01')</v>
      </c>
    </row>
    <row r="197" spans="1:10">
      <c r="A197" s="21">
        <v>44330</v>
      </c>
      <c r="B197" s="22">
        <v>44330.573151736113</v>
      </c>
      <c r="C197">
        <v>1</v>
      </c>
      <c r="D197" t="str">
        <f t="shared" si="6"/>
        <v>ETF</v>
      </c>
      <c r="E197" t="s">
        <v>1108</v>
      </c>
      <c r="F197" t="s">
        <v>1108</v>
      </c>
      <c r="G197" t="s">
        <v>1111</v>
      </c>
      <c r="H197">
        <v>36.54</v>
      </c>
      <c r="I197">
        <v>36.49</v>
      </c>
      <c r="J197" s="35" t="str">
        <f t="shared" ca="1" si="7"/>
        <v>INSERT INTO ETFValue (DataDate, TimeCategory, ProductType, ProductLink, ProductCode, ProductName, NAV, Price, RecTime) VALUES ('2021/5/14','1', 'ETF', '00856B','00856B','永豐1-3年美公債','36.54','36.49','15:15:01')</v>
      </c>
    </row>
    <row r="198" spans="1:10">
      <c r="A198" s="21">
        <v>44330</v>
      </c>
      <c r="B198" s="22">
        <v>44330.573151736113</v>
      </c>
      <c r="C198">
        <v>1</v>
      </c>
      <c r="D198" t="str">
        <f t="shared" si="6"/>
        <v>ETF</v>
      </c>
      <c r="E198" t="s">
        <v>1109</v>
      </c>
      <c r="F198" t="s">
        <v>1109</v>
      </c>
      <c r="G198" t="s">
        <v>1112</v>
      </c>
      <c r="H198">
        <v>34.630000000000003</v>
      </c>
      <c r="I198">
        <v>34.729999999999997</v>
      </c>
      <c r="J198" s="35" t="str">
        <f t="shared" ca="1" si="7"/>
        <v>INSERT INTO ETFValue (DataDate, TimeCategory, ProductType, ProductLink, ProductCode, ProductName, NAV, Price, RecTime) VALUES ('2021/5/14','1', 'ETF', '00857B','00857B','永豐20年美公債','34.63','34.73','15:15:01')</v>
      </c>
    </row>
    <row r="199" spans="1:10">
      <c r="A199" s="21">
        <v>44330</v>
      </c>
      <c r="B199" s="22">
        <v>44330.573151736113</v>
      </c>
      <c r="C199">
        <v>1</v>
      </c>
      <c r="D199" t="str">
        <f t="shared" si="6"/>
        <v>ETF</v>
      </c>
      <c r="E199" t="s">
        <v>1110</v>
      </c>
      <c r="F199" t="s">
        <v>1110</v>
      </c>
      <c r="G199" t="s">
        <v>1113</v>
      </c>
      <c r="H199">
        <v>26.33</v>
      </c>
      <c r="I199">
        <v>26.44</v>
      </c>
      <c r="J199" s="35" t="str">
        <f t="shared" ca="1" si="7"/>
        <v>INSERT INTO ETFValue (DataDate, TimeCategory, ProductType, ProductLink, ProductCode, ProductName, NAV, Price, RecTime) VALUES ('2021/5/14','1', 'ETF', '00858','00858','永豐美國500大','26.33','26.44','15:15:01')</v>
      </c>
    </row>
    <row r="200" spans="1:10">
      <c r="A200" s="21">
        <v>44330</v>
      </c>
      <c r="B200" s="22">
        <v>44330.573151736113</v>
      </c>
      <c r="C200">
        <v>1</v>
      </c>
      <c r="D200" t="str">
        <f t="shared" si="6"/>
        <v>ETF</v>
      </c>
      <c r="E200" t="s">
        <v>1279</v>
      </c>
      <c r="F200" t="s">
        <v>1279</v>
      </c>
      <c r="G200" t="s">
        <v>1287</v>
      </c>
      <c r="H200">
        <v>36.227800000000002</v>
      </c>
      <c r="I200">
        <v>36.18</v>
      </c>
      <c r="J200" s="35" t="str">
        <f t="shared" ca="1" si="7"/>
        <v>INSERT INTO ETFValue (DataDate, TimeCategory, ProductType, ProductLink, ProductCode, ProductName, NAV, Price, RecTime) VALUES ('2021/5/14','1', 'ETF', '00859B','00859B','群益0-1年美債','36.2278','36.18','15:15:01')</v>
      </c>
    </row>
    <row r="201" spans="1:10">
      <c r="A201" s="21">
        <v>44330</v>
      </c>
      <c r="B201" s="22">
        <v>44330.573151736113</v>
      </c>
      <c r="C201">
        <v>1</v>
      </c>
      <c r="D201" t="str">
        <f t="shared" si="6"/>
        <v>ETF</v>
      </c>
      <c r="E201" t="s">
        <v>1280</v>
      </c>
      <c r="F201" t="s">
        <v>1280</v>
      </c>
      <c r="G201" t="s">
        <v>1288</v>
      </c>
      <c r="H201">
        <v>37.523299999999999</v>
      </c>
      <c r="I201">
        <v>37.49</v>
      </c>
      <c r="J201" s="35" t="str">
        <f t="shared" ca="1" si="7"/>
        <v>INSERT INTO ETFValue (DataDate, TimeCategory, ProductType, ProductLink, ProductCode, ProductName, NAV, Price, RecTime) VALUES ('2021/5/14','1', 'ETF', '00860B','00860B','群益1-5年IG債','37.5233','37.49','15:15:01')</v>
      </c>
    </row>
    <row r="202" spans="1:10">
      <c r="A202" s="21">
        <v>44330</v>
      </c>
      <c r="B202" s="22">
        <v>44330.573151736113</v>
      </c>
      <c r="C202">
        <v>1</v>
      </c>
      <c r="D202" t="str">
        <f t="shared" si="6"/>
        <v>ETF</v>
      </c>
      <c r="E202" t="s">
        <v>1281</v>
      </c>
      <c r="F202" t="s">
        <v>1281</v>
      </c>
      <c r="G202" t="s">
        <v>1289</v>
      </c>
      <c r="H202">
        <v>27.59</v>
      </c>
      <c r="I202">
        <v>27.61</v>
      </c>
      <c r="J202" s="35" t="str">
        <f t="shared" ca="1" si="7"/>
        <v>INSERT INTO ETFValue (DataDate, TimeCategory, ProductType, ProductLink, ProductCode, ProductName, NAV, Price, RecTime) VALUES ('2021/5/14','1', 'ETF', '00861','00861','元大全球未來通訊','27.59','27.61','15:15:01')</v>
      </c>
    </row>
    <row r="203" spans="1:10">
      <c r="A203" s="21">
        <v>44330</v>
      </c>
      <c r="B203" s="22">
        <v>44330.573151736113</v>
      </c>
      <c r="C203">
        <v>1</v>
      </c>
      <c r="D203" t="str">
        <f t="shared" si="6"/>
        <v>ETF</v>
      </c>
      <c r="E203" t="s">
        <v>1282</v>
      </c>
      <c r="F203" t="s">
        <v>1282</v>
      </c>
      <c r="G203" t="s">
        <v>1290</v>
      </c>
      <c r="H203">
        <v>37.734699999999997</v>
      </c>
      <c r="I203">
        <v>37.67</v>
      </c>
      <c r="J203" s="35" t="str">
        <f t="shared" ca="1" si="7"/>
        <v>INSERT INTO ETFValue (DataDate, TimeCategory, ProductType, ProductLink, ProductCode, ProductName, NAV, Price, RecTime) VALUES ('2021/5/14','1', 'ETF', '00862B','00862B','中信投資級公司債','37.7347','37.67','15:15:01')</v>
      </c>
    </row>
    <row r="204" spans="1:10">
      <c r="A204" s="21">
        <v>44330</v>
      </c>
      <c r="B204" s="22">
        <v>44330.573151736113</v>
      </c>
      <c r="C204">
        <v>1</v>
      </c>
      <c r="D204" t="str">
        <f t="shared" si="6"/>
        <v>ETF</v>
      </c>
      <c r="E204" t="s">
        <v>1283</v>
      </c>
      <c r="F204" t="s">
        <v>1283</v>
      </c>
      <c r="G204" t="s">
        <v>1291</v>
      </c>
      <c r="H204">
        <v>37.7545</v>
      </c>
      <c r="I204">
        <v>37.82</v>
      </c>
      <c r="J204" s="35" t="str">
        <f t="shared" ca="1" si="7"/>
        <v>INSERT INTO ETFValue (DataDate, TimeCategory, ProductType, ProductLink, ProductCode, ProductName, NAV, Price, RecTime) VALUES ('2021/5/14','1', 'ETF', '00863B','00863B','中信全球電信債','37.7545','37.82','15:15:01')</v>
      </c>
    </row>
    <row r="205" spans="1:10">
      <c r="A205" s="21">
        <v>44330</v>
      </c>
      <c r="B205" s="22">
        <v>44330.573151736113</v>
      </c>
      <c r="C205">
        <v>1</v>
      </c>
      <c r="D205" t="str">
        <f t="shared" si="6"/>
        <v>ETF</v>
      </c>
      <c r="E205" t="s">
        <v>1284</v>
      </c>
      <c r="F205" t="s">
        <v>1284</v>
      </c>
      <c r="G205" t="s">
        <v>1292</v>
      </c>
      <c r="H205">
        <v>36.840600000000002</v>
      </c>
      <c r="I205">
        <v>36.79</v>
      </c>
      <c r="J205" s="35" t="str">
        <f t="shared" ca="1" si="7"/>
        <v>INSERT INTO ETFValue (DataDate, TimeCategory, ProductType, ProductLink, ProductCode, ProductName, NAV, Price, RecTime) VALUES ('2021/5/14','1', 'ETF', '00864B','00864B','中信美國公債0-1','36.8406','36.79','15:15:01')</v>
      </c>
    </row>
    <row r="206" spans="1:10">
      <c r="A206" s="21">
        <v>44330</v>
      </c>
      <c r="B206" s="22">
        <v>44330.573151736113</v>
      </c>
      <c r="C206">
        <v>1</v>
      </c>
      <c r="D206" t="str">
        <f t="shared" si="6"/>
        <v>ETF</v>
      </c>
      <c r="E206" t="s">
        <v>1285</v>
      </c>
      <c r="F206" t="s">
        <v>1285</v>
      </c>
      <c r="G206" t="s">
        <v>1293</v>
      </c>
      <c r="H206">
        <v>36.902000000000001</v>
      </c>
      <c r="I206">
        <v>36.54</v>
      </c>
      <c r="J206" s="35" t="str">
        <f t="shared" ca="1" si="7"/>
        <v>INSERT INTO ETFValue (DataDate, TimeCategory, ProductType, ProductLink, ProductCode, ProductName, NAV, Price, RecTime) VALUES ('2021/5/14','1', 'ETF', '00865B','00865B','國泰US短期公債','36.902','36.54','15:15:01')</v>
      </c>
    </row>
    <row r="207" spans="1:10">
      <c r="A207" s="21">
        <v>44330</v>
      </c>
      <c r="B207" s="22">
        <v>44330.573151736113</v>
      </c>
      <c r="C207">
        <v>1</v>
      </c>
      <c r="D207" t="str">
        <f t="shared" si="6"/>
        <v>ETF</v>
      </c>
      <c r="E207" t="s">
        <v>1286</v>
      </c>
      <c r="F207" t="s">
        <v>1286</v>
      </c>
      <c r="G207" t="s">
        <v>1294</v>
      </c>
      <c r="H207">
        <v>37.832500000000003</v>
      </c>
      <c r="I207">
        <v>37.93</v>
      </c>
      <c r="J207" s="35" t="str">
        <f t="shared" ca="1" si="7"/>
        <v>INSERT INTO ETFValue (DataDate, TimeCategory, ProductType, ProductLink, ProductCode, ProductName, NAV, Price, RecTime) VALUES ('2021/5/14','1', 'ETF', '00867B','00867B','新光A-BBB電信債','37.8325','37.93','15:15:01')</v>
      </c>
    </row>
    <row r="208" spans="1:10">
      <c r="A208" s="21">
        <v>44330</v>
      </c>
      <c r="B208" s="22">
        <v>44330.573151736113</v>
      </c>
      <c r="C208">
        <v>1</v>
      </c>
      <c r="D208" t="str">
        <f t="shared" si="6"/>
        <v>ETF</v>
      </c>
      <c r="E208" t="s">
        <v>1313</v>
      </c>
      <c r="F208" t="s">
        <v>1313</v>
      </c>
      <c r="H208" t="e">
        <v>#N/A</v>
      </c>
      <c r="I208">
        <v>0</v>
      </c>
    </row>
    <row r="209" spans="1:10">
      <c r="A209" s="21">
        <v>44330</v>
      </c>
      <c r="B209" s="22">
        <v>44330.573151736113</v>
      </c>
      <c r="C209">
        <v>1</v>
      </c>
      <c r="D209" t="str">
        <f t="shared" si="6"/>
        <v>ETF</v>
      </c>
      <c r="E209" t="s">
        <v>1314</v>
      </c>
      <c r="F209" t="s">
        <v>1314</v>
      </c>
      <c r="G209" t="s">
        <v>1316</v>
      </c>
      <c r="H209">
        <v>36.42</v>
      </c>
      <c r="I209">
        <v>36.44</v>
      </c>
      <c r="J209" s="35" t="str">
        <f t="shared" ca="1" si="7"/>
        <v>INSERT INTO ETFValue (DataDate, TimeCategory, ProductType, ProductLink, ProductCode, ProductName, NAV, Price, RecTime) VALUES ('2021/5/14','1', 'ETF', '00869B','00869B','FT10-25年公司債','36.42','36.44','15:15:01')</v>
      </c>
    </row>
    <row r="210" spans="1:10">
      <c r="A210" s="21">
        <v>44330</v>
      </c>
      <c r="B210" s="22">
        <v>44330.573151736113</v>
      </c>
      <c r="C210">
        <v>1</v>
      </c>
      <c r="D210" t="str">
        <f t="shared" si="6"/>
        <v>ETF</v>
      </c>
      <c r="E210" t="s">
        <v>1317</v>
      </c>
      <c r="F210" t="s">
        <v>1317</v>
      </c>
      <c r="G210" t="s">
        <v>1319</v>
      </c>
      <c r="H210">
        <v>36.99</v>
      </c>
      <c r="I210">
        <v>36.97</v>
      </c>
      <c r="J210" s="35" t="str">
        <f t="shared" ca="1" si="7"/>
        <v>INSERT INTO ETFValue (DataDate, TimeCategory, ProductType, ProductLink, ProductCode, ProductName, NAV, Price, RecTime) VALUES ('2021/5/14','1', 'ETF', '00870B','00870B','元大15年EM主權債','36.99','36.97','15:15:01')</v>
      </c>
    </row>
    <row r="211" spans="1:10">
      <c r="A211" s="21">
        <v>44330</v>
      </c>
      <c r="B211" s="22">
        <v>44330.573151736113</v>
      </c>
      <c r="C211">
        <v>1</v>
      </c>
      <c r="D211" t="str">
        <f t="shared" si="6"/>
        <v>ETF</v>
      </c>
      <c r="E211" t="s">
        <v>1318</v>
      </c>
      <c r="F211" t="s">
        <v>1318</v>
      </c>
      <c r="G211" s="2" t="s">
        <v>1320</v>
      </c>
      <c r="H211" s="30">
        <v>37.54</v>
      </c>
      <c r="I211" s="30">
        <v>37.6</v>
      </c>
      <c r="J211" s="35" t="str">
        <f t="shared" ca="1" si="7"/>
        <v>INSERT INTO ETFValue (DataDate, TimeCategory, ProductType, ProductLink, ProductCode, ProductName, NAV, Price, RecTime) VALUES ('2021/5/14','1', 'ETF', '00872B','00872B','凱基美債1-3','37.54','37.6','15:15:01')</v>
      </c>
    </row>
    <row r="212" spans="1:10">
      <c r="A212" s="21">
        <v>44330</v>
      </c>
      <c r="B212" s="22">
        <v>44330.573151736113</v>
      </c>
      <c r="C212">
        <v>1</v>
      </c>
      <c r="D212" t="str">
        <f t="shared" si="6"/>
        <v>ETF</v>
      </c>
      <c r="E212" t="s">
        <v>1358</v>
      </c>
      <c r="F212" t="s">
        <v>1358</v>
      </c>
      <c r="G212" s="2" t="s">
        <v>1359</v>
      </c>
      <c r="H212">
        <v>29.37</v>
      </c>
      <c r="I212">
        <v>29.48</v>
      </c>
      <c r="J212" s="35" t="str">
        <f t="shared" ca="1" si="7"/>
        <v>INSERT INTO ETFValue (DataDate, TimeCategory, ProductType, ProductLink, ProductCode, ProductName, NAV, Price, RecTime) VALUES ('2021/5/14','1', 'ETF', '00875','00875','國泰網路資安','29.37','29.48','15:15:01')</v>
      </c>
    </row>
    <row r="213" spans="1:10">
      <c r="A213" s="21">
        <v>44330</v>
      </c>
      <c r="B213" s="22">
        <v>44330.573151736113</v>
      </c>
      <c r="C213">
        <v>1</v>
      </c>
      <c r="D213" t="str">
        <f>IF(LEFT(E213,2)="00","ETF",IF(LEFT(G213,2)="FX","FX","Futures"))</f>
        <v>ETF</v>
      </c>
      <c r="E213" t="s">
        <v>1427</v>
      </c>
      <c r="F213" t="s">
        <v>1427</v>
      </c>
      <c r="G213" s="2" t="s">
        <v>1428</v>
      </c>
      <c r="H213">
        <v>26.92</v>
      </c>
      <c r="I213" s="110">
        <v>26.96</v>
      </c>
      <c r="J213" s="35" t="str">
        <f t="shared" ca="1" si="7"/>
        <v>INSERT INTO ETFValue (DataDate, TimeCategory, ProductType, ProductLink, ProductCode, ProductName, NAV, Price, RecTime) VALUES ('2021/5/14','1', 'ETF', '00876','00876','元大未來關鍵科技','26.92','26.96','15:15:01')</v>
      </c>
    </row>
    <row r="214" spans="1:10">
      <c r="A214" s="21">
        <v>44330</v>
      </c>
      <c r="B214" s="22">
        <v>44330.573151736113</v>
      </c>
      <c r="C214">
        <v>1</v>
      </c>
      <c r="D214" t="str">
        <f>IF(LEFT(E214,2)="00","ETF",IF(LEFT(G214,2)="FX","FX","Futures"))</f>
        <v>ETF</v>
      </c>
      <c r="E214" t="s">
        <v>1429</v>
      </c>
      <c r="F214" t="s">
        <v>1429</v>
      </c>
      <c r="G214" s="2" t="s">
        <v>1430</v>
      </c>
      <c r="H214" s="30">
        <v>17.938533149090429</v>
      </c>
      <c r="I214" s="110">
        <v>18.05</v>
      </c>
      <c r="J214" s="35" t="str">
        <f t="shared" ca="1" si="7"/>
        <v>INSERT INTO ETFValue (DataDate, TimeCategory, ProductType, ProductLink, ProductCode, ProductName, NAV, Price, RecTime) VALUES ('2021/5/14','1', 'ETF', '00878','00878','國泰永續高股息','17.9385','18.05','15:15:01')</v>
      </c>
    </row>
    <row r="215" spans="1:10">
      <c r="A215" s="21">
        <v>44330</v>
      </c>
      <c r="B215" s="22">
        <v>44330.573151736113</v>
      </c>
      <c r="C215">
        <v>1</v>
      </c>
      <c r="D215" t="str">
        <f>IF(LEFT(E215,2)="00","ETF",IF(LEFT(G215,2)="FX","FX","Futures"))</f>
        <v>ETF</v>
      </c>
      <c r="E215" t="s">
        <v>1797</v>
      </c>
      <c r="F215" t="s">
        <v>1797</v>
      </c>
      <c r="G215" t="s">
        <v>1799</v>
      </c>
      <c r="H215" s="30">
        <v>37.196399999999997</v>
      </c>
      <c r="I215">
        <v>36.799999999999997</v>
      </c>
      <c r="J215" s="35" t="str">
        <f t="shared" ca="1" si="7"/>
        <v>INSERT INTO ETFValue (DataDate, TimeCategory, ProductType, ProductLink, ProductCode, ProductName, NAV, Price, RecTime) VALUES ('2021/5/14','1', 'ETF', '00879B','00879B','第一金美債0-1','37.1964','36.8','15:15:01')</v>
      </c>
    </row>
    <row r="216" spans="1:10">
      <c r="A216" s="21">
        <v>44330</v>
      </c>
      <c r="B216" s="22">
        <v>44330.573151736113</v>
      </c>
      <c r="C216">
        <v>1</v>
      </c>
      <c r="D216" t="str">
        <f t="shared" ref="D216:D229" si="8">IF(LEFT(E216,2)="00","ETF",IF(LEFT(G216,2)="FX","FX","Futures"))</f>
        <v>ETF</v>
      </c>
      <c r="E216" t="s">
        <v>1798</v>
      </c>
      <c r="F216" t="s">
        <v>1798</v>
      </c>
      <c r="G216" t="s">
        <v>1800</v>
      </c>
      <c r="H216" s="30">
        <v>34.303899999999999</v>
      </c>
      <c r="I216">
        <v>34</v>
      </c>
      <c r="J216" s="35" t="str">
        <f t="shared" ca="1" si="7"/>
        <v>INSERT INTO ETFValue (DataDate, TimeCategory, ProductType, ProductLink, ProductCode, ProductName, NAV, Price, RecTime) VALUES ('2021/5/14','1', 'ETF', '00880B','00880B','第一金電信債15+','34.3039','34','15:15:01')</v>
      </c>
    </row>
    <row r="217" spans="1:10">
      <c r="A217" s="21">
        <v>44330</v>
      </c>
      <c r="B217" s="22">
        <v>44330.573151736113</v>
      </c>
      <c r="C217">
        <v>1</v>
      </c>
      <c r="D217" t="str">
        <f t="shared" si="8"/>
        <v>ETF</v>
      </c>
      <c r="E217" t="s">
        <v>2354</v>
      </c>
      <c r="F217" t="s">
        <v>2354</v>
      </c>
      <c r="G217" t="s">
        <v>2355</v>
      </c>
      <c r="H217">
        <v>16.329999999999998</v>
      </c>
      <c r="I217">
        <v>16.38</v>
      </c>
      <c r="J217" s="35" t="str">
        <f t="shared" ca="1" si="7"/>
        <v>INSERT INTO ETFValue (DataDate, TimeCategory, ProductType, ProductLink, ProductCode, ProductName, NAV, Price, RecTime) VALUES ('2021/5/14','1', 'ETF', '00881','00881','國泰台灣5G+','16.33','16.38','15:15:01')</v>
      </c>
    </row>
    <row r="218" spans="1:10">
      <c r="A218" s="21">
        <v>44330</v>
      </c>
      <c r="B218" s="22">
        <v>44330.573151736113</v>
      </c>
      <c r="C218">
        <v>1</v>
      </c>
      <c r="D218" t="str">
        <f t="shared" si="8"/>
        <v>ETF</v>
      </c>
      <c r="E218" t="s">
        <v>2477</v>
      </c>
      <c r="F218" t="s">
        <v>2477</v>
      </c>
      <c r="G218" t="s">
        <v>2478</v>
      </c>
      <c r="H218">
        <v>15.87</v>
      </c>
      <c r="I218">
        <v>15.9</v>
      </c>
      <c r="J218" s="35" t="str">
        <f t="shared" ref="J218:J285" ca="1" si="9">"INSERT INTO ETFValue (DataDate, TimeCategory, ProductType, ProductLink, ProductCode, ProductName, NAV, Price, RecTime) VALUES ("&amp;"'"&amp;TEXT(A218,"yyyy/m/dd")&amp;"','"&amp; C218&amp;"', '"&amp;D218&amp;"', '"&amp;E218&amp;"','"&amp;F218&amp;"','"&amp;G218&amp;"','"&amp;ROUND(H218,4)&amp;"','"&amp;I218&amp;"','"&amp;TEXT($P$2,"hh:mm:ss")&amp;"')"</f>
        <v>INSERT INTO ETFValue (DataDate, TimeCategory, ProductType, ProductLink, ProductCode, ProductName, NAV, Price, RecTime) VALUES ('2021/5/14','1', 'ETF', '00882','00882','中信中國高股息','15.87','15.9','15:15:01')</v>
      </c>
    </row>
    <row r="219" spans="1:10">
      <c r="A219" s="21">
        <v>44330</v>
      </c>
      <c r="B219" s="22">
        <v>44330.573151736113</v>
      </c>
      <c r="C219">
        <v>1</v>
      </c>
      <c r="D219" t="str">
        <f t="shared" si="8"/>
        <v>ETF</v>
      </c>
      <c r="E219" t="s">
        <v>2479</v>
      </c>
      <c r="F219" t="s">
        <v>2479</v>
      </c>
      <c r="G219" t="s">
        <v>2481</v>
      </c>
      <c r="H219">
        <v>37.437199999999997</v>
      </c>
      <c r="I219">
        <v>37.42</v>
      </c>
      <c r="J219" s="35" t="str">
        <f t="shared" ca="1" si="9"/>
        <v>INSERT INTO ETFValue (DataDate, TimeCategory, ProductType, ProductLink, ProductCode, ProductName, NAV, Price, RecTime) VALUES ('2021/5/14','1', 'ETF', '00883B','00883B','中信ESG投資級債','37.4372','37.42','15:15:01')</v>
      </c>
    </row>
    <row r="220" spans="1:10">
      <c r="A220" s="21">
        <v>44330</v>
      </c>
      <c r="B220" s="22">
        <v>44330.573151736113</v>
      </c>
      <c r="C220">
        <v>1</v>
      </c>
      <c r="D220" t="str">
        <f t="shared" si="8"/>
        <v>ETF</v>
      </c>
      <c r="E220" t="s">
        <v>2480</v>
      </c>
      <c r="F220" t="s">
        <v>2480</v>
      </c>
      <c r="G220" t="s">
        <v>2482</v>
      </c>
      <c r="H220">
        <v>37.515799999999999</v>
      </c>
      <c r="I220">
        <v>37.49</v>
      </c>
      <c r="J220" s="35" t="str">
        <f t="shared" ca="1" si="9"/>
        <v>INSERT INTO ETFValue (DataDate, TimeCategory, ProductType, ProductLink, ProductCode, ProductName, NAV, Price, RecTime) VALUES ('2021/5/14','1', 'ETF', '00884B','00884B','中信低碳新興債','37.5158','37.49','15:15:01')</v>
      </c>
    </row>
    <row r="221" spans="1:10">
      <c r="A221" s="21">
        <v>44330</v>
      </c>
      <c r="B221" s="22">
        <v>44330.573151736113</v>
      </c>
      <c r="C221">
        <v>1</v>
      </c>
      <c r="D221" t="str">
        <f t="shared" si="8"/>
        <v>ETF</v>
      </c>
      <c r="E221" t="s">
        <v>2608</v>
      </c>
      <c r="F221" t="s">
        <v>2608</v>
      </c>
      <c r="G221" t="s">
        <v>2611</v>
      </c>
      <c r="H221">
        <v>19.61</v>
      </c>
      <c r="I221">
        <v>19.73</v>
      </c>
      <c r="J221" s="35" t="str">
        <f t="shared" ca="1" si="9"/>
        <v>INSERT INTO ETFValue (DataDate, TimeCategory, ProductType, ProductLink, ProductCode, ProductName, NAV, Price, RecTime) VALUES ('2021/5/14','1', 'ETF', '00886','00886','永豐美國科技','19.61','19.73','15:15:01')</v>
      </c>
    </row>
    <row r="222" spans="1:10">
      <c r="A222" s="21">
        <v>44330</v>
      </c>
      <c r="B222" s="22">
        <v>44330.573151736113</v>
      </c>
      <c r="C222">
        <v>1</v>
      </c>
      <c r="D222" t="str">
        <f t="shared" si="8"/>
        <v>ETF</v>
      </c>
      <c r="E222" s="39" t="s">
        <v>2609</v>
      </c>
      <c r="F222" s="39" t="s">
        <v>2609</v>
      </c>
      <c r="G222" s="39" t="s">
        <v>2612</v>
      </c>
      <c r="H222">
        <v>21.03</v>
      </c>
      <c r="I222">
        <v>20.81</v>
      </c>
      <c r="J222" s="35" t="str">
        <f t="shared" ca="1" si="9"/>
        <v>INSERT INTO ETFValue (DataDate, TimeCategory, ProductType, ProductLink, ProductCode, ProductName, NAV, Price, RecTime) VALUES ('2021/5/14','1', 'ETF', '00887','00887','永豐中國科技50大','21.03','20.81','15:15:01')</v>
      </c>
    </row>
    <row r="223" spans="1:10">
      <c r="A223" s="21">
        <v>44330</v>
      </c>
      <c r="B223" s="22">
        <v>44330.573151736113</v>
      </c>
      <c r="C223">
        <v>1</v>
      </c>
      <c r="D223" t="str">
        <f t="shared" ref="D223:D225" si="10">IF(LEFT(E223,2)="00","ETF",IF(LEFT(G223,2)="FX","FX","Futures"))</f>
        <v>ETF</v>
      </c>
      <c r="E223" s="39" t="s">
        <v>2610</v>
      </c>
      <c r="F223" s="39" t="s">
        <v>2610</v>
      </c>
      <c r="G223" s="39" t="s">
        <v>2613</v>
      </c>
      <c r="H223">
        <v>14.23</v>
      </c>
      <c r="I223">
        <v>14.27</v>
      </c>
      <c r="J223" s="35" t="str">
        <f t="shared" ca="1" si="9"/>
        <v>INSERT INTO ETFValue (DataDate, TimeCategory, ProductType, ProductLink, ProductCode, ProductName, NAV, Price, RecTime) VALUES ('2021/5/14','1', 'ETF', '00888','00888','永豐台灣ESG','14.23','14.27','15:15:01')</v>
      </c>
    </row>
    <row r="224" spans="1:10">
      <c r="A224" s="21">
        <v>44330</v>
      </c>
      <c r="B224" s="22">
        <v>44330.573151736113</v>
      </c>
      <c r="C224">
        <v>1</v>
      </c>
      <c r="D224" t="str">
        <f t="shared" ref="D224" si="11">IF(LEFT(E224,2)="00","ETF",IF(LEFT(G224,2)="FX","FX","Futures"))</f>
        <v>ETF</v>
      </c>
      <c r="E224" s="112" t="s">
        <v>2631</v>
      </c>
      <c r="F224" s="112" t="s">
        <v>2631</v>
      </c>
      <c r="G224" s="113" t="s">
        <v>2633</v>
      </c>
      <c r="H224" s="114">
        <v>15.14</v>
      </c>
      <c r="I224" s="114">
        <v>15.24</v>
      </c>
      <c r="J224" s="35" t="str">
        <f t="shared" ca="1" si="9"/>
        <v>INSERT INTO ETFValue (DataDate, TimeCategory, ProductType, ProductLink, ProductCode, ProductName, NAV, Price, RecTime) VALUES ('2021/5/14','1', 'ETF', '00885','00885','富邦越南','15.14','15.24','15:15:01')</v>
      </c>
    </row>
    <row r="225" spans="1:10">
      <c r="A225" s="21">
        <v>44330</v>
      </c>
      <c r="B225" s="22">
        <v>44330.573151736113</v>
      </c>
      <c r="C225">
        <v>1</v>
      </c>
      <c r="D225" t="str">
        <f t="shared" si="10"/>
        <v>FX</v>
      </c>
      <c r="E225" s="39" t="s">
        <v>1089</v>
      </c>
      <c r="F225" s="39" t="s">
        <v>676</v>
      </c>
      <c r="G225" s="39" t="s">
        <v>677</v>
      </c>
      <c r="H225">
        <v>27.975000000000001</v>
      </c>
      <c r="I225">
        <v>27.975000000000001</v>
      </c>
      <c r="J225" s="35" t="str">
        <f t="shared" ca="1" si="9"/>
        <v>INSERT INTO ETFValue (DataDate, TimeCategory, ProductType, ProductLink, ProductCode, ProductName, NAV, Price, RecTime) VALUES ('2021/5/14','1', 'FX', 'USD','TWD.FX','FX','27.975','27.975','15:15:01')</v>
      </c>
    </row>
    <row r="226" spans="1:10">
      <c r="A226" s="21">
        <v>44330</v>
      </c>
      <c r="B226" s="22">
        <v>44330.573151736113</v>
      </c>
      <c r="C226">
        <v>1</v>
      </c>
      <c r="D226" t="str">
        <f t="shared" si="8"/>
        <v>FX</v>
      </c>
      <c r="E226" t="s">
        <v>1080</v>
      </c>
      <c r="F226" s="39" t="s">
        <v>680</v>
      </c>
      <c r="G226" t="s">
        <v>677</v>
      </c>
      <c r="H226">
        <v>4.34</v>
      </c>
      <c r="I226">
        <v>4.34</v>
      </c>
      <c r="J226" s="35" t="str">
        <f t="shared" ca="1" si="9"/>
        <v>INSERT INTO ETFValue (DataDate, TimeCategory, ProductType, ProductLink, ProductCode, ProductName, NAV, Price, RecTime) VALUES ('2021/5/14','1', 'FX', 'CNY','CNYTW.FX','FX','4.34','4.34','15:15:01')</v>
      </c>
    </row>
    <row r="227" spans="1:10">
      <c r="A227" s="21">
        <v>44330</v>
      </c>
      <c r="B227" s="22">
        <v>44330.573151736113</v>
      </c>
      <c r="C227">
        <v>1</v>
      </c>
      <c r="D227" t="str">
        <f t="shared" si="8"/>
        <v>FX</v>
      </c>
      <c r="E227" t="s">
        <v>1082</v>
      </c>
      <c r="F227" t="s">
        <v>681</v>
      </c>
      <c r="G227" t="s">
        <v>677</v>
      </c>
      <c r="H227">
        <v>0.25540000000000002</v>
      </c>
      <c r="I227">
        <v>0.25540000000000002</v>
      </c>
      <c r="J227" s="35" t="str">
        <f t="shared" ca="1" si="9"/>
        <v>INSERT INTO ETFValue (DataDate, TimeCategory, ProductType, ProductLink, ProductCode, ProductName, NAV, Price, RecTime) VALUES ('2021/5/14','1', 'FX', 'JPY','JPYTW.FX','FX','0.2554','0.2554','15:15:01')</v>
      </c>
    </row>
    <row r="228" spans="1:10">
      <c r="A228" s="21">
        <v>44330</v>
      </c>
      <c r="B228" s="22">
        <v>44330.573151736113</v>
      </c>
      <c r="C228">
        <v>1</v>
      </c>
      <c r="D228" t="str">
        <f t="shared" si="8"/>
        <v>FX</v>
      </c>
      <c r="E228" t="s">
        <v>1084</v>
      </c>
      <c r="F228" t="s">
        <v>707</v>
      </c>
      <c r="G228" t="s">
        <v>677</v>
      </c>
      <c r="H228">
        <v>3.6004</v>
      </c>
      <c r="I228">
        <v>3.6004</v>
      </c>
      <c r="J228" s="35" t="str">
        <f t="shared" ca="1" si="9"/>
        <v>INSERT INTO ETFValue (DataDate, TimeCategory, ProductType, ProductLink, ProductCode, ProductName, NAV, Price, RecTime) VALUES ('2021/5/14','1', 'FX', 'HKD','HKDTW.FX','FX','3.6004','3.6004','15:15:01')</v>
      </c>
    </row>
    <row r="229" spans="1:10">
      <c r="A229" s="21">
        <v>44330</v>
      </c>
      <c r="B229" s="22">
        <v>44330.573151736113</v>
      </c>
      <c r="C229">
        <v>1</v>
      </c>
      <c r="D229" t="str">
        <f t="shared" si="8"/>
        <v>FX</v>
      </c>
      <c r="E229" t="s">
        <v>719</v>
      </c>
      <c r="F229" t="s">
        <v>678</v>
      </c>
      <c r="G229" t="s">
        <v>677</v>
      </c>
      <c r="H229">
        <v>6.4440999999999997</v>
      </c>
      <c r="I229">
        <v>6.4440999999999997</v>
      </c>
      <c r="J229" s="35" t="str">
        <f t="shared" ca="1" si="9"/>
        <v>INSERT INTO ETFValue (DataDate, TimeCategory, ProductType, ProductLink, ProductCode, ProductName, NAV, Price, RecTime) VALUES ('2021/5/14','1', 'FX', 'USDCNH','CNH.FX','FX','6.4441','6.4441','15:15:01')</v>
      </c>
    </row>
    <row r="230" spans="1:10">
      <c r="A230" s="21">
        <v>44330</v>
      </c>
      <c r="B230" s="22">
        <v>44330.573151736113</v>
      </c>
      <c r="C230">
        <v>1</v>
      </c>
      <c r="D230" t="str">
        <f>IF(LEFT(E230,2)="00","ETF",IF(LEFT(G230,2)="FX","FX","Futures"))</f>
        <v>FX</v>
      </c>
      <c r="E230" t="s">
        <v>720</v>
      </c>
      <c r="F230" t="s">
        <v>679</v>
      </c>
      <c r="G230" t="s">
        <v>677</v>
      </c>
      <c r="H230">
        <v>6.4439000000000002</v>
      </c>
      <c r="I230">
        <v>6.4439000000000002</v>
      </c>
      <c r="J230" s="35" t="str">
        <f t="shared" ca="1" si="9"/>
        <v>INSERT INTO ETFValue (DataDate, TimeCategory, ProductType, ProductLink, ProductCode, ProductName, NAV, Price, RecTime) VALUES ('2021/5/14','1', 'FX', 'USDCNY','CNY.FX','FX','6.4439','6.4439','15:15:01')</v>
      </c>
    </row>
    <row r="231" spans="1:10">
      <c r="A231" s="21">
        <v>44330</v>
      </c>
      <c r="B231" s="22">
        <v>44330.573151736113</v>
      </c>
      <c r="C231">
        <v>1</v>
      </c>
      <c r="D231" t="str">
        <f>IF(LEFT(E231,2)="00","ETF",IF(LEFT(G231,2)="FX","FX","Futures"))</f>
        <v>Futures</v>
      </c>
      <c r="E231" t="s">
        <v>1856</v>
      </c>
      <c r="F231" t="s">
        <v>1840</v>
      </c>
      <c r="G231" t="s">
        <v>682</v>
      </c>
      <c r="H231" s="30">
        <v>23.55</v>
      </c>
      <c r="I231">
        <v>23.55</v>
      </c>
      <c r="J231" s="35" t="str">
        <f t="shared" ca="1" si="9"/>
        <v>INSERT INTO ETFValue (DataDate, TimeCategory, ProductType, ProductLink, ProductCode, ProductName, NAV, Price, RecTime) VALUES ('2021/5/14','1', 'Futures', 'VXF1','VX-M21','CFE','23.55','23.55','15:15:01')</v>
      </c>
    </row>
    <row r="232" spans="1:10">
      <c r="A232" s="21">
        <v>44330</v>
      </c>
      <c r="B232" s="22">
        <v>44330.573151736113</v>
      </c>
      <c r="C232">
        <v>1</v>
      </c>
      <c r="D232" t="str">
        <f>IF(LEFT(E232,2)="00","ETF",IF(LEFT(G232,2)="FX","FX","Futures"))</f>
        <v>Futures</v>
      </c>
      <c r="E232" t="s">
        <v>1857</v>
      </c>
      <c r="F232" t="s">
        <v>1842</v>
      </c>
      <c r="G232" t="s">
        <v>682</v>
      </c>
      <c r="H232" s="30">
        <v>24.47</v>
      </c>
      <c r="I232">
        <v>24.47</v>
      </c>
      <c r="J232" s="35" t="str">
        <f t="shared" ca="1" si="9"/>
        <v>INSERT INTO ETFValue (DataDate, TimeCategory, ProductType, ProductLink, ProductCode, ProductName, NAV, Price, RecTime) VALUES ('2021/5/14','1', 'Futures', 'VXG1','VX-N21','CFE','24.47','24.47','15:15:01')</v>
      </c>
    </row>
    <row r="233" spans="1:10">
      <c r="A233" s="21">
        <v>44330</v>
      </c>
      <c r="B233" s="22">
        <v>44330.573151736113</v>
      </c>
      <c r="C233">
        <v>1</v>
      </c>
      <c r="D233" t="str">
        <f t="shared" si="6"/>
        <v>Futures</v>
      </c>
      <c r="E233" t="s">
        <v>1858</v>
      </c>
      <c r="F233" t="s">
        <v>1844</v>
      </c>
      <c r="G233" t="s">
        <v>682</v>
      </c>
      <c r="H233">
        <v>24.77</v>
      </c>
      <c r="I233">
        <v>24.77</v>
      </c>
      <c r="J233" s="35" t="str">
        <f t="shared" ca="1" si="9"/>
        <v>INSERT INTO ETFValue (DataDate, TimeCategory, ProductType, ProductLink, ProductCode, ProductName, NAV, Price, RecTime) VALUES ('2021/5/14','1', 'Futures', 'VXH1','VX-Q21','CFE','24.77','24.77','15:15:01')</v>
      </c>
    </row>
    <row r="234" spans="1:10">
      <c r="A234" s="21">
        <v>44330</v>
      </c>
      <c r="B234" s="22">
        <v>44330.573151736113</v>
      </c>
      <c r="C234">
        <v>1</v>
      </c>
      <c r="D234" t="str">
        <f t="shared" si="6"/>
        <v>Futures</v>
      </c>
      <c r="E234" t="s">
        <v>2447</v>
      </c>
      <c r="F234" t="s">
        <v>2435</v>
      </c>
      <c r="G234" t="s">
        <v>682</v>
      </c>
      <c r="H234">
        <v>25.15</v>
      </c>
      <c r="I234">
        <v>25.15</v>
      </c>
      <c r="J234" s="35" t="str">
        <f t="shared" ca="1" si="9"/>
        <v>INSERT INTO ETFValue (DataDate, TimeCategory, ProductType, ProductLink, ProductCode, ProductName, NAV, Price, RecTime) VALUES ('2021/5/14','1', 'Futures', 'VXI1','VX-U21','CFE','25.15','25.15','15:15:01')</v>
      </c>
    </row>
    <row r="235" spans="1:10">
      <c r="A235" s="21">
        <v>44330</v>
      </c>
      <c r="B235" s="22">
        <v>44330.573151736113</v>
      </c>
      <c r="C235">
        <v>1</v>
      </c>
      <c r="D235" t="str">
        <f t="shared" si="6"/>
        <v>Futures</v>
      </c>
      <c r="E235" t="s">
        <v>2488</v>
      </c>
      <c r="F235" t="s">
        <v>2486</v>
      </c>
      <c r="G235" t="s">
        <v>682</v>
      </c>
      <c r="H235">
        <v>25.2</v>
      </c>
      <c r="I235">
        <v>25.2</v>
      </c>
      <c r="J235" s="35" t="str">
        <f t="shared" ca="1" si="9"/>
        <v>INSERT INTO ETFValue (DataDate, TimeCategory, ProductType, ProductLink, ProductCode, ProductName, NAV, Price, RecTime) VALUES ('2021/5/14','1', 'Futures', 'VXJ1','VX-V21','CFE','25.2','25.2','15:15:01')</v>
      </c>
    </row>
    <row r="236" spans="1:10">
      <c r="A236" s="21">
        <v>44330</v>
      </c>
      <c r="B236" s="22">
        <v>44330.573151736113</v>
      </c>
      <c r="C236">
        <v>1</v>
      </c>
      <c r="D236" t="str">
        <f t="shared" si="6"/>
        <v>Futures</v>
      </c>
      <c r="E236" t="s">
        <v>2499</v>
      </c>
      <c r="F236" t="s">
        <v>2497</v>
      </c>
      <c r="G236" t="s">
        <v>682</v>
      </c>
      <c r="H236">
        <v>24.96</v>
      </c>
      <c r="I236">
        <v>24.96</v>
      </c>
      <c r="J236" s="35" t="str">
        <f t="shared" ca="1" si="9"/>
        <v>INSERT INTO ETFValue (DataDate, TimeCategory, ProductType, ProductLink, ProductCode, ProductName, NAV, Price, RecTime) VALUES ('2021/5/14','1', 'Futures', 'VXK1','VX-X21','CFE','24.96','24.96','15:15:01')</v>
      </c>
    </row>
    <row r="237" spans="1:10">
      <c r="A237" s="21">
        <v>44330</v>
      </c>
      <c r="B237" s="22">
        <v>44330.573151736113</v>
      </c>
      <c r="C237">
        <v>1</v>
      </c>
      <c r="D237" t="str">
        <f t="shared" si="6"/>
        <v>Futures</v>
      </c>
      <c r="E237" t="s">
        <v>1424</v>
      </c>
      <c r="F237" t="s">
        <v>1423</v>
      </c>
      <c r="G237" t="s">
        <v>682</v>
      </c>
      <c r="H237" t="e">
        <v>#N/A</v>
      </c>
      <c r="I237" t="e">
        <v>#N/A</v>
      </c>
    </row>
    <row r="238" spans="1:10">
      <c r="A238" s="21">
        <v>44330</v>
      </c>
      <c r="B238" s="22">
        <v>44330.573151736113</v>
      </c>
      <c r="C238">
        <v>1</v>
      </c>
      <c r="D238" t="str">
        <f t="shared" si="6"/>
        <v>Futures</v>
      </c>
      <c r="E238" t="s">
        <v>1645</v>
      </c>
      <c r="F238" t="s">
        <v>1637</v>
      </c>
      <c r="G238" t="s">
        <v>682</v>
      </c>
      <c r="H238" t="e">
        <v>#N/A</v>
      </c>
      <c r="I238" t="e">
        <v>#N/A</v>
      </c>
    </row>
    <row r="239" spans="1:10">
      <c r="A239" s="21">
        <v>44330</v>
      </c>
      <c r="B239" s="22">
        <v>44330.573151736113</v>
      </c>
      <c r="C239">
        <v>1</v>
      </c>
      <c r="D239" t="str">
        <f t="shared" si="6"/>
        <v>Futures</v>
      </c>
      <c r="E239" t="s">
        <v>1790</v>
      </c>
      <c r="F239" t="s">
        <v>1786</v>
      </c>
      <c r="G239" t="s">
        <v>682</v>
      </c>
      <c r="H239">
        <v>21.9</v>
      </c>
      <c r="I239">
        <v>21.9</v>
      </c>
      <c r="J239" s="35" t="str">
        <f t="shared" ca="1" si="9"/>
        <v>INSERT INTO ETFValue (DataDate, TimeCategory, ProductType, ProductLink, ProductCode, ProductName, NAV, Price, RecTime) VALUES ('2021/5/14','1', 'Futures', 'VXE1','VX-K21','CFE','21.9','21.9','15:15:01')</v>
      </c>
    </row>
    <row r="240" spans="1:10">
      <c r="A240" s="21">
        <v>44330</v>
      </c>
      <c r="B240" s="22">
        <v>44330.573151736113</v>
      </c>
      <c r="C240">
        <v>1</v>
      </c>
      <c r="D240" t="str">
        <f t="shared" si="6"/>
        <v>Futures</v>
      </c>
      <c r="E240" t="s">
        <v>1859</v>
      </c>
      <c r="F240" t="s">
        <v>1853</v>
      </c>
      <c r="G240" t="s">
        <v>683</v>
      </c>
      <c r="H240">
        <v>63.82</v>
      </c>
      <c r="I240">
        <v>63.82</v>
      </c>
      <c r="J240" s="35" t="str">
        <f t="shared" ca="1" si="9"/>
        <v>INSERT INTO ETFValue (DataDate, TimeCategory, ProductType, ProductLink, ProductCode, ProductName, NAV, Price, RecTime) VALUES ('2021/5/14','1', 'Futures', 'CLG1','CL-N21','NYMEX','63.82','63.82','15:15:01')</v>
      </c>
    </row>
    <row r="241" spans="1:10">
      <c r="A241" s="21">
        <v>44330</v>
      </c>
      <c r="B241" s="22">
        <v>44330.573151736113</v>
      </c>
      <c r="C241">
        <v>1</v>
      </c>
      <c r="D241" t="str">
        <f t="shared" si="6"/>
        <v>Futures</v>
      </c>
      <c r="E241" t="s">
        <v>2562</v>
      </c>
      <c r="F241" t="s">
        <v>2528</v>
      </c>
      <c r="G241" t="s">
        <v>683</v>
      </c>
      <c r="H241">
        <v>63.68</v>
      </c>
      <c r="I241">
        <v>63.68</v>
      </c>
      <c r="J241" s="35" t="str">
        <f t="shared" ca="1" si="9"/>
        <v>INSERT INTO ETFValue (DataDate, TimeCategory, ProductType, ProductLink, ProductCode, ProductName, NAV, Price, RecTime) VALUES ('2021/5/14','1', 'Futures', 'CLH1','CL-Q21','NYMEX','63.68','63.68','15:15:01')</v>
      </c>
    </row>
    <row r="242" spans="1:10">
      <c r="A242" s="21">
        <v>44330</v>
      </c>
      <c r="B242" s="22">
        <v>44330.573151736113</v>
      </c>
      <c r="C242">
        <v>1</v>
      </c>
      <c r="D242" t="str">
        <f t="shared" si="6"/>
        <v>Futures</v>
      </c>
      <c r="E242" t="s">
        <v>2563</v>
      </c>
      <c r="F242" t="s">
        <v>2530</v>
      </c>
      <c r="G242" t="s">
        <v>683</v>
      </c>
      <c r="H242">
        <v>63.35</v>
      </c>
      <c r="I242">
        <v>63.35</v>
      </c>
      <c r="J242" s="35" t="str">
        <f t="shared" ca="1" si="9"/>
        <v>INSERT INTO ETFValue (DataDate, TimeCategory, ProductType, ProductLink, ProductCode, ProductName, NAV, Price, RecTime) VALUES ('2021/5/14','1', 'Futures', 'CLI1','CL-U21','NYMEX','63.35','63.35','15:15:01')</v>
      </c>
    </row>
    <row r="243" spans="1:10">
      <c r="A243" s="21">
        <v>44330</v>
      </c>
      <c r="B243" s="22">
        <v>44330.573151736113</v>
      </c>
      <c r="C243">
        <v>1</v>
      </c>
      <c r="D243" t="str">
        <f t="shared" si="6"/>
        <v>Futures</v>
      </c>
      <c r="E243" t="s">
        <v>1860</v>
      </c>
      <c r="F243" t="s">
        <v>1854</v>
      </c>
      <c r="G243" t="s">
        <v>683</v>
      </c>
      <c r="H243">
        <v>62.97</v>
      </c>
      <c r="I243">
        <v>62.97</v>
      </c>
      <c r="J243" s="35" t="str">
        <f t="shared" ca="1" si="9"/>
        <v>INSERT INTO ETFValue (DataDate, TimeCategory, ProductType, ProductLink, ProductCode, ProductName, NAV, Price, RecTime) VALUES ('2021/5/14','1', 'Futures', 'CLJ1','CL-V21','NYMEX','62.97','62.97','15:15:01')</v>
      </c>
    </row>
    <row r="244" spans="1:10">
      <c r="A244" s="21">
        <v>44330</v>
      </c>
      <c r="B244" s="22">
        <v>44330.573151736113</v>
      </c>
      <c r="C244">
        <v>1</v>
      </c>
      <c r="D244" t="str">
        <f t="shared" si="6"/>
        <v>Futures</v>
      </c>
      <c r="E244" t="s">
        <v>1861</v>
      </c>
      <c r="F244" t="s">
        <v>1836</v>
      </c>
      <c r="G244" t="s">
        <v>683</v>
      </c>
      <c r="H244">
        <v>62.41</v>
      </c>
      <c r="I244">
        <v>62.41</v>
      </c>
      <c r="J244" s="35" t="str">
        <f t="shared" ca="1" si="9"/>
        <v>INSERT INTO ETFValue (DataDate, TimeCategory, ProductType, ProductLink, ProductCode, ProductName, NAV, Price, RecTime) VALUES ('2021/5/14','1', 'Futures', 'CLK1','CL-X21','NYMEX','62.41','62.41','15:15:01')</v>
      </c>
    </row>
    <row r="245" spans="1:10">
      <c r="A245" s="21">
        <v>44330</v>
      </c>
      <c r="B245" s="22">
        <v>44330.573151736113</v>
      </c>
      <c r="C245">
        <v>1</v>
      </c>
      <c r="D245" t="str">
        <f t="shared" si="6"/>
        <v>Futures</v>
      </c>
      <c r="E245" t="s">
        <v>1862</v>
      </c>
      <c r="F245" t="s">
        <v>1838</v>
      </c>
      <c r="G245" t="s">
        <v>683</v>
      </c>
      <c r="H245">
        <v>62.19</v>
      </c>
      <c r="I245">
        <v>62.19</v>
      </c>
      <c r="J245" s="35" t="str">
        <f t="shared" ca="1" si="9"/>
        <v>INSERT INTO ETFValue (DataDate, TimeCategory, ProductType, ProductLink, ProductCode, ProductName, NAV, Price, RecTime) VALUES ('2021/5/14','1', 'Futures', 'CLL1','CL-Z21','NYMEX','62.19','62.19','15:15:01')</v>
      </c>
    </row>
    <row r="246" spans="1:10">
      <c r="A246" s="21">
        <v>44330</v>
      </c>
      <c r="B246" s="22">
        <v>44330.573151736113</v>
      </c>
      <c r="C246">
        <v>1</v>
      </c>
      <c r="D246" t="str">
        <f t="shared" si="6"/>
        <v>Futures</v>
      </c>
      <c r="E246" t="s">
        <v>1381</v>
      </c>
      <c r="F246" t="s">
        <v>1371</v>
      </c>
      <c r="G246" t="s">
        <v>683</v>
      </c>
      <c r="H246" t="e">
        <v>#N/A</v>
      </c>
      <c r="I246" t="e">
        <v>#N/A</v>
      </c>
    </row>
    <row r="247" spans="1:10">
      <c r="A247" s="21">
        <v>44330</v>
      </c>
      <c r="B247" s="22">
        <v>44330.573151736113</v>
      </c>
      <c r="C247">
        <v>1</v>
      </c>
      <c r="D247" t="str">
        <f t="shared" si="6"/>
        <v>Futures</v>
      </c>
      <c r="E247" t="s">
        <v>1382</v>
      </c>
      <c r="F247" t="s">
        <v>1373</v>
      </c>
      <c r="G247" t="s">
        <v>683</v>
      </c>
      <c r="H247" t="e">
        <v>#N/A</v>
      </c>
      <c r="I247" t="e">
        <v>#N/A</v>
      </c>
    </row>
    <row r="248" spans="1:10">
      <c r="A248" s="21">
        <v>44330</v>
      </c>
      <c r="B248" s="22">
        <v>44330.573151736113</v>
      </c>
      <c r="C248">
        <v>1</v>
      </c>
      <c r="D248" t="str">
        <f t="shared" si="6"/>
        <v>Futures</v>
      </c>
      <c r="E248" t="s">
        <v>1646</v>
      </c>
      <c r="F248" t="s">
        <v>1638</v>
      </c>
      <c r="G248" t="s">
        <v>683</v>
      </c>
      <c r="H248" t="e">
        <v>#N/A</v>
      </c>
      <c r="I248" t="e">
        <v>#N/A</v>
      </c>
    </row>
    <row r="249" spans="1:10">
      <c r="A249" s="21">
        <v>44330</v>
      </c>
      <c r="B249" s="22">
        <v>44330.573151736113</v>
      </c>
      <c r="C249">
        <v>1</v>
      </c>
      <c r="D249" t="str">
        <f t="shared" si="6"/>
        <v>Futures</v>
      </c>
      <c r="E249" t="s">
        <v>1647</v>
      </c>
      <c r="F249" t="s">
        <v>1639</v>
      </c>
      <c r="G249" t="s">
        <v>683</v>
      </c>
      <c r="H249">
        <v>63.8</v>
      </c>
      <c r="I249">
        <v>63.8</v>
      </c>
      <c r="J249" s="35" t="str">
        <f t="shared" ca="1" si="9"/>
        <v>INSERT INTO ETFValue (DataDate, TimeCategory, ProductType, ProductLink, ProductCode, ProductName, NAV, Price, RecTime) VALUES ('2021/5/14','1', 'Futures', 'CLF1','CL-M21','NYMEX','63.8','63.8','15:15:01')</v>
      </c>
    </row>
    <row r="250" spans="1:10">
      <c r="A250" s="21">
        <v>44330</v>
      </c>
      <c r="B250" s="22">
        <v>44330.573151736113</v>
      </c>
      <c r="C250">
        <v>1</v>
      </c>
      <c r="D250" t="str">
        <f t="shared" si="6"/>
        <v>Futures</v>
      </c>
      <c r="E250" t="s">
        <v>2448</v>
      </c>
      <c r="F250" t="s">
        <v>2414</v>
      </c>
      <c r="G250" t="s">
        <v>684</v>
      </c>
      <c r="H250">
        <v>4099.75</v>
      </c>
      <c r="I250">
        <v>4099.75</v>
      </c>
      <c r="J250" s="35" t="str">
        <f t="shared" ca="1" si="9"/>
        <v>INSERT INTO ETFValue (DataDate, TimeCategory, ProductType, ProductLink, ProductCode, ProductName, NAV, Price, RecTime) VALUES ('2021/5/14','1', 'Futures', 'ESL1','ES-Z21','CME','4099.75','4099.75','15:15:01')</v>
      </c>
    </row>
    <row r="251" spans="1:10">
      <c r="A251" s="21">
        <v>44330</v>
      </c>
      <c r="B251" s="22">
        <v>44330.573151736113</v>
      </c>
      <c r="C251">
        <v>1</v>
      </c>
      <c r="D251" t="str">
        <f t="shared" si="6"/>
        <v>Futures</v>
      </c>
      <c r="E251" t="s">
        <v>1383</v>
      </c>
      <c r="F251" t="s">
        <v>1375</v>
      </c>
      <c r="G251" t="s">
        <v>684</v>
      </c>
      <c r="H251" t="e">
        <v>#N/A</v>
      </c>
      <c r="I251" t="e">
        <v>#N/A</v>
      </c>
    </row>
    <row r="252" spans="1:10">
      <c r="A252" s="21">
        <v>44330</v>
      </c>
      <c r="B252" s="22">
        <v>44330.573151736113</v>
      </c>
      <c r="C252">
        <v>1</v>
      </c>
      <c r="D252" t="str">
        <f t="shared" si="6"/>
        <v>Futures</v>
      </c>
      <c r="E252" t="s">
        <v>1410</v>
      </c>
      <c r="F252" t="s">
        <v>1399</v>
      </c>
      <c r="G252" t="s">
        <v>684</v>
      </c>
      <c r="H252">
        <v>4129.25</v>
      </c>
      <c r="I252">
        <v>4129.25</v>
      </c>
      <c r="J252" s="35" t="str">
        <f t="shared" ca="1" si="9"/>
        <v>INSERT INTO ETFValue (DataDate, TimeCategory, ProductType, ProductLink, ProductCode, ProductName, NAV, Price, RecTime) VALUES ('2021/5/14','1', 'Futures', 'ESF1','ES-M21','CME','4129.25','4129.25','15:15:01')</v>
      </c>
    </row>
    <row r="253" spans="1:10">
      <c r="A253" s="21">
        <v>44330</v>
      </c>
      <c r="B253" s="22">
        <v>44330.573151736113</v>
      </c>
      <c r="C253">
        <v>1</v>
      </c>
      <c r="D253" t="str">
        <f t="shared" si="6"/>
        <v>Futures</v>
      </c>
      <c r="E253" t="s">
        <v>2564</v>
      </c>
      <c r="F253" t="s">
        <v>2532</v>
      </c>
      <c r="G253" t="s">
        <v>684</v>
      </c>
      <c r="H253">
        <v>4119.5</v>
      </c>
      <c r="I253">
        <v>4119.5</v>
      </c>
      <c r="J253" s="35" t="str">
        <f t="shared" ca="1" si="9"/>
        <v>INSERT INTO ETFValue (DataDate, TimeCategory, ProductType, ProductLink, ProductCode, ProductName, NAV, Price, RecTime) VALUES ('2021/5/14','1', 'Futures', 'ESI1','ES-U21','CME','4119.5','4119.5','15:15:01')</v>
      </c>
    </row>
    <row r="254" spans="1:10">
      <c r="A254" s="21">
        <v>44330</v>
      </c>
      <c r="B254" s="22">
        <v>44330.573151736113</v>
      </c>
      <c r="C254">
        <v>1</v>
      </c>
      <c r="D254" t="str">
        <f t="shared" si="6"/>
        <v>Futures</v>
      </c>
      <c r="E254" t="s">
        <v>2449</v>
      </c>
      <c r="F254" t="s">
        <v>2416</v>
      </c>
      <c r="G254" t="s">
        <v>684</v>
      </c>
      <c r="H254">
        <v>0</v>
      </c>
      <c r="I254">
        <v>0</v>
      </c>
      <c r="J254" s="35" t="str">
        <f t="shared" ca="1" si="9"/>
        <v>INSERT INTO ETFValue (DataDate, TimeCategory, ProductType, ProductLink, ProductCode, ProductName, NAV, Price, RecTime) VALUES ('2021/5/14','1', 'Futures', 'NQL1','NQ-Z21','CME','0','0','15:15:01')</v>
      </c>
    </row>
    <row r="255" spans="1:10">
      <c r="A255" s="21">
        <v>44330</v>
      </c>
      <c r="B255" s="22">
        <v>44330.573151736113</v>
      </c>
      <c r="C255">
        <v>1</v>
      </c>
      <c r="D255" t="str">
        <f t="shared" si="6"/>
        <v>Futures</v>
      </c>
      <c r="E255" t="s">
        <v>1384</v>
      </c>
      <c r="F255" t="s">
        <v>1377</v>
      </c>
      <c r="G255" t="s">
        <v>684</v>
      </c>
      <c r="H255" t="e">
        <v>#N/A</v>
      </c>
      <c r="I255" t="e">
        <v>#N/A</v>
      </c>
    </row>
    <row r="256" spans="1:10">
      <c r="A256" s="21">
        <v>44330</v>
      </c>
      <c r="B256" s="22">
        <v>44330.573151736113</v>
      </c>
      <c r="C256">
        <v>1</v>
      </c>
      <c r="D256" t="str">
        <f t="shared" si="6"/>
        <v>Futures</v>
      </c>
      <c r="E256" t="s">
        <v>1411</v>
      </c>
      <c r="F256" t="s">
        <v>1401</v>
      </c>
      <c r="G256" t="s">
        <v>684</v>
      </c>
      <c r="H256">
        <v>13188.25</v>
      </c>
      <c r="I256">
        <v>13188.25</v>
      </c>
      <c r="J256" s="35" t="str">
        <f t="shared" ca="1" si="9"/>
        <v>INSERT INTO ETFValue (DataDate, TimeCategory, ProductType, ProductLink, ProductCode, ProductName, NAV, Price, RecTime) VALUES ('2021/5/14','1', 'Futures', 'NQF1','NQ-M21','CME','13188.25','13188.25','15:15:01')</v>
      </c>
    </row>
    <row r="257" spans="1:10">
      <c r="A257" s="21">
        <v>44330</v>
      </c>
      <c r="B257" s="22">
        <v>44330.573151736113</v>
      </c>
      <c r="C257">
        <v>1</v>
      </c>
      <c r="D257" t="str">
        <f t="shared" si="6"/>
        <v>Futures</v>
      </c>
      <c r="E257" t="s">
        <v>2565</v>
      </c>
      <c r="F257" t="s">
        <v>2534</v>
      </c>
      <c r="G257" t="s">
        <v>684</v>
      </c>
      <c r="H257">
        <v>13176</v>
      </c>
      <c r="I257">
        <v>13176</v>
      </c>
      <c r="J257" s="35" t="str">
        <f t="shared" ca="1" si="9"/>
        <v>INSERT INTO ETFValue (DataDate, TimeCategory, ProductType, ProductLink, ProductCode, ProductName, NAV, Price, RecTime) VALUES ('2021/5/14','1', 'Futures', 'NQI1','NQ-U21','CME','13176','13176','15:15:01')</v>
      </c>
    </row>
    <row r="258" spans="1:10">
      <c r="A258" s="21">
        <v>44330</v>
      </c>
      <c r="B258" s="22">
        <v>44330.573151736113</v>
      </c>
      <c r="C258">
        <v>1</v>
      </c>
      <c r="D258" t="str">
        <f t="shared" si="6"/>
        <v>Futures</v>
      </c>
      <c r="E258" t="s">
        <v>2450</v>
      </c>
      <c r="F258" t="s">
        <v>2418</v>
      </c>
      <c r="G258" t="s">
        <v>685</v>
      </c>
      <c r="H258">
        <v>-7.9228162514264338E+28</v>
      </c>
      <c r="I258">
        <v>-7.9228162514264338E+28</v>
      </c>
    </row>
    <row r="259" spans="1:10">
      <c r="A259" s="21">
        <v>44330</v>
      </c>
      <c r="B259" s="22">
        <v>44330.573151736113</v>
      </c>
      <c r="C259">
        <v>1</v>
      </c>
      <c r="D259" t="str">
        <f t="shared" si="6"/>
        <v>Futures</v>
      </c>
      <c r="E259" t="s">
        <v>1385</v>
      </c>
      <c r="F259" t="s">
        <v>1379</v>
      </c>
      <c r="G259" t="s">
        <v>685</v>
      </c>
      <c r="H259" t="e">
        <v>#N/A</v>
      </c>
      <c r="I259" t="e">
        <v>#N/A</v>
      </c>
    </row>
    <row r="260" spans="1:10">
      <c r="A260" s="21">
        <v>44330</v>
      </c>
      <c r="B260" s="22">
        <v>44330.573151736113</v>
      </c>
      <c r="C260">
        <v>1</v>
      </c>
      <c r="D260" t="str">
        <f t="shared" si="6"/>
        <v>Futures</v>
      </c>
      <c r="E260" t="s">
        <v>1412</v>
      </c>
      <c r="F260" t="s">
        <v>1403</v>
      </c>
      <c r="G260" t="s">
        <v>685</v>
      </c>
      <c r="H260">
        <v>34100</v>
      </c>
      <c r="I260">
        <v>34100</v>
      </c>
      <c r="J260" s="35" t="str">
        <f t="shared" ca="1" si="9"/>
        <v>INSERT INTO ETFValue (DataDate, TimeCategory, ProductType, ProductLink, ProductCode, ProductName, NAV, Price, RecTime) VALUES ('2021/5/14','1', 'Futures', 'YMF1','YM-M21','CBOT','34100','34100','15:15:01')</v>
      </c>
    </row>
    <row r="261" spans="1:10">
      <c r="A261" s="21">
        <v>44330</v>
      </c>
      <c r="B261" s="22">
        <v>44330.573151736113</v>
      </c>
      <c r="C261">
        <v>1</v>
      </c>
      <c r="D261" t="str">
        <f t="shared" si="6"/>
        <v>Futures</v>
      </c>
      <c r="E261" t="s">
        <v>2566</v>
      </c>
      <c r="F261" t="s">
        <v>2536</v>
      </c>
      <c r="G261" t="s">
        <v>685</v>
      </c>
      <c r="H261">
        <v>33997</v>
      </c>
      <c r="I261">
        <v>33997</v>
      </c>
      <c r="J261" s="35" t="str">
        <f t="shared" ca="1" si="9"/>
        <v>INSERT INTO ETFValue (DataDate, TimeCategory, ProductType, ProductLink, ProductCode, ProductName, NAV, Price, RecTime) VALUES ('2021/5/14','1', 'Futures', 'YMI1','YM-U21','CBOT','33997','33997','15:15:01')</v>
      </c>
    </row>
    <row r="262" spans="1:10">
      <c r="A262" s="21">
        <v>44330</v>
      </c>
      <c r="B262" s="22">
        <v>44330.573151736113</v>
      </c>
      <c r="C262">
        <v>1</v>
      </c>
      <c r="D262" t="str">
        <f t="shared" si="6"/>
        <v>Futures</v>
      </c>
      <c r="E262" t="s">
        <v>2679</v>
      </c>
      <c r="F262" t="s">
        <v>2672</v>
      </c>
      <c r="G262" t="s">
        <v>686</v>
      </c>
      <c r="H262" t="e">
        <v>#N/A</v>
      </c>
      <c r="I262" t="e">
        <v>#N/A</v>
      </c>
    </row>
    <row r="263" spans="1:10">
      <c r="A263" s="21">
        <v>44330</v>
      </c>
      <c r="B263" s="22">
        <v>44330.573151736113</v>
      </c>
      <c r="C263">
        <v>1</v>
      </c>
      <c r="D263" t="str">
        <f t="shared" si="6"/>
        <v>Futures</v>
      </c>
      <c r="E263" t="s">
        <v>2680</v>
      </c>
      <c r="F263" t="s">
        <v>2674</v>
      </c>
      <c r="G263" t="s">
        <v>686</v>
      </c>
      <c r="H263" t="e">
        <v>#N/A</v>
      </c>
      <c r="I263" t="e">
        <v>#N/A</v>
      </c>
    </row>
    <row r="264" spans="1:10">
      <c r="A264" s="21">
        <v>44330</v>
      </c>
      <c r="B264" s="22">
        <v>44330.573151736113</v>
      </c>
      <c r="C264">
        <v>1</v>
      </c>
      <c r="D264" t="str">
        <f t="shared" si="6"/>
        <v>Futures</v>
      </c>
      <c r="E264" t="s">
        <v>2567</v>
      </c>
      <c r="F264" t="s">
        <v>2538</v>
      </c>
      <c r="G264" t="s">
        <v>686</v>
      </c>
      <c r="H264">
        <v>27824</v>
      </c>
      <c r="I264">
        <v>27824</v>
      </c>
      <c r="J264" s="35" t="str">
        <f t="shared" ref="J264:J266" ca="1" si="12">"INSERT INTO ETFValue (DataDate, TimeCategory, ProductType, ProductLink, ProductCode, ProductName, NAV, Price, RecTime) VALUES ("&amp;"'"&amp;TEXT(A264,"yyyy/m/dd")&amp;"','"&amp; C264&amp;"', '"&amp;D264&amp;"', '"&amp;E264&amp;"','"&amp;F264&amp;"','"&amp;G264&amp;"','"&amp;ROUND(H264,4)&amp;"','"&amp;I264&amp;"','"&amp;TEXT($P$2,"hh:mm:ss")&amp;"')"</f>
        <v>INSERT INTO ETFValue (DataDate, TimeCategory, ProductType, ProductLink, ProductCode, ProductName, NAV, Price, RecTime) VALUES ('2021/5/14','1', 'Futures', 'HSIE1','HSI-K21','HKEX','27824','27824','15:15:01')</v>
      </c>
    </row>
    <row r="265" spans="1:10">
      <c r="A265" s="21">
        <v>44330</v>
      </c>
      <c r="B265" s="22">
        <v>44330.573151736113</v>
      </c>
      <c r="C265">
        <v>1</v>
      </c>
      <c r="D265" t="str">
        <f t="shared" si="6"/>
        <v>Futures</v>
      </c>
      <c r="E265" t="s">
        <v>2568</v>
      </c>
      <c r="F265" t="s">
        <v>2540</v>
      </c>
      <c r="G265" t="s">
        <v>686</v>
      </c>
      <c r="H265">
        <v>27666</v>
      </c>
      <c r="I265">
        <v>27666</v>
      </c>
      <c r="J265" s="35" t="str">
        <f t="shared" ca="1" si="12"/>
        <v>INSERT INTO ETFValue (DataDate, TimeCategory, ProductType, ProductLink, ProductCode, ProductName, NAV, Price, RecTime) VALUES ('2021/5/14','1', 'Futures', 'HSIF1','HSI-M21','HKEX','27666','27666','15:15:01')</v>
      </c>
    </row>
    <row r="266" spans="1:10">
      <c r="A266" s="21">
        <v>44330</v>
      </c>
      <c r="B266" s="22">
        <v>44330.573151736113</v>
      </c>
      <c r="C266">
        <v>1</v>
      </c>
      <c r="D266" t="str">
        <f t="shared" si="6"/>
        <v>Futures</v>
      </c>
      <c r="E266" t="s">
        <v>2569</v>
      </c>
      <c r="F266" t="s">
        <v>2542</v>
      </c>
      <c r="G266" t="s">
        <v>686</v>
      </c>
      <c r="H266">
        <v>27823</v>
      </c>
      <c r="I266">
        <v>27823</v>
      </c>
      <c r="J266" s="35" t="str">
        <f t="shared" ca="1" si="12"/>
        <v>INSERT INTO ETFValue (DataDate, TimeCategory, ProductType, ProductLink, ProductCode, ProductName, NAV, Price, RecTime) VALUES ('2021/5/14','1', 'Futures', 'MHIE1','MHI-K21','HKEX','27823','27823','15:15:01')</v>
      </c>
    </row>
    <row r="267" spans="1:10">
      <c r="A267" s="21">
        <v>44330</v>
      </c>
      <c r="B267" s="22">
        <v>44330.573151736113</v>
      </c>
      <c r="C267">
        <v>1</v>
      </c>
      <c r="D267" t="str">
        <f t="shared" si="6"/>
        <v>Futures</v>
      </c>
      <c r="E267" t="s">
        <v>2570</v>
      </c>
      <c r="F267" t="s">
        <v>2544</v>
      </c>
      <c r="G267" t="s">
        <v>686</v>
      </c>
      <c r="H267">
        <v>27676</v>
      </c>
      <c r="I267">
        <v>27676</v>
      </c>
      <c r="J267" s="35" t="str">
        <f t="shared" ref="J267" ca="1" si="13">"INSERT INTO ETFValue (DataDate, TimeCategory, ProductType, ProductLink, ProductCode, ProductName, NAV, Price, RecTime) VALUES ("&amp;"'"&amp;TEXT(A267,"yyyy/m/dd")&amp;"','"&amp; C267&amp;"', '"&amp;D267&amp;"', '"&amp;E267&amp;"','"&amp;F267&amp;"','"&amp;G267&amp;"','"&amp;ROUND(H267,4)&amp;"','"&amp;I267&amp;"','"&amp;TEXT($P$2,"hh:mm:ss")&amp;"')"</f>
        <v>INSERT INTO ETFValue (DataDate, TimeCategory, ProductType, ProductLink, ProductCode, ProductName, NAV, Price, RecTime) VALUES ('2021/5/14','1', 'Futures', 'MHIF1','MHI-M21','HKEX','27676','27676','15:15:01')</v>
      </c>
    </row>
    <row r="268" spans="1:10">
      <c r="A268" s="21">
        <v>44330</v>
      </c>
      <c r="B268" s="22">
        <v>44330.573151736113</v>
      </c>
      <c r="C268">
        <v>1</v>
      </c>
      <c r="D268" t="str">
        <f t="shared" si="6"/>
        <v>Futures</v>
      </c>
      <c r="E268" t="s">
        <v>2390</v>
      </c>
      <c r="F268" t="s">
        <v>2384</v>
      </c>
      <c r="G268" t="s">
        <v>686</v>
      </c>
      <c r="H268" s="39" t="e">
        <v>#N/A</v>
      </c>
      <c r="I268" s="39" t="e">
        <v>#N/A</v>
      </c>
    </row>
    <row r="269" spans="1:10">
      <c r="A269" s="21">
        <v>44330</v>
      </c>
      <c r="B269" s="22">
        <v>44330.573151736113</v>
      </c>
      <c r="C269">
        <v>1</v>
      </c>
      <c r="D269" t="str">
        <f t="shared" si="6"/>
        <v>Futures</v>
      </c>
      <c r="E269" t="s">
        <v>2391</v>
      </c>
      <c r="F269" t="s">
        <v>2386</v>
      </c>
      <c r="G269" t="s">
        <v>686</v>
      </c>
      <c r="H269" s="39" t="e">
        <v>#N/A</v>
      </c>
      <c r="I269" s="39" t="e">
        <v>#N/A</v>
      </c>
    </row>
    <row r="270" spans="1:10">
      <c r="A270" s="21">
        <v>44330</v>
      </c>
      <c r="B270" s="22">
        <v>44330.573151736113</v>
      </c>
      <c r="C270">
        <v>1</v>
      </c>
      <c r="D270" t="str">
        <f t="shared" si="6"/>
        <v>Futures</v>
      </c>
      <c r="E270" t="s">
        <v>2571</v>
      </c>
      <c r="F270" t="s">
        <v>2546</v>
      </c>
      <c r="G270" t="s">
        <v>687</v>
      </c>
      <c r="H270" s="39">
        <v>17242</v>
      </c>
      <c r="I270" s="39">
        <v>17242</v>
      </c>
      <c r="J270" s="35" t="str">
        <f t="shared" ref="J270:J271" ca="1" si="14">"INSERT INTO ETFValue (DataDate, TimeCategory, ProductType, ProductLink, ProductCode, ProductName, NAV, Price, RecTime) VALUES ("&amp;"'"&amp;TEXT(A270,"yyyy/m/dd")&amp;"','"&amp; C270&amp;"', '"&amp;D270&amp;"', '"&amp;E270&amp;"','"&amp;F270&amp;"','"&amp;G270&amp;"','"&amp;ROUND(H270,4)&amp;"','"&amp;I270&amp;"','"&amp;TEXT($P$2,"hh:mm:ss")&amp;"')"</f>
        <v>INSERT INTO ETFValue (DataDate, TimeCategory, ProductType, ProductLink, ProductCode, ProductName, NAV, Price, RecTime) VALUES ('2021/5/14','1', 'Futures', 'SCNE1','CN-K21','SGX','17242','17242','15:15:01')</v>
      </c>
    </row>
    <row r="271" spans="1:10">
      <c r="A271" s="21">
        <v>44330</v>
      </c>
      <c r="B271" s="22">
        <v>44330.573151736113</v>
      </c>
      <c r="C271">
        <v>1</v>
      </c>
      <c r="D271" t="str">
        <f t="shared" si="6"/>
        <v>Futures</v>
      </c>
      <c r="E271" t="s">
        <v>2572</v>
      </c>
      <c r="F271" t="s">
        <v>2548</v>
      </c>
      <c r="G271" t="s">
        <v>687</v>
      </c>
      <c r="H271" s="39">
        <v>17000</v>
      </c>
      <c r="I271" s="39">
        <v>17000</v>
      </c>
      <c r="J271" s="35" t="str">
        <f t="shared" ca="1" si="14"/>
        <v>INSERT INTO ETFValue (DataDate, TimeCategory, ProductType, ProductLink, ProductCode, ProductName, NAV, Price, RecTime) VALUES ('2021/5/14','1', 'Futures', 'SCNG1','CN-N21','SGX','17000','17000','15:15:01')</v>
      </c>
    </row>
    <row r="272" spans="1:10">
      <c r="A272" s="21">
        <v>44330</v>
      </c>
      <c r="B272" s="22">
        <v>44330.573151736113</v>
      </c>
      <c r="C272">
        <v>1</v>
      </c>
      <c r="D272" t="str">
        <f t="shared" si="6"/>
        <v>Futures</v>
      </c>
      <c r="E272" t="s">
        <v>2392</v>
      </c>
      <c r="F272" t="s">
        <v>2382</v>
      </c>
      <c r="G272" t="s">
        <v>687</v>
      </c>
      <c r="H272" s="39" t="e">
        <v>#N/A</v>
      </c>
      <c r="I272" s="39" t="e">
        <v>#N/A</v>
      </c>
    </row>
    <row r="273" spans="1:10">
      <c r="A273" s="21">
        <v>44330</v>
      </c>
      <c r="B273" s="22">
        <v>44330.573151736113</v>
      </c>
      <c r="C273">
        <v>1</v>
      </c>
      <c r="D273" t="str">
        <f t="shared" si="6"/>
        <v>Futures</v>
      </c>
      <c r="E273" t="s">
        <v>2681</v>
      </c>
      <c r="F273" t="s">
        <v>2670</v>
      </c>
      <c r="G273" t="s">
        <v>687</v>
      </c>
      <c r="H273" s="39" t="e">
        <v>#N/A</v>
      </c>
      <c r="I273" s="39" t="e">
        <v>#N/A</v>
      </c>
    </row>
    <row r="274" spans="1:10">
      <c r="A274" s="21">
        <v>44330</v>
      </c>
      <c r="B274" s="22">
        <v>44330.573151736113</v>
      </c>
      <c r="C274">
        <v>1</v>
      </c>
      <c r="D274" t="str">
        <f t="shared" ref="D274:D327" si="15">IF(LEFT(E274,2)="00","ETF",IF(LEFT(G274,2)="FX","FX","Futures"))</f>
        <v>Futures</v>
      </c>
      <c r="E274" t="s">
        <v>1648</v>
      </c>
      <c r="F274" t="s">
        <v>1640</v>
      </c>
      <c r="G274" t="s">
        <v>687</v>
      </c>
      <c r="H274" s="39">
        <v>17139</v>
      </c>
      <c r="I274" s="39">
        <v>17139</v>
      </c>
      <c r="J274" s="35" t="str">
        <f t="shared" ca="1" si="9"/>
        <v>INSERT INTO ETFValue (DataDate, TimeCategory, ProductType, ProductLink, ProductCode, ProductName, NAV, Price, RecTime) VALUES ('2021/5/14','1', 'Futures', 'SCNF1','CN-M21','SGX','17139','17139','15:15:01')</v>
      </c>
    </row>
    <row r="275" spans="1:10">
      <c r="A275" s="21">
        <v>44330</v>
      </c>
      <c r="B275" s="22">
        <v>44330.573151736113</v>
      </c>
      <c r="C275">
        <v>1</v>
      </c>
      <c r="D275" t="str">
        <f t="shared" si="15"/>
        <v>Futures</v>
      </c>
      <c r="E275" t="s">
        <v>2470</v>
      </c>
      <c r="F275" t="s">
        <v>2468</v>
      </c>
      <c r="G275" t="s">
        <v>687</v>
      </c>
      <c r="H275" s="39" t="e">
        <v>#N/A</v>
      </c>
      <c r="I275" s="39" t="e">
        <v>#N/A</v>
      </c>
    </row>
    <row r="276" spans="1:10">
      <c r="A276" s="21">
        <v>44330</v>
      </c>
      <c r="B276" s="22">
        <v>44330.573151736113</v>
      </c>
      <c r="C276">
        <v>1</v>
      </c>
      <c r="D276" t="str">
        <f t="shared" si="15"/>
        <v>Futures</v>
      </c>
      <c r="E276" t="s">
        <v>2451</v>
      </c>
      <c r="F276" t="s">
        <v>2422</v>
      </c>
      <c r="G276" t="s">
        <v>685</v>
      </c>
      <c r="H276" s="39">
        <v>182.96875</v>
      </c>
      <c r="I276" s="39">
        <v>182.96875</v>
      </c>
      <c r="J276" s="35" t="str">
        <f t="shared" ca="1" si="9"/>
        <v>INSERT INTO ETFValue (DataDate, TimeCategory, ProductType, ProductLink, ProductCode, ProductName, NAV, Price, RecTime) VALUES ('2021/5/14','1', 'Futures', 'UBF1','UB-M21','CBOT','182.9688','182.96875','15:15:01')</v>
      </c>
    </row>
    <row r="277" spans="1:10">
      <c r="A277" s="21">
        <v>44330</v>
      </c>
      <c r="B277" s="22">
        <v>44330.573151736113</v>
      </c>
      <c r="C277">
        <v>1</v>
      </c>
      <c r="D277" t="str">
        <f t="shared" si="15"/>
        <v>Futures</v>
      </c>
      <c r="E277" t="s">
        <v>2452</v>
      </c>
      <c r="F277" t="s">
        <v>2420</v>
      </c>
      <c r="G277" t="s">
        <v>685</v>
      </c>
      <c r="H277" s="39">
        <v>181.3125</v>
      </c>
      <c r="I277" s="39">
        <v>181.3125</v>
      </c>
    </row>
    <row r="278" spans="1:10">
      <c r="A278" s="21">
        <v>44330</v>
      </c>
      <c r="B278" s="22">
        <v>44330.573151736113</v>
      </c>
      <c r="C278">
        <v>1</v>
      </c>
      <c r="D278" t="str">
        <f t="shared" si="15"/>
        <v>Futures</v>
      </c>
      <c r="E278" t="s">
        <v>2682</v>
      </c>
      <c r="F278" t="s">
        <v>2668</v>
      </c>
      <c r="G278" t="s">
        <v>685</v>
      </c>
      <c r="H278" s="39" t="e">
        <v>#N/A</v>
      </c>
      <c r="I278" s="39" t="e">
        <v>#N/A</v>
      </c>
    </row>
    <row r="279" spans="1:10">
      <c r="A279" s="21">
        <v>44330</v>
      </c>
      <c r="B279" s="22">
        <v>44330.573151736113</v>
      </c>
      <c r="C279">
        <v>1</v>
      </c>
      <c r="D279" t="str">
        <f t="shared" si="15"/>
        <v>Futures</v>
      </c>
      <c r="E279" t="s">
        <v>1863</v>
      </c>
      <c r="F279" t="s">
        <v>1846</v>
      </c>
      <c r="G279" t="s">
        <v>683</v>
      </c>
      <c r="H279">
        <v>1826.9</v>
      </c>
      <c r="I279">
        <v>1826.9</v>
      </c>
      <c r="J279" s="35" t="str">
        <f t="shared" ref="J279:J281" ca="1" si="16">"INSERT INTO ETFValue (DataDate, TimeCategory, ProductType, ProductLink, ProductCode, ProductName, NAV, Price, RecTime) VALUES ("&amp;"'"&amp;TEXT(A279,"yyyy/m/dd")&amp;"','"&amp; C279&amp;"', '"&amp;D279&amp;"', '"&amp;E279&amp;"','"&amp;F279&amp;"','"&amp;G279&amp;"','"&amp;ROUND(H279,4)&amp;"','"&amp;I279&amp;"','"&amp;TEXT($P$2,"hh:mm:ss")&amp;"')"</f>
        <v>INSERT INTO ETFValue (DataDate, TimeCategory, ProductType, ProductLink, ProductCode, ProductName, NAV, Price, RecTime) VALUES ('2021/5/14','1', 'Futures', 'GCJ1','GC-V21','NYMEX','1826.9','1826.9','15:15:01')</v>
      </c>
    </row>
    <row r="280" spans="1:10">
      <c r="A280" s="21">
        <v>44330</v>
      </c>
      <c r="B280" s="22">
        <v>44330.573151736113</v>
      </c>
      <c r="C280">
        <v>1</v>
      </c>
      <c r="D280" t="str">
        <f t="shared" si="15"/>
        <v>Futures</v>
      </c>
      <c r="E280" t="s">
        <v>2393</v>
      </c>
      <c r="F280" t="s">
        <v>2380</v>
      </c>
      <c r="G280" t="s">
        <v>683</v>
      </c>
      <c r="H280">
        <v>1829</v>
      </c>
      <c r="I280">
        <v>1829</v>
      </c>
      <c r="J280" s="35" t="str">
        <f t="shared" ca="1" si="16"/>
        <v>INSERT INTO ETFValue (DataDate, TimeCategory, ProductType, ProductLink, ProductCode, ProductName, NAV, Price, RecTime) VALUES ('2021/5/14','1', 'Futures', 'GCL1','GC-Z21','NYMEX','1829','1829','15:15:01')</v>
      </c>
    </row>
    <row r="281" spans="1:10">
      <c r="A281" s="21">
        <v>44330</v>
      </c>
      <c r="B281" s="22">
        <v>44330.573151736113</v>
      </c>
      <c r="C281">
        <v>1</v>
      </c>
      <c r="D281" t="str">
        <f t="shared" si="15"/>
        <v>Futures</v>
      </c>
      <c r="E281" t="s">
        <v>2573</v>
      </c>
      <c r="F281" t="s">
        <v>2550</v>
      </c>
      <c r="G281" t="s">
        <v>683</v>
      </c>
      <c r="H281">
        <v>0</v>
      </c>
      <c r="I281">
        <v>0</v>
      </c>
      <c r="J281" s="35" t="str">
        <f t="shared" ca="1" si="16"/>
        <v>INSERT INTO ETFValue (DataDate, TimeCategory, ProductType, ProductLink, ProductCode, ProductName, NAV, Price, RecTime) VALUES ('2021/5/14','1', 'Futures', 'GCB2','GC-G22','NYMEX','0','0','15:15:01')</v>
      </c>
    </row>
    <row r="282" spans="1:10">
      <c r="A282" s="21">
        <v>44330</v>
      </c>
      <c r="B282" s="22">
        <v>44330.573151736113</v>
      </c>
      <c r="C282">
        <v>1</v>
      </c>
      <c r="D282" t="str">
        <f t="shared" si="15"/>
        <v>Futures</v>
      </c>
      <c r="E282" t="s">
        <v>1413</v>
      </c>
      <c r="F282" t="s">
        <v>1405</v>
      </c>
      <c r="G282" t="s">
        <v>683</v>
      </c>
      <c r="H282" t="e">
        <v>#N/A</v>
      </c>
      <c r="I282" t="e">
        <v>#N/A</v>
      </c>
    </row>
    <row r="283" spans="1:10">
      <c r="A283" s="21">
        <v>44330</v>
      </c>
      <c r="B283" s="22">
        <v>44330.573151736113</v>
      </c>
      <c r="C283">
        <v>1</v>
      </c>
      <c r="D283" t="str">
        <f t="shared" si="15"/>
        <v>Futures</v>
      </c>
      <c r="E283" t="s">
        <v>1649</v>
      </c>
      <c r="F283" t="s">
        <v>1641</v>
      </c>
      <c r="G283" t="s">
        <v>683</v>
      </c>
      <c r="H283">
        <v>1823.1</v>
      </c>
      <c r="I283">
        <v>1823.1</v>
      </c>
      <c r="J283" s="35" t="str">
        <f t="shared" ca="1" si="9"/>
        <v>INSERT INTO ETFValue (DataDate, TimeCategory, ProductType, ProductLink, ProductCode, ProductName, NAV, Price, RecTime) VALUES ('2021/5/14','1', 'Futures', 'GCF1','GC-M21','NYMEX','1823.1','1823.1','15:15:01')</v>
      </c>
    </row>
    <row r="284" spans="1:10">
      <c r="A284" s="21">
        <v>44330</v>
      </c>
      <c r="B284" s="22">
        <v>44330.573151736113</v>
      </c>
      <c r="C284">
        <v>1</v>
      </c>
      <c r="D284" t="str">
        <f t="shared" si="15"/>
        <v>Futures</v>
      </c>
      <c r="E284" t="s">
        <v>2394</v>
      </c>
      <c r="F284" t="s">
        <v>2378</v>
      </c>
      <c r="G284" t="s">
        <v>683</v>
      </c>
      <c r="H284">
        <v>1825.4</v>
      </c>
      <c r="I284">
        <v>1825.4</v>
      </c>
      <c r="J284" s="35" t="str">
        <f t="shared" ca="1" si="9"/>
        <v>INSERT INTO ETFValue (DataDate, TimeCategory, ProductType, ProductLink, ProductCode, ProductName, NAV, Price, RecTime) VALUES ('2021/5/14','1', 'Futures', 'GCH1','GC-Q21','NYMEX','1825.4','1825.4','15:15:01')</v>
      </c>
    </row>
    <row r="285" spans="1:10">
      <c r="A285" s="21">
        <v>44330</v>
      </c>
      <c r="B285" s="22">
        <v>44330.573151736113</v>
      </c>
      <c r="C285">
        <v>1</v>
      </c>
      <c r="D285" t="str">
        <f t="shared" si="15"/>
        <v>Futures</v>
      </c>
      <c r="E285" t="s">
        <v>2396</v>
      </c>
      <c r="F285" t="s">
        <v>2377</v>
      </c>
      <c r="G285" t="s">
        <v>688</v>
      </c>
      <c r="H285">
        <v>66.47</v>
      </c>
      <c r="I285">
        <v>66.47</v>
      </c>
      <c r="J285" s="35" t="str">
        <f t="shared" ca="1" si="9"/>
        <v>INSERT INTO ETFValue (DataDate, TimeCategory, ProductType, ProductLink, ProductCode, ProductName, NAV, Price, RecTime) VALUES ('2021/5/14','1', 'Futures', 'LCOBI1','BRN-U21','ICE_EU','66.47','66.47','15:15:01')</v>
      </c>
    </row>
    <row r="286" spans="1:10">
      <c r="A286" s="21">
        <v>44330</v>
      </c>
      <c r="B286" s="22">
        <v>44330.573151736113</v>
      </c>
      <c r="C286">
        <v>1</v>
      </c>
      <c r="D286" t="str">
        <f t="shared" si="15"/>
        <v>Futures</v>
      </c>
      <c r="E286" t="s">
        <v>1864</v>
      </c>
      <c r="F286" t="s">
        <v>1855</v>
      </c>
      <c r="G286" t="s">
        <v>688</v>
      </c>
      <c r="H286">
        <v>66.099999999999994</v>
      </c>
      <c r="I286">
        <v>66.099999999999994</v>
      </c>
      <c r="J286" s="35" t="str">
        <f t="shared" ref="J286:J370" ca="1" si="17">"INSERT INTO ETFValue (DataDate, TimeCategory, ProductType, ProductLink, ProductCode, ProductName, NAV, Price, RecTime) VALUES ("&amp;"'"&amp;TEXT(A286,"yyyy/m/dd")&amp;"','"&amp; C286&amp;"', '"&amp;D286&amp;"', '"&amp;E286&amp;"','"&amp;F286&amp;"','"&amp;G286&amp;"','"&amp;ROUND(H286,4)&amp;"','"&amp;I286&amp;"','"&amp;TEXT($P$2,"hh:mm:ss")&amp;"')"</f>
        <v>INSERT INTO ETFValue (DataDate, TimeCategory, ProductType, ProductLink, ProductCode, ProductName, NAV, Price, RecTime) VALUES ('2021/5/14','1', 'Futures', 'LCOBJ1','BRN-V21','ICE_EU','66.1','66.1','15:15:01')</v>
      </c>
    </row>
    <row r="287" spans="1:10">
      <c r="A287" s="21">
        <v>44330</v>
      </c>
      <c r="B287" s="22">
        <v>44330.573151736113</v>
      </c>
      <c r="C287">
        <v>1</v>
      </c>
      <c r="D287" t="str">
        <f t="shared" si="15"/>
        <v>Futures</v>
      </c>
      <c r="E287" t="s">
        <v>2574</v>
      </c>
      <c r="F287" t="s">
        <v>2554</v>
      </c>
      <c r="G287" t="s">
        <v>688</v>
      </c>
      <c r="H287">
        <v>65.39</v>
      </c>
      <c r="I287">
        <v>65.39</v>
      </c>
      <c r="J287" s="35" t="str">
        <f t="shared" ca="1" si="17"/>
        <v>INSERT INTO ETFValue (DataDate, TimeCategory, ProductType, ProductLink, ProductCode, ProductName, NAV, Price, RecTime) VALUES ('2021/5/14','1', 'Futures', 'LCOBL1','BRN-Z21','ICE_EU','65.39','65.39','15:15:01')</v>
      </c>
    </row>
    <row r="288" spans="1:10">
      <c r="A288" s="21">
        <v>44330</v>
      </c>
      <c r="B288" s="22">
        <v>44330.573151736113</v>
      </c>
      <c r="C288">
        <v>1</v>
      </c>
      <c r="D288" t="str">
        <f t="shared" si="15"/>
        <v>Futures</v>
      </c>
      <c r="E288" t="s">
        <v>2575</v>
      </c>
      <c r="F288" t="s">
        <v>2552</v>
      </c>
      <c r="G288" t="s">
        <v>688</v>
      </c>
      <c r="H288">
        <v>65.75</v>
      </c>
      <c r="I288">
        <v>65.75</v>
      </c>
      <c r="J288" s="35" t="str">
        <f t="shared" ca="1" si="17"/>
        <v>INSERT INTO ETFValue (DataDate, TimeCategory, ProductType, ProductLink, ProductCode, ProductName, NAV, Price, RecTime) VALUES ('2021/5/14','1', 'Futures', 'LCOBK1','BRN-X21','ICE_EU','65.75','65.75','15:15:01')</v>
      </c>
    </row>
    <row r="289" spans="1:10">
      <c r="A289" s="21">
        <v>44330</v>
      </c>
      <c r="B289" s="22">
        <v>44330.573151736113</v>
      </c>
      <c r="C289">
        <v>1</v>
      </c>
      <c r="D289" t="str">
        <f t="shared" si="15"/>
        <v>Futures</v>
      </c>
      <c r="E289" t="s">
        <v>2453</v>
      </c>
      <c r="F289" t="s">
        <v>2426</v>
      </c>
      <c r="G289" t="s">
        <v>688</v>
      </c>
      <c r="H289">
        <v>66.77</v>
      </c>
      <c r="I289">
        <v>66.77</v>
      </c>
      <c r="J289" s="35" t="str">
        <f t="shared" ref="J289" ca="1" si="18">"INSERT INTO ETFValue (DataDate, TimeCategory, ProductType, ProductLink, ProductCode, ProductName, NAV, Price, RecTime) VALUES ("&amp;"'"&amp;TEXT(A289,"yyyy/m/dd")&amp;"','"&amp; C289&amp;"', '"&amp;D289&amp;"', '"&amp;E289&amp;"','"&amp;F289&amp;"','"&amp;G289&amp;"','"&amp;ROUND(H289,4)&amp;"','"&amp;I289&amp;"','"&amp;TEXT($P$2,"hh:mm:ss")&amp;"')"</f>
        <v>INSERT INTO ETFValue (DataDate, TimeCategory, ProductType, ProductLink, ProductCode, ProductName, NAV, Price, RecTime) VALUES ('2021/5/14','1', 'Futures', 'LCOBH1','BRN-Q21','ICE_EU','66.77','66.77','15:15:01')</v>
      </c>
    </row>
    <row r="290" spans="1:10">
      <c r="A290" s="21">
        <v>44330</v>
      </c>
      <c r="B290" s="22">
        <v>44330.573151736113</v>
      </c>
      <c r="C290">
        <v>1</v>
      </c>
      <c r="D290" t="str">
        <f t="shared" si="15"/>
        <v>Futures</v>
      </c>
      <c r="E290" t="s">
        <v>2576</v>
      </c>
      <c r="F290" t="s">
        <v>2556</v>
      </c>
      <c r="G290" t="s">
        <v>688</v>
      </c>
      <c r="H290" t="e">
        <v>#N/A</v>
      </c>
      <c r="I290" t="e">
        <v>#N/A</v>
      </c>
    </row>
    <row r="291" spans="1:10">
      <c r="A291" s="21">
        <v>44330</v>
      </c>
      <c r="B291" s="22">
        <v>44330.573151736113</v>
      </c>
      <c r="C291">
        <v>1</v>
      </c>
      <c r="D291" t="str">
        <f t="shared" si="15"/>
        <v>Futures</v>
      </c>
      <c r="E291" t="s">
        <v>2683</v>
      </c>
      <c r="F291" t="s">
        <v>2666</v>
      </c>
      <c r="G291" t="s">
        <v>688</v>
      </c>
      <c r="H291" t="e">
        <v>#N/A</v>
      </c>
      <c r="I291" t="e">
        <v>#N/A</v>
      </c>
    </row>
    <row r="292" spans="1:10">
      <c r="A292" s="21">
        <v>44330</v>
      </c>
      <c r="B292" s="22">
        <v>44330.573151736113</v>
      </c>
      <c r="C292">
        <v>1</v>
      </c>
      <c r="D292" t="str">
        <f t="shared" si="15"/>
        <v>Futures</v>
      </c>
      <c r="E292" t="s">
        <v>1414</v>
      </c>
      <c r="F292" t="s">
        <v>1407</v>
      </c>
      <c r="G292" t="s">
        <v>688</v>
      </c>
      <c r="H292" t="e">
        <v>#N/A</v>
      </c>
      <c r="I292" t="e">
        <v>#N/A</v>
      </c>
    </row>
    <row r="293" spans="1:10">
      <c r="A293" s="21">
        <v>44330</v>
      </c>
      <c r="B293" s="22">
        <v>44330.573151736113</v>
      </c>
      <c r="C293">
        <v>1</v>
      </c>
      <c r="D293" t="str">
        <f t="shared" si="15"/>
        <v>Futures</v>
      </c>
      <c r="E293" t="s">
        <v>2454</v>
      </c>
      <c r="F293" t="s">
        <v>2424</v>
      </c>
      <c r="G293" t="s">
        <v>688</v>
      </c>
      <c r="H293" t="e">
        <v>#N/A</v>
      </c>
      <c r="I293" t="e">
        <v>#N/A</v>
      </c>
    </row>
    <row r="294" spans="1:10">
      <c r="A294" s="21">
        <v>44330</v>
      </c>
      <c r="B294" s="22">
        <v>44330.573151736113</v>
      </c>
      <c r="C294">
        <v>1</v>
      </c>
      <c r="D294" t="str">
        <f t="shared" si="15"/>
        <v>Futures</v>
      </c>
      <c r="E294" t="s">
        <v>2395</v>
      </c>
      <c r="F294" t="s">
        <v>2375</v>
      </c>
      <c r="G294" t="s">
        <v>688</v>
      </c>
      <c r="H294">
        <v>66.95</v>
      </c>
      <c r="I294">
        <v>66.95</v>
      </c>
      <c r="J294" s="35" t="str">
        <f t="shared" ref="J294" ca="1" si="19">"INSERT INTO ETFValue (DataDate, TimeCategory, ProductType, ProductLink, ProductCode, ProductName, NAV, Price, RecTime) VALUES ("&amp;"'"&amp;TEXT(A294,"yyyy/m/dd")&amp;"','"&amp; C294&amp;"', '"&amp;D294&amp;"', '"&amp;E294&amp;"','"&amp;F294&amp;"','"&amp;G294&amp;"','"&amp;ROUND(H294,4)&amp;"','"&amp;I294&amp;"','"&amp;TEXT($P$2,"hh:mm:ss")&amp;"')"</f>
        <v>INSERT INTO ETFValue (DataDate, TimeCategory, ProductType, ProductLink, ProductCode, ProductName, NAV, Price, RecTime) VALUES ('2021/5/14','1', 'Futures', 'LCOBG1','BRN-N21','ICE_EU','66.95','66.95','15:15:01')</v>
      </c>
    </row>
    <row r="295" spans="1:10">
      <c r="A295" s="21">
        <v>44330</v>
      </c>
      <c r="B295" s="22">
        <v>44330.573151736113</v>
      </c>
      <c r="C295">
        <v>1</v>
      </c>
      <c r="D295" t="str">
        <f t="shared" si="15"/>
        <v>Futures</v>
      </c>
      <c r="E295" t="s">
        <v>1333</v>
      </c>
      <c r="F295" t="s">
        <v>1332</v>
      </c>
      <c r="G295" t="s">
        <v>685</v>
      </c>
      <c r="H295" t="e">
        <v>#N/A</v>
      </c>
      <c r="I295" t="e">
        <v>#N/A</v>
      </c>
    </row>
    <row r="296" spans="1:10">
      <c r="A296" s="21">
        <v>44330</v>
      </c>
      <c r="B296" s="22">
        <v>44330.573151736113</v>
      </c>
      <c r="C296">
        <v>1</v>
      </c>
      <c r="D296" t="str">
        <f t="shared" si="15"/>
        <v>Futures</v>
      </c>
      <c r="E296" t="s">
        <v>1325</v>
      </c>
      <c r="F296" t="s">
        <v>1323</v>
      </c>
      <c r="G296" t="s">
        <v>685</v>
      </c>
      <c r="H296" t="e">
        <v>#N/A</v>
      </c>
      <c r="I296" t="e">
        <v>#N/A</v>
      </c>
    </row>
    <row r="297" spans="1:10">
      <c r="A297" s="21">
        <v>44330</v>
      </c>
      <c r="B297" s="22">
        <v>44330.573151736113</v>
      </c>
      <c r="C297">
        <v>1</v>
      </c>
      <c r="D297" t="str">
        <f t="shared" si="15"/>
        <v>Futures</v>
      </c>
      <c r="E297" t="s">
        <v>1337</v>
      </c>
      <c r="F297" t="s">
        <v>1336</v>
      </c>
      <c r="G297" t="s">
        <v>685</v>
      </c>
      <c r="H297">
        <v>0</v>
      </c>
      <c r="I297">
        <v>0</v>
      </c>
      <c r="J297" s="35" t="str">
        <f t="shared" ref="J297" ca="1" si="20">"INSERT INTO ETFValue (DataDate, TimeCategory, ProductType, ProductLink, ProductCode, ProductName, NAV, Price, RecTime) VALUES ("&amp;"'"&amp;TEXT(A297,"yyyy/m/dd")&amp;"','"&amp; C297&amp;"', '"&amp;D297&amp;"', '"&amp;E297&amp;"','"&amp;F297&amp;"','"&amp;G297&amp;"','"&amp;ROUND(H297,4)&amp;"','"&amp;I297&amp;"','"&amp;TEXT($P$2,"hh:mm:ss")&amp;"')"</f>
        <v>INSERT INTO ETFValue (DataDate, TimeCategory, ProductType, ProductLink, ProductCode, ProductName, NAV, Price, RecTime) VALUES ('2021/5/14','1', 'Futures', 'ZSE1','ZS-K21','CBOT','0','0','15:15:01')</v>
      </c>
    </row>
    <row r="298" spans="1:10">
      <c r="A298" s="21">
        <v>44330</v>
      </c>
      <c r="B298" s="22">
        <v>44330.573151736113</v>
      </c>
      <c r="C298">
        <v>1</v>
      </c>
      <c r="D298" t="str">
        <f t="shared" si="15"/>
        <v>Futures</v>
      </c>
      <c r="E298" t="s">
        <v>1301</v>
      </c>
      <c r="F298" t="s">
        <v>1106</v>
      </c>
      <c r="G298" t="s">
        <v>685</v>
      </c>
      <c r="H298" t="e">
        <v>#N/A</v>
      </c>
      <c r="I298" t="e">
        <v>#N/A</v>
      </c>
    </row>
    <row r="299" spans="1:10">
      <c r="A299" s="21">
        <v>44330</v>
      </c>
      <c r="B299" s="22">
        <v>44330.573151736113</v>
      </c>
      <c r="C299">
        <v>1</v>
      </c>
      <c r="D299" t="str">
        <f t="shared" si="15"/>
        <v>Futures</v>
      </c>
      <c r="E299" t="s">
        <v>1791</v>
      </c>
      <c r="F299" t="s">
        <v>1787</v>
      </c>
      <c r="G299" t="s">
        <v>685</v>
      </c>
      <c r="H299">
        <v>1593.25</v>
      </c>
      <c r="I299">
        <v>1593.25</v>
      </c>
      <c r="J299" s="35" t="str">
        <f t="shared" ref="J299" ca="1" si="21">"INSERT INTO ETFValue (DataDate, TimeCategory, ProductType, ProductLink, ProductCode, ProductName, NAV, Price, RecTime) VALUES ("&amp;"'"&amp;TEXT(A299,"yyyy/m/dd")&amp;"','"&amp; C299&amp;"', '"&amp;D299&amp;"', '"&amp;E299&amp;"','"&amp;F299&amp;"','"&amp;G299&amp;"','"&amp;ROUND(H299,4)&amp;"','"&amp;I299&amp;"','"&amp;TEXT($P$2,"hh:mm:ss")&amp;"')"</f>
        <v>INSERT INTO ETFValue (DataDate, TimeCategory, ProductType, ProductLink, ProductCode, ProductName, NAV, Price, RecTime) VALUES ('2021/5/14','1', 'Futures', 'ZSG1','ZS-N21','CBOT','1593.25','1593.25','15:15:01')</v>
      </c>
    </row>
    <row r="300" spans="1:10">
      <c r="A300" s="21">
        <v>44330</v>
      </c>
      <c r="B300" s="22">
        <v>44330.573151736113</v>
      </c>
      <c r="C300">
        <v>1</v>
      </c>
      <c r="D300" t="str">
        <f t="shared" si="15"/>
        <v>Futures</v>
      </c>
      <c r="E300" t="s">
        <v>1302</v>
      </c>
      <c r="F300" t="s">
        <v>1299</v>
      </c>
      <c r="G300" t="s">
        <v>685</v>
      </c>
      <c r="H300" t="e">
        <v>#N/A</v>
      </c>
      <c r="I300" t="e">
        <v>#N/A</v>
      </c>
    </row>
    <row r="301" spans="1:10">
      <c r="A301" s="21">
        <v>44330</v>
      </c>
      <c r="B301" s="22">
        <v>44330.573151736113</v>
      </c>
      <c r="C301">
        <v>1</v>
      </c>
      <c r="D301" t="str">
        <f t="shared" si="15"/>
        <v>Futures</v>
      </c>
      <c r="E301" t="s">
        <v>2397</v>
      </c>
      <c r="F301" t="s">
        <v>2388</v>
      </c>
      <c r="G301" t="s">
        <v>685</v>
      </c>
      <c r="H301">
        <v>1448</v>
      </c>
      <c r="I301">
        <v>1448</v>
      </c>
      <c r="J301" s="35" t="str">
        <f t="shared" ref="J301" ca="1" si="22">"INSERT INTO ETFValue (DataDate, TimeCategory, ProductType, ProductLink, ProductCode, ProductName, NAV, Price, RecTime) VALUES ("&amp;"'"&amp;TEXT(A301,"yyyy/m/dd")&amp;"','"&amp; C301&amp;"', '"&amp;D301&amp;"', '"&amp;E301&amp;"','"&amp;F301&amp;"','"&amp;G301&amp;"','"&amp;ROUND(H301,4)&amp;"','"&amp;I301&amp;"','"&amp;TEXT($P$2,"hh:mm:ss")&amp;"')"</f>
        <v>INSERT INTO ETFValue (DataDate, TimeCategory, ProductType, ProductLink, ProductCode, ProductName, NAV, Price, RecTime) VALUES ('2021/5/14','1', 'Futures', 'ZSI1','ZS-U21','CBOT','1448','1448','15:15:01')</v>
      </c>
    </row>
    <row r="302" spans="1:10">
      <c r="A302" s="21">
        <v>44330</v>
      </c>
      <c r="B302" s="22">
        <v>44330.573151736113</v>
      </c>
      <c r="C302">
        <v>1</v>
      </c>
      <c r="D302" t="str">
        <f t="shared" si="15"/>
        <v>Futures</v>
      </c>
      <c r="E302" t="s">
        <v>2398</v>
      </c>
      <c r="F302" t="s">
        <v>2389</v>
      </c>
      <c r="G302" t="s">
        <v>685</v>
      </c>
      <c r="H302">
        <v>1401.75</v>
      </c>
      <c r="I302">
        <v>1401.75</v>
      </c>
      <c r="J302" s="35" t="str">
        <f t="shared" ref="J302:J305" ca="1" si="23">"INSERT INTO ETFValue (DataDate, TimeCategory, ProductType, ProductLink, ProductCode, ProductName, NAV, Price, RecTime) VALUES ("&amp;"'"&amp;TEXT(A302,"yyyy/m/dd")&amp;"','"&amp; C302&amp;"', '"&amp;D302&amp;"', '"&amp;E302&amp;"','"&amp;F302&amp;"','"&amp;G302&amp;"','"&amp;ROUND(H302,4)&amp;"','"&amp;I302&amp;"','"&amp;TEXT($P$2,"hh:mm:ss")&amp;"')"</f>
        <v>INSERT INTO ETFValue (DataDate, TimeCategory, ProductType, ProductLink, ProductCode, ProductName, NAV, Price, RecTime) VALUES ('2021/5/14','1', 'Futures', 'ZSK1','ZS-X21','CBOT','1401.75','1401.75','15:15:01')</v>
      </c>
    </row>
    <row r="303" spans="1:10">
      <c r="A303" s="21">
        <v>44330</v>
      </c>
      <c r="B303" s="22">
        <v>44330.573151736113</v>
      </c>
      <c r="C303">
        <v>1</v>
      </c>
      <c r="D303" t="str">
        <f t="shared" si="15"/>
        <v>Futures</v>
      </c>
      <c r="E303" t="s">
        <v>2360</v>
      </c>
      <c r="F303" t="s">
        <v>2357</v>
      </c>
      <c r="G303" t="s">
        <v>685</v>
      </c>
      <c r="H303" t="e">
        <v>#N/A</v>
      </c>
      <c r="I303" t="e">
        <v>#N/A</v>
      </c>
    </row>
    <row r="304" spans="1:10">
      <c r="A304" s="21">
        <v>44330</v>
      </c>
      <c r="B304" s="22">
        <v>44330.573151736113</v>
      </c>
      <c r="C304">
        <v>1</v>
      </c>
      <c r="D304" t="str">
        <f t="shared" si="15"/>
        <v>Futures</v>
      </c>
      <c r="E304" t="s">
        <v>2361</v>
      </c>
      <c r="F304" t="s">
        <v>2358</v>
      </c>
      <c r="G304" t="s">
        <v>685</v>
      </c>
      <c r="H304">
        <v>156.3125</v>
      </c>
      <c r="I304">
        <v>156.3125</v>
      </c>
      <c r="J304" s="35" t="str">
        <f t="shared" ca="1" si="23"/>
        <v>INSERT INTO ETFValue (DataDate, TimeCategory, ProductType, ProductLink, ProductCode, ProductName, NAV, Price, RecTime) VALUES ('2021/5/14','1', 'Futures', 'USF1','ZB-M21','CBOT','156.3125','156.3125','15:15:01')</v>
      </c>
    </row>
    <row r="305" spans="1:10">
      <c r="A305" s="21">
        <v>44330</v>
      </c>
      <c r="B305" s="22">
        <v>44330.573151736113</v>
      </c>
      <c r="C305">
        <v>1</v>
      </c>
      <c r="D305" t="str">
        <f t="shared" si="15"/>
        <v>Futures</v>
      </c>
      <c r="E305" t="s">
        <v>2362</v>
      </c>
      <c r="F305" t="s">
        <v>2359</v>
      </c>
      <c r="G305" t="s">
        <v>685</v>
      </c>
      <c r="H305">
        <v>154.625</v>
      </c>
      <c r="I305">
        <v>154.625</v>
      </c>
      <c r="J305" s="35" t="str">
        <f t="shared" ca="1" si="23"/>
        <v>INSERT INTO ETFValue (DataDate, TimeCategory, ProductType, ProductLink, ProductCode, ProductName, NAV, Price, RecTime) VALUES ('2021/5/14','1', 'Futures', 'USI1','ZB-U21','CBOT','154.625','154.625','15:15:01')</v>
      </c>
    </row>
    <row r="306" spans="1:10">
      <c r="A306" s="21">
        <v>44330</v>
      </c>
      <c r="B306" s="22">
        <v>44330.573151736113</v>
      </c>
      <c r="C306">
        <v>1</v>
      </c>
      <c r="D306" t="str">
        <f t="shared" si="15"/>
        <v>Futures</v>
      </c>
      <c r="E306" t="s">
        <v>1415</v>
      </c>
      <c r="F306" t="s">
        <v>1409</v>
      </c>
      <c r="G306" t="s">
        <v>687</v>
      </c>
      <c r="H306" t="e">
        <v>#N/A</v>
      </c>
      <c r="I306" t="e">
        <v>#N/A</v>
      </c>
    </row>
    <row r="307" spans="1:10">
      <c r="A307" s="21">
        <v>44330</v>
      </c>
      <c r="B307" s="22">
        <v>44330.573151736113</v>
      </c>
      <c r="C307">
        <v>1</v>
      </c>
      <c r="D307" t="str">
        <f t="shared" si="15"/>
        <v>Futures</v>
      </c>
      <c r="E307" t="s">
        <v>1792</v>
      </c>
      <c r="F307" t="s">
        <v>1788</v>
      </c>
      <c r="G307" t="s">
        <v>687</v>
      </c>
      <c r="H307" t="e">
        <v>#N/A</v>
      </c>
      <c r="I307" t="e">
        <v>#N/A</v>
      </c>
    </row>
    <row r="308" spans="1:10">
      <c r="A308" s="21">
        <v>44330</v>
      </c>
      <c r="B308" s="22">
        <v>44330.573151736113</v>
      </c>
      <c r="C308">
        <v>1</v>
      </c>
      <c r="D308" t="str">
        <f t="shared" si="15"/>
        <v>Futures</v>
      </c>
      <c r="E308" t="s">
        <v>2592</v>
      </c>
      <c r="F308" t="s">
        <v>2585</v>
      </c>
      <c r="G308" t="s">
        <v>714</v>
      </c>
      <c r="H308">
        <v>90.69</v>
      </c>
      <c r="I308">
        <v>90.69</v>
      </c>
      <c r="J308" s="35" t="str">
        <f t="shared" ref="J308:J310" ca="1" si="24">"INSERT INTO ETFValue (DataDate, TimeCategory, ProductType, ProductLink, ProductCode, ProductName, NAV, Price, RecTime) VALUES ("&amp;"'"&amp;TEXT(A308,"yyyy/m/dd")&amp;"','"&amp; C308&amp;"', '"&amp;D308&amp;"', '"&amp;E308&amp;"','"&amp;F308&amp;"','"&amp;G308&amp;"','"&amp;ROUND(H308,4)&amp;"','"&amp;I308&amp;"','"&amp;TEXT($P$2,"hh:mm:ss")&amp;"')"</f>
        <v>INSERT INTO ETFValue (DataDate, TimeCategory, ProductType, ProductLink, ProductCode, ProductName, NAV, Price, RecTime) VALUES ('2021/5/14','1', 'Futures', 'DXF1','DX-M21','NYBOT','90.69','90.69','15:15:01')</v>
      </c>
    </row>
    <row r="309" spans="1:10">
      <c r="A309" s="21">
        <v>44330</v>
      </c>
      <c r="B309" s="22">
        <v>44330.573151736113</v>
      </c>
      <c r="C309">
        <v>1</v>
      </c>
      <c r="D309" t="str">
        <f t="shared" si="15"/>
        <v>Futures</v>
      </c>
      <c r="E309" t="s">
        <v>2593</v>
      </c>
      <c r="F309" t="s">
        <v>2587</v>
      </c>
      <c r="G309" t="s">
        <v>714</v>
      </c>
      <c r="H309">
        <v>90.72</v>
      </c>
      <c r="I309">
        <v>90.72</v>
      </c>
      <c r="J309" s="35" t="str">
        <f t="shared" ca="1" si="24"/>
        <v>INSERT INTO ETFValue (DataDate, TimeCategory, ProductType, ProductLink, ProductCode, ProductName, NAV, Price, RecTime) VALUES ('2021/5/14','1', 'Futures', 'DXI1','DX-U21','NYBOT','90.72','90.72','15:15:01')</v>
      </c>
    </row>
    <row r="310" spans="1:10">
      <c r="A310" s="21">
        <v>44330</v>
      </c>
      <c r="B310" s="22">
        <v>44330.573151736113</v>
      </c>
      <c r="C310">
        <v>1</v>
      </c>
      <c r="D310" t="str">
        <f t="shared" si="15"/>
        <v>Futures</v>
      </c>
      <c r="E310" t="s">
        <v>2594</v>
      </c>
      <c r="F310" t="s">
        <v>2589</v>
      </c>
      <c r="G310" t="s">
        <v>714</v>
      </c>
      <c r="H310">
        <v>90.7</v>
      </c>
      <c r="I310">
        <v>90.7</v>
      </c>
      <c r="J310" s="35" t="str">
        <f t="shared" ca="1" si="24"/>
        <v>INSERT INTO ETFValue (DataDate, TimeCategory, ProductType, ProductLink, ProductCode, ProductName, NAV, Price, RecTime) VALUES ('2021/5/14','1', 'Futures', 'DXL1','DX-Z21','NYBOT','90.7','90.7','15:15:01')</v>
      </c>
    </row>
    <row r="311" spans="1:10">
      <c r="A311" s="21">
        <v>44330</v>
      </c>
      <c r="B311" s="22">
        <v>44330.573151736113</v>
      </c>
      <c r="C311">
        <v>1</v>
      </c>
      <c r="D311" t="str">
        <f t="shared" si="15"/>
        <v>Futures</v>
      </c>
      <c r="E311" t="s">
        <v>2599</v>
      </c>
      <c r="F311" t="s">
        <v>2598</v>
      </c>
      <c r="G311" t="s">
        <v>714</v>
      </c>
      <c r="H311" t="e">
        <v>#N/A</v>
      </c>
      <c r="I311" t="e">
        <v>#N/A</v>
      </c>
    </row>
    <row r="312" spans="1:10">
      <c r="A312" s="21">
        <v>44330</v>
      </c>
      <c r="B312" s="22">
        <v>44330.573151736113</v>
      </c>
      <c r="C312">
        <v>1</v>
      </c>
      <c r="D312" t="str">
        <f t="shared" si="15"/>
        <v>Futures</v>
      </c>
      <c r="E312" t="s">
        <v>2476</v>
      </c>
      <c r="F312" t="s">
        <v>2474</v>
      </c>
      <c r="G312" t="s">
        <v>687</v>
      </c>
      <c r="H312" t="e">
        <v>#N/A</v>
      </c>
      <c r="I312" t="e">
        <v>#N/A</v>
      </c>
    </row>
    <row r="313" spans="1:10">
      <c r="A313" s="21">
        <v>44330</v>
      </c>
      <c r="B313" s="22">
        <v>44330.573151736113</v>
      </c>
      <c r="C313">
        <v>1</v>
      </c>
      <c r="D313" t="str">
        <f t="shared" si="15"/>
        <v>Futures</v>
      </c>
      <c r="E313" t="s">
        <v>2455</v>
      </c>
      <c r="F313" t="s">
        <v>2429</v>
      </c>
      <c r="G313" t="s">
        <v>687</v>
      </c>
      <c r="H313" t="e">
        <v>#N/A</v>
      </c>
      <c r="I313" t="e">
        <v>#N/A</v>
      </c>
    </row>
    <row r="314" spans="1:10">
      <c r="A314" s="21">
        <v>44330</v>
      </c>
      <c r="B314" s="22">
        <v>44330.573151736113</v>
      </c>
      <c r="C314">
        <v>1</v>
      </c>
      <c r="D314" t="str">
        <f t="shared" si="15"/>
        <v>Futures</v>
      </c>
      <c r="E314" t="s">
        <v>1808</v>
      </c>
      <c r="F314" t="s">
        <v>1804</v>
      </c>
      <c r="G314" t="s">
        <v>687</v>
      </c>
      <c r="H314" t="e">
        <v>#N/A</v>
      </c>
      <c r="I314" t="e">
        <v>#N/A</v>
      </c>
    </row>
    <row r="315" spans="1:10">
      <c r="A315" s="21">
        <v>44330</v>
      </c>
      <c r="B315" s="22">
        <v>44330.573151736113</v>
      </c>
      <c r="C315">
        <v>1</v>
      </c>
      <c r="D315" t="str">
        <f t="shared" si="15"/>
        <v>Futures</v>
      </c>
      <c r="E315" t="s">
        <v>2456</v>
      </c>
      <c r="F315" t="s">
        <v>2431</v>
      </c>
      <c r="G315" t="s">
        <v>687</v>
      </c>
      <c r="H315" t="e">
        <v>#N/A</v>
      </c>
      <c r="I315" t="e">
        <v>#N/A</v>
      </c>
    </row>
    <row r="316" spans="1:10">
      <c r="A316" s="21">
        <v>44330</v>
      </c>
      <c r="B316" s="22">
        <v>44330.573151736113</v>
      </c>
      <c r="C316">
        <v>1</v>
      </c>
      <c r="D316" t="str">
        <f t="shared" si="15"/>
        <v>Futures</v>
      </c>
      <c r="E316" t="s">
        <v>1803</v>
      </c>
      <c r="F316" t="s">
        <v>1801</v>
      </c>
      <c r="G316" t="s">
        <v>686</v>
      </c>
      <c r="H316" t="e">
        <v>#N/A</v>
      </c>
      <c r="I316" t="e">
        <v>#N/A</v>
      </c>
    </row>
    <row r="317" spans="1:10">
      <c r="A317" s="21">
        <v>44330</v>
      </c>
      <c r="B317" s="22">
        <v>44330.573151736113</v>
      </c>
      <c r="C317">
        <v>1</v>
      </c>
      <c r="D317" t="str">
        <f t="shared" si="15"/>
        <v>Futures</v>
      </c>
      <c r="E317" t="s">
        <v>2577</v>
      </c>
      <c r="F317" t="s">
        <v>2558</v>
      </c>
      <c r="G317" t="s">
        <v>686</v>
      </c>
      <c r="H317" t="e">
        <v>#N/A</v>
      </c>
      <c r="I317" t="e">
        <v>#N/A</v>
      </c>
    </row>
    <row r="318" spans="1:10">
      <c r="A318" s="21">
        <v>44330</v>
      </c>
      <c r="B318" s="22">
        <v>44330.573151736113</v>
      </c>
      <c r="C318">
        <v>1</v>
      </c>
      <c r="D318" t="str">
        <f t="shared" si="15"/>
        <v>Futures</v>
      </c>
      <c r="E318" t="s">
        <v>2457</v>
      </c>
      <c r="F318" t="s">
        <v>2437</v>
      </c>
      <c r="G318" t="s">
        <v>686</v>
      </c>
      <c r="H318">
        <v>10269</v>
      </c>
      <c r="I318">
        <v>10269</v>
      </c>
      <c r="J318" s="35" t="str">
        <f t="shared" ca="1" si="17"/>
        <v>INSERT INTO ETFValue (DataDate, TimeCategory, ProductType, ProductLink, ProductCode, ProductName, NAV, Price, RecTime) VALUES ('2021/5/14','1', 'Futures', 'HHIF1','HHI-M21','HKEX','10269','10269','15:15:01')</v>
      </c>
    </row>
    <row r="319" spans="1:10">
      <c r="A319" s="21">
        <v>44330</v>
      </c>
      <c r="B319" s="22">
        <v>44330.573151736113</v>
      </c>
      <c r="C319">
        <v>1</v>
      </c>
      <c r="D319" t="str">
        <f t="shared" si="15"/>
        <v>Futures</v>
      </c>
      <c r="E319" t="s">
        <v>2458</v>
      </c>
      <c r="F319" t="s">
        <v>2438</v>
      </c>
      <c r="G319" t="s">
        <v>686</v>
      </c>
      <c r="H319">
        <v>10180</v>
      </c>
      <c r="I319">
        <v>10180</v>
      </c>
      <c r="J319" s="35" t="str">
        <f t="shared" ca="1" si="17"/>
        <v>INSERT INTO ETFValue (DataDate, TimeCategory, ProductType, ProductLink, ProductCode, ProductName, NAV, Price, RecTime) VALUES ('2021/5/14','1', 'Futures', 'HHII1','HHI-U21','HKEX','10180','10180','15:15:01')</v>
      </c>
    </row>
    <row r="320" spans="1:10">
      <c r="A320" s="21">
        <v>44330</v>
      </c>
      <c r="B320" s="22">
        <v>44330.573151736113</v>
      </c>
      <c r="C320">
        <v>1</v>
      </c>
      <c r="D320" t="str">
        <f t="shared" si="15"/>
        <v>Futures</v>
      </c>
      <c r="E320" t="s">
        <v>1826</v>
      </c>
      <c r="F320" t="s">
        <v>1810</v>
      </c>
      <c r="G320" t="s">
        <v>686</v>
      </c>
      <c r="H320" t="e">
        <v>#N/A</v>
      </c>
      <c r="I320" t="e">
        <v>#N/A</v>
      </c>
    </row>
    <row r="321" spans="1:10">
      <c r="A321" s="21">
        <v>44330</v>
      </c>
      <c r="B321" s="22">
        <v>44330.573151736113</v>
      </c>
      <c r="C321">
        <v>1</v>
      </c>
      <c r="D321" t="str">
        <f t="shared" si="15"/>
        <v>Futures</v>
      </c>
      <c r="E321" t="s">
        <v>1397</v>
      </c>
      <c r="F321" t="s">
        <v>1396</v>
      </c>
      <c r="G321" t="s">
        <v>687</v>
      </c>
      <c r="H321">
        <v>28110</v>
      </c>
      <c r="I321">
        <v>28110</v>
      </c>
      <c r="J321" s="35" t="str">
        <f t="shared" ca="1" si="17"/>
        <v>INSERT INTO ETFValue (DataDate, TimeCategory, ProductType, ProductLink, ProductCode, ProductName, NAV, Price, RecTime) VALUES ('2021/5/14','1', 'Futures', 'SSIF1','NK-M21','SGX','28110','28110','15:15:01')</v>
      </c>
    </row>
    <row r="322" spans="1:10">
      <c r="A322" s="21">
        <v>44330</v>
      </c>
      <c r="B322" s="22">
        <v>44330.573151736113</v>
      </c>
      <c r="C322">
        <v>1</v>
      </c>
      <c r="D322" t="str">
        <f t="shared" si="15"/>
        <v>Futures</v>
      </c>
      <c r="E322" t="s">
        <v>2485</v>
      </c>
      <c r="F322" t="s">
        <v>2483</v>
      </c>
      <c r="G322" t="s">
        <v>687</v>
      </c>
      <c r="H322">
        <v>-7.9228162514264338E+28</v>
      </c>
      <c r="I322">
        <v>-7.9228162514264338E+28</v>
      </c>
    </row>
    <row r="323" spans="1:10">
      <c r="A323" s="21">
        <v>44330</v>
      </c>
      <c r="B323" s="22">
        <v>44330.573151736113</v>
      </c>
      <c r="C323">
        <v>1</v>
      </c>
      <c r="D323" t="str">
        <f t="shared" si="15"/>
        <v>Futures</v>
      </c>
      <c r="E323" t="s">
        <v>1357</v>
      </c>
      <c r="F323" t="s">
        <v>1356</v>
      </c>
      <c r="G323" t="s">
        <v>687</v>
      </c>
      <c r="H323" s="39" t="e">
        <v>#N/A</v>
      </c>
      <c r="I323" s="39" t="e">
        <v>#N/A</v>
      </c>
    </row>
    <row r="324" spans="1:10">
      <c r="A324" s="21">
        <v>44330</v>
      </c>
      <c r="B324" s="22">
        <v>44330.573151736113</v>
      </c>
      <c r="C324">
        <v>1</v>
      </c>
      <c r="D324" t="str">
        <f t="shared" si="15"/>
        <v>Futures</v>
      </c>
      <c r="E324" t="s">
        <v>2459</v>
      </c>
      <c r="F324" t="s">
        <v>2439</v>
      </c>
      <c r="G324" t="s">
        <v>687</v>
      </c>
      <c r="H324" s="39">
        <v>27990</v>
      </c>
      <c r="I324" s="39">
        <v>27990</v>
      </c>
      <c r="J324" s="35" t="str">
        <f t="shared" ca="1" si="17"/>
        <v>INSERT INTO ETFValue (DataDate, TimeCategory, ProductType, ProductLink, ProductCode, ProductName, NAV, Price, RecTime) VALUES ('2021/5/14','1', 'Futures', 'SSII1','NK-U21','SGX','27990','27990','15:15:01')</v>
      </c>
    </row>
    <row r="325" spans="1:10">
      <c r="A325" s="21">
        <v>44330</v>
      </c>
      <c r="B325" s="22">
        <v>44330.573151736113</v>
      </c>
      <c r="C325">
        <v>1</v>
      </c>
      <c r="D325" t="str">
        <f t="shared" si="15"/>
        <v>Futures</v>
      </c>
      <c r="E325" t="s">
        <v>2460</v>
      </c>
      <c r="F325" t="s">
        <v>2440</v>
      </c>
      <c r="G325" t="s">
        <v>714</v>
      </c>
      <c r="H325" s="39" t="e">
        <v>#N/A</v>
      </c>
      <c r="I325" s="39" t="e">
        <v>#N/A</v>
      </c>
    </row>
    <row r="326" spans="1:10">
      <c r="A326" s="21">
        <v>44330</v>
      </c>
      <c r="B326" s="22">
        <v>44330.573151736113</v>
      </c>
      <c r="C326">
        <v>1</v>
      </c>
      <c r="D326" t="str">
        <f t="shared" si="15"/>
        <v>Futures</v>
      </c>
      <c r="E326" t="s">
        <v>1352</v>
      </c>
      <c r="F326" t="s">
        <v>1346</v>
      </c>
      <c r="G326" t="s">
        <v>714</v>
      </c>
      <c r="H326" s="39" t="e">
        <v>#N/A</v>
      </c>
      <c r="I326" s="39" t="e">
        <v>#N/A</v>
      </c>
    </row>
    <row r="327" spans="1:10">
      <c r="A327" s="21">
        <v>44330</v>
      </c>
      <c r="B327" s="22">
        <v>44330.573151736113</v>
      </c>
      <c r="C327">
        <v>1</v>
      </c>
      <c r="D327" t="str">
        <f t="shared" si="15"/>
        <v>Futures</v>
      </c>
      <c r="E327" t="s">
        <v>1650</v>
      </c>
      <c r="F327" t="s">
        <v>1642</v>
      </c>
      <c r="G327" t="s">
        <v>714</v>
      </c>
      <c r="H327" s="39">
        <v>1297.9000000000001</v>
      </c>
      <c r="I327" s="39">
        <v>1297.9000000000001</v>
      </c>
      <c r="J327" s="35" t="str">
        <f t="shared" ca="1" si="17"/>
        <v>INSERT INTO ETFValue (DataDate, TimeCategory, ProductType, ProductLink, ProductCode, ProductName, NAV, Price, RecTime) VALUES ('2021/5/14','1', 'Futures', 'MMEF1','MME-M21','NYBOT','1297.9','1297.9','15:15:01')</v>
      </c>
    </row>
    <row r="328" spans="1:10">
      <c r="A328" s="21">
        <v>44330</v>
      </c>
      <c r="B328" s="22">
        <v>44330.573151736113</v>
      </c>
      <c r="C328">
        <v>1</v>
      </c>
      <c r="D328" t="str">
        <f t="shared" ref="D328:D337" si="25">IF(LEFT(E328,2)="00","ETF",IF(LEFT(G328,2)="FX","FX","Futures"))</f>
        <v>Futures</v>
      </c>
      <c r="E328" t="s">
        <v>1809</v>
      </c>
      <c r="F328" t="s">
        <v>1806</v>
      </c>
      <c r="G328" s="29" t="s">
        <v>714</v>
      </c>
      <c r="H328" s="39">
        <v>0</v>
      </c>
      <c r="I328" s="39">
        <v>0</v>
      </c>
    </row>
    <row r="329" spans="1:10">
      <c r="A329" s="21">
        <v>44330</v>
      </c>
      <c r="B329" s="22">
        <v>44330.573151736113</v>
      </c>
      <c r="C329">
        <v>1</v>
      </c>
      <c r="D329" t="str">
        <f t="shared" si="25"/>
        <v>Futures</v>
      </c>
      <c r="E329" t="s">
        <v>1796</v>
      </c>
      <c r="F329" t="s">
        <v>1795</v>
      </c>
      <c r="G329" s="29" t="s">
        <v>748</v>
      </c>
      <c r="H329" s="39">
        <v>1887.5</v>
      </c>
      <c r="I329" s="39">
        <v>1887.5</v>
      </c>
      <c r="J329" s="35" t="str">
        <f t="shared" ca="1" si="17"/>
        <v>INSERT INTO ETFValue (DataDate, TimeCategory, ProductType, ProductLink, ProductCode, ProductName, NAV, Price, RecTime) VALUES ('2021/5/14','1', 'Futures', 'JTIF1','TOPIX-M21','JPX','1887.5','1887.5','15:15:01')</v>
      </c>
    </row>
    <row r="330" spans="1:10">
      <c r="A330" s="21">
        <v>44330</v>
      </c>
      <c r="B330" s="22">
        <v>44330.573151736113</v>
      </c>
      <c r="C330">
        <v>1</v>
      </c>
      <c r="D330" t="str">
        <f t="shared" si="25"/>
        <v>Futures</v>
      </c>
      <c r="E330" t="s">
        <v>1353</v>
      </c>
      <c r="F330" t="s">
        <v>1348</v>
      </c>
      <c r="G330" s="29" t="s">
        <v>748</v>
      </c>
      <c r="H330" s="39" t="e">
        <v>#N/A</v>
      </c>
      <c r="I330" s="39" t="e">
        <v>#N/A</v>
      </c>
    </row>
    <row r="331" spans="1:10">
      <c r="A331" s="21">
        <v>44330</v>
      </c>
      <c r="B331" s="22">
        <v>44330.573151736113</v>
      </c>
      <c r="C331">
        <v>1</v>
      </c>
      <c r="D331" t="str">
        <f t="shared" si="25"/>
        <v>Futures</v>
      </c>
      <c r="E331" t="s">
        <v>2461</v>
      </c>
      <c r="F331" t="s">
        <v>2441</v>
      </c>
      <c r="G331" s="29" t="s">
        <v>748</v>
      </c>
      <c r="H331" s="39">
        <v>-7.9228162514264338E+28</v>
      </c>
      <c r="I331" s="39">
        <v>-7.9228162514264338E+28</v>
      </c>
    </row>
    <row r="332" spans="1:10">
      <c r="A332" s="21">
        <v>44330</v>
      </c>
      <c r="B332" s="22">
        <v>44330.573151736113</v>
      </c>
      <c r="C332">
        <v>1</v>
      </c>
      <c r="D332" t="str">
        <f t="shared" si="25"/>
        <v>Futures</v>
      </c>
      <c r="E332" t="s">
        <v>1827</v>
      </c>
      <c r="F332" t="s">
        <v>1812</v>
      </c>
      <c r="G332" s="29" t="s">
        <v>748</v>
      </c>
      <c r="H332" s="39">
        <v>1869.5</v>
      </c>
      <c r="I332" s="39">
        <v>1869.5</v>
      </c>
    </row>
    <row r="333" spans="1:10">
      <c r="A333" s="21">
        <v>44330</v>
      </c>
      <c r="B333" s="22">
        <v>44330.573151736113</v>
      </c>
      <c r="C333">
        <v>1</v>
      </c>
      <c r="D333" t="str">
        <f t="shared" si="25"/>
        <v>Futures</v>
      </c>
      <c r="E333" t="s">
        <v>2462</v>
      </c>
      <c r="F333" t="s">
        <v>2442</v>
      </c>
      <c r="G333" s="29" t="s">
        <v>683</v>
      </c>
      <c r="H333" s="39" t="e">
        <v>#N/A</v>
      </c>
      <c r="I333" s="39" t="e">
        <v>#N/A</v>
      </c>
    </row>
    <row r="334" spans="1:10">
      <c r="A334" s="21">
        <v>44330</v>
      </c>
      <c r="B334" s="22">
        <v>44330.573151736113</v>
      </c>
      <c r="C334">
        <v>1</v>
      </c>
      <c r="D334" t="str">
        <f t="shared" si="25"/>
        <v>Futures</v>
      </c>
      <c r="E334" t="s">
        <v>2578</v>
      </c>
      <c r="F334" t="s">
        <v>2560</v>
      </c>
      <c r="G334" s="29" t="s">
        <v>683</v>
      </c>
      <c r="H334" s="39">
        <v>27.105</v>
      </c>
      <c r="I334" s="39">
        <v>27.105</v>
      </c>
      <c r="J334" s="35" t="str">
        <f t="shared" ca="1" si="17"/>
        <v>INSERT INTO ETFValue (DataDate, TimeCategory, ProductType, ProductLink, ProductCode, ProductName, NAV, Price, RecTime) VALUES ('2021/5/14','1', 'Futures', 'SIL1','SI-Z21','NYMEX','27.105','27.105','15:15:01')</v>
      </c>
    </row>
    <row r="335" spans="1:10">
      <c r="A335" s="21">
        <v>44330</v>
      </c>
      <c r="B335" s="22">
        <v>44330.573151736113</v>
      </c>
      <c r="C335">
        <v>1</v>
      </c>
      <c r="D335" t="str">
        <f t="shared" si="25"/>
        <v>Futures</v>
      </c>
      <c r="E335" t="s">
        <v>1392</v>
      </c>
      <c r="F335" t="s">
        <v>1388</v>
      </c>
      <c r="G335" s="29" t="s">
        <v>683</v>
      </c>
      <c r="H335" s="39" t="e">
        <v>#N/A</v>
      </c>
      <c r="I335" s="39" t="e">
        <v>#N/A</v>
      </c>
    </row>
    <row r="336" spans="1:10">
      <c r="A336" s="21">
        <v>44330</v>
      </c>
      <c r="B336" s="22">
        <v>44330.573151736113</v>
      </c>
      <c r="C336">
        <v>1</v>
      </c>
      <c r="D336" t="str">
        <f t="shared" si="25"/>
        <v>Futures</v>
      </c>
      <c r="E336" t="s">
        <v>1865</v>
      </c>
      <c r="F336" t="s">
        <v>1849</v>
      </c>
      <c r="G336" s="29" t="s">
        <v>683</v>
      </c>
      <c r="H336" s="39" t="e">
        <v>#N/A</v>
      </c>
      <c r="I336" s="39" t="e">
        <v>#N/A</v>
      </c>
    </row>
    <row r="337" spans="1:10">
      <c r="A337" s="21">
        <v>44330</v>
      </c>
      <c r="B337" s="22">
        <v>44330.573151736113</v>
      </c>
      <c r="C337">
        <v>1</v>
      </c>
      <c r="D337" t="str">
        <f t="shared" si="25"/>
        <v>Futures</v>
      </c>
      <c r="E337" t="s">
        <v>1866</v>
      </c>
      <c r="F337" t="s">
        <v>1851</v>
      </c>
      <c r="G337" s="29" t="s">
        <v>683</v>
      </c>
      <c r="H337" s="39" t="e">
        <v>#N/A</v>
      </c>
      <c r="I337" s="39" t="e">
        <v>#N/A</v>
      </c>
    </row>
    <row r="338" spans="1:10">
      <c r="A338" s="21">
        <v>44330</v>
      </c>
      <c r="B338" s="22">
        <v>44330.573151736113</v>
      </c>
      <c r="C338">
        <v>1</v>
      </c>
      <c r="D338" t="str">
        <f t="shared" ref="D338:D359" si="26">IF(LEFT(E338,2)="00","ETF",IF(LEFT(G338,2)="FX","FX","Futures"))</f>
        <v>Futures</v>
      </c>
      <c r="E338" t="s">
        <v>1393</v>
      </c>
      <c r="F338" t="s">
        <v>1390</v>
      </c>
      <c r="G338" s="29" t="s">
        <v>683</v>
      </c>
      <c r="H338" s="39">
        <v>27.03</v>
      </c>
      <c r="I338" s="39">
        <v>27.03</v>
      </c>
      <c r="J338" s="35" t="str">
        <f t="shared" ca="1" si="17"/>
        <v>INSERT INTO ETFValue (DataDate, TimeCategory, ProductType, ProductLink, ProductCode, ProductName, NAV, Price, RecTime) VALUES ('2021/5/14','1', 'Futures', 'SIE1','SI-K21','NYMEX','27.03','27.03','15:15:01')</v>
      </c>
    </row>
    <row r="339" spans="1:10">
      <c r="A339" s="21">
        <v>44330</v>
      </c>
      <c r="B339" s="22">
        <v>44330.573151736113</v>
      </c>
      <c r="C339">
        <v>1</v>
      </c>
      <c r="D339" t="str">
        <f t="shared" si="26"/>
        <v>Futures</v>
      </c>
      <c r="E339" t="s">
        <v>2399</v>
      </c>
      <c r="F339" t="s">
        <v>2363</v>
      </c>
      <c r="G339" s="29" t="s">
        <v>683</v>
      </c>
      <c r="H339" s="39">
        <v>27.035</v>
      </c>
      <c r="I339" s="39">
        <v>27.035</v>
      </c>
      <c r="J339" s="35" t="str">
        <f t="shared" ref="J339:J340" ca="1" si="27">"INSERT INTO ETFValue (DataDate, TimeCategory, ProductType, ProductLink, ProductCode, ProductName, NAV, Price, RecTime) VALUES ("&amp;"'"&amp;TEXT(A339,"yyyy/m/dd")&amp;"','"&amp; C339&amp;"', '"&amp;D339&amp;"', '"&amp;E339&amp;"','"&amp;F339&amp;"','"&amp;G339&amp;"','"&amp;ROUND(H339,4)&amp;"','"&amp;I339&amp;"','"&amp;TEXT($P$2,"hh:mm:ss")&amp;"')"</f>
        <v>INSERT INTO ETFValue (DataDate, TimeCategory, ProductType, ProductLink, ProductCode, ProductName, NAV, Price, RecTime) VALUES ('2021/5/14','1', 'Futures', 'SIF1','SI-M21','NYMEX','27.035','27.035','15:15:01')</v>
      </c>
    </row>
    <row r="340" spans="1:10">
      <c r="A340" s="21">
        <v>44330</v>
      </c>
      <c r="B340" s="22">
        <v>44330.573151736113</v>
      </c>
      <c r="C340">
        <v>1</v>
      </c>
      <c r="D340" t="str">
        <f t="shared" si="26"/>
        <v>Futures</v>
      </c>
      <c r="E340" t="s">
        <v>2400</v>
      </c>
      <c r="F340" t="s">
        <v>2365</v>
      </c>
      <c r="G340" s="29" t="s">
        <v>683</v>
      </c>
      <c r="H340" s="39">
        <v>27.035</v>
      </c>
      <c r="I340" s="39">
        <v>27.035</v>
      </c>
      <c r="J340" s="35" t="str">
        <f t="shared" ca="1" si="27"/>
        <v>INSERT INTO ETFValue (DataDate, TimeCategory, ProductType, ProductLink, ProductCode, ProductName, NAV, Price, RecTime) VALUES ('2021/5/14','1', 'Futures', 'SIG1','SI-N21','NYMEX','27.035','27.035','15:15:01')</v>
      </c>
    </row>
    <row r="341" spans="1:10">
      <c r="A341" s="21">
        <v>44330</v>
      </c>
      <c r="B341" s="22">
        <v>44330.573151736113</v>
      </c>
      <c r="C341">
        <v>1</v>
      </c>
      <c r="D341" t="str">
        <f t="shared" si="26"/>
        <v>Futures</v>
      </c>
      <c r="E341" t="s">
        <v>2401</v>
      </c>
      <c r="F341" t="s">
        <v>2367</v>
      </c>
      <c r="G341" s="29" t="s">
        <v>683</v>
      </c>
      <c r="H341" t="e">
        <v>#N/A</v>
      </c>
      <c r="I341" t="e">
        <v>#N/A</v>
      </c>
    </row>
    <row r="342" spans="1:10">
      <c r="A342" s="21">
        <v>44330</v>
      </c>
      <c r="B342" s="22">
        <v>44330.573151736113</v>
      </c>
      <c r="C342">
        <v>1</v>
      </c>
      <c r="D342" t="str">
        <f t="shared" si="26"/>
        <v>Futures</v>
      </c>
      <c r="E342" t="s">
        <v>2402</v>
      </c>
      <c r="F342" t="s">
        <v>2369</v>
      </c>
      <c r="G342" s="29" t="s">
        <v>683</v>
      </c>
      <c r="H342">
        <v>27.065000000000001</v>
      </c>
      <c r="I342">
        <v>27.065000000000001</v>
      </c>
      <c r="J342" s="35" t="str">
        <f t="shared" ref="J342" ca="1" si="28">"INSERT INTO ETFValue (DataDate, TimeCategory, ProductType, ProductLink, ProductCode, ProductName, NAV, Price, RecTime) VALUES ("&amp;"'"&amp;TEXT(A342,"yyyy/m/dd")&amp;"','"&amp; C342&amp;"', '"&amp;D342&amp;"', '"&amp;E342&amp;"','"&amp;F342&amp;"','"&amp;G342&amp;"','"&amp;ROUND(H342,4)&amp;"','"&amp;I342&amp;"','"&amp;TEXT($P$2,"hh:mm:ss")&amp;"')"</f>
        <v>INSERT INTO ETFValue (DataDate, TimeCategory, ProductType, ProductLink, ProductCode, ProductName, NAV, Price, RecTime) VALUES ('2021/5/14','1', 'Futures', 'SII1','SI-U21','NYMEX','27.065','27.065','15:15:01')</v>
      </c>
    </row>
    <row r="343" spans="1:10">
      <c r="A343" s="21">
        <v>44330</v>
      </c>
      <c r="B343" s="22">
        <v>44330.573151736113</v>
      </c>
      <c r="C343">
        <v>1</v>
      </c>
      <c r="D343" t="str">
        <f t="shared" si="26"/>
        <v>Futures</v>
      </c>
      <c r="E343" t="s">
        <v>2403</v>
      </c>
      <c r="F343" t="s">
        <v>2371</v>
      </c>
      <c r="G343" s="29" t="s">
        <v>683</v>
      </c>
      <c r="H343" t="e">
        <v>#N/A</v>
      </c>
      <c r="I343" t="e">
        <v>#N/A</v>
      </c>
    </row>
    <row r="344" spans="1:10">
      <c r="A344" s="21">
        <v>44330</v>
      </c>
      <c r="B344" s="22">
        <v>44330.573151736113</v>
      </c>
      <c r="C344">
        <v>1</v>
      </c>
      <c r="D344" t="str">
        <f t="shared" si="26"/>
        <v>Futures</v>
      </c>
      <c r="E344" t="s">
        <v>2463</v>
      </c>
      <c r="F344" t="s">
        <v>2443</v>
      </c>
      <c r="G344" s="29" t="s">
        <v>685</v>
      </c>
      <c r="H344" t="e">
        <v>#N/A</v>
      </c>
      <c r="I344" t="e">
        <v>#N/A</v>
      </c>
    </row>
    <row r="345" spans="1:10">
      <c r="A345" s="21">
        <v>44330</v>
      </c>
      <c r="B345" s="22">
        <v>44330.573151736113</v>
      </c>
      <c r="C345">
        <v>1</v>
      </c>
      <c r="D345" t="str">
        <f t="shared" si="26"/>
        <v>Futures</v>
      </c>
      <c r="E345" t="s">
        <v>1651</v>
      </c>
      <c r="F345" t="s">
        <v>1643</v>
      </c>
      <c r="G345" s="29" t="s">
        <v>685</v>
      </c>
      <c r="H345" t="e">
        <v>#N/A</v>
      </c>
      <c r="I345" t="e">
        <v>#N/A</v>
      </c>
    </row>
    <row r="346" spans="1:10">
      <c r="A346" s="21">
        <v>44330</v>
      </c>
      <c r="B346" s="22">
        <v>44330.573151736113</v>
      </c>
      <c r="C346">
        <v>1</v>
      </c>
      <c r="D346" t="str">
        <f t="shared" si="26"/>
        <v>Futures</v>
      </c>
      <c r="E346" t="s">
        <v>1652</v>
      </c>
      <c r="F346" t="s">
        <v>1644</v>
      </c>
      <c r="G346" s="29" t="s">
        <v>685</v>
      </c>
      <c r="H346">
        <v>145.53125</v>
      </c>
      <c r="I346">
        <v>145.53125</v>
      </c>
      <c r="J346" s="35" t="str">
        <f t="shared" ca="1" si="17"/>
        <v>INSERT INTO ETFValue (DataDate, TimeCategory, ProductType, ProductLink, ProductCode, ProductName, NAV, Price, RecTime) VALUES ('2021/5/14','1', 'Futures', 'TNF1','TN-M21','CBOT','145.5313','145.53125','15:15:01')</v>
      </c>
    </row>
    <row r="347" spans="1:10">
      <c r="A347" s="21">
        <v>44330</v>
      </c>
      <c r="B347" s="22">
        <v>44330.573151736113</v>
      </c>
      <c r="C347">
        <v>1</v>
      </c>
      <c r="D347" t="str">
        <f t="shared" si="26"/>
        <v>Futures</v>
      </c>
      <c r="E347" t="s">
        <v>1303</v>
      </c>
      <c r="F347" t="s">
        <v>1300</v>
      </c>
      <c r="G347" s="29" t="s">
        <v>685</v>
      </c>
      <c r="H347" t="e">
        <v>#N/A</v>
      </c>
      <c r="I347" t="e">
        <v>#N/A</v>
      </c>
    </row>
    <row r="348" spans="1:10">
      <c r="A348" s="21">
        <v>44330</v>
      </c>
      <c r="B348" s="22">
        <v>44330.573151736113</v>
      </c>
      <c r="C348">
        <v>1</v>
      </c>
      <c r="D348" t="str">
        <f t="shared" si="26"/>
        <v>Futures</v>
      </c>
      <c r="E348" t="s">
        <v>2464</v>
      </c>
      <c r="F348" t="s">
        <v>2444</v>
      </c>
      <c r="G348" s="29" t="s">
        <v>684</v>
      </c>
      <c r="H348" t="e">
        <v>#N/A</v>
      </c>
      <c r="I348" t="e">
        <v>#N/A</v>
      </c>
    </row>
    <row r="349" spans="1:10">
      <c r="A349" s="21">
        <v>44330</v>
      </c>
      <c r="B349" s="22">
        <v>44330.573151736113</v>
      </c>
      <c r="C349">
        <v>1</v>
      </c>
      <c r="D349" t="str">
        <f t="shared" si="26"/>
        <v>Futures</v>
      </c>
      <c r="E349" t="s">
        <v>1354</v>
      </c>
      <c r="F349" t="s">
        <v>1350</v>
      </c>
      <c r="G349" s="29" t="s">
        <v>684</v>
      </c>
      <c r="H349" t="e">
        <v>#N/A</v>
      </c>
      <c r="I349" t="e">
        <v>#N/A</v>
      </c>
    </row>
    <row r="350" spans="1:10">
      <c r="A350" s="21">
        <v>44330</v>
      </c>
      <c r="B350" s="22">
        <v>44330.573151736113</v>
      </c>
      <c r="C350">
        <v>1</v>
      </c>
      <c r="D350" t="str">
        <f t="shared" si="26"/>
        <v>Futures</v>
      </c>
      <c r="E350" t="s">
        <v>1425</v>
      </c>
      <c r="F350" t="s">
        <v>1419</v>
      </c>
      <c r="G350" s="29" t="s">
        <v>684</v>
      </c>
      <c r="H350" t="e">
        <v>#N/A</v>
      </c>
      <c r="I350" t="e">
        <v>#N/A</v>
      </c>
    </row>
    <row r="351" spans="1:10">
      <c r="A351" s="21">
        <v>44330</v>
      </c>
      <c r="B351" s="22">
        <v>44330.573151736113</v>
      </c>
      <c r="C351">
        <v>1</v>
      </c>
      <c r="D351" t="str">
        <f t="shared" si="26"/>
        <v>Futures</v>
      </c>
      <c r="E351" t="s">
        <v>1828</v>
      </c>
      <c r="F351" t="s">
        <v>1814</v>
      </c>
      <c r="G351" s="29" t="s">
        <v>684</v>
      </c>
      <c r="H351" t="e">
        <v>#N/A</v>
      </c>
      <c r="I351" t="e">
        <v>#N/A</v>
      </c>
    </row>
    <row r="352" spans="1:10">
      <c r="A352" s="21">
        <v>44330</v>
      </c>
      <c r="B352" s="22">
        <v>44330.573151736113</v>
      </c>
      <c r="C352">
        <v>1</v>
      </c>
      <c r="D352" t="str">
        <f t="shared" si="26"/>
        <v>Futures</v>
      </c>
      <c r="E352" t="s">
        <v>1368</v>
      </c>
      <c r="F352" t="s">
        <v>1365</v>
      </c>
      <c r="G352" s="29" t="s">
        <v>683</v>
      </c>
      <c r="H352" t="e">
        <v>#N/A</v>
      </c>
      <c r="I352" t="e">
        <v>#N/A</v>
      </c>
    </row>
    <row r="353" spans="1:10">
      <c r="A353" s="21">
        <v>44330</v>
      </c>
      <c r="B353" s="22">
        <v>44330.573151736113</v>
      </c>
      <c r="C353">
        <v>1</v>
      </c>
      <c r="D353" t="str">
        <f t="shared" si="26"/>
        <v>Futures</v>
      </c>
      <c r="E353" t="s">
        <v>1369</v>
      </c>
      <c r="F353" t="s">
        <v>1366</v>
      </c>
      <c r="G353" s="29" t="s">
        <v>683</v>
      </c>
      <c r="H353" t="e">
        <v>#N/A</v>
      </c>
      <c r="I353" t="e">
        <v>#N/A</v>
      </c>
    </row>
    <row r="354" spans="1:10">
      <c r="A354" s="21">
        <v>44330</v>
      </c>
      <c r="B354" s="22">
        <v>44330.573151736113</v>
      </c>
      <c r="C354">
        <v>1</v>
      </c>
      <c r="D354" t="str">
        <f t="shared" si="26"/>
        <v>Futures</v>
      </c>
      <c r="E354" t="s">
        <v>1370</v>
      </c>
      <c r="F354" t="s">
        <v>1367</v>
      </c>
      <c r="G354" s="29" t="s">
        <v>683</v>
      </c>
      <c r="H354" t="e">
        <v>#N/A</v>
      </c>
      <c r="I354" t="e">
        <v>#N/A</v>
      </c>
    </row>
    <row r="355" spans="1:10">
      <c r="A355" s="21">
        <v>44330</v>
      </c>
      <c r="B355" s="22">
        <v>44330.573151736113</v>
      </c>
      <c r="C355">
        <v>1</v>
      </c>
      <c r="D355" t="str">
        <f t="shared" si="26"/>
        <v>Futures</v>
      </c>
      <c r="E355" t="s">
        <v>2465</v>
      </c>
      <c r="F355" t="s">
        <v>2433</v>
      </c>
      <c r="G355" s="29" t="s">
        <v>683</v>
      </c>
      <c r="H355" t="e">
        <v>#N/A</v>
      </c>
      <c r="I355" t="e">
        <v>#N/A</v>
      </c>
    </row>
    <row r="356" spans="1:10">
      <c r="A356" s="21">
        <v>44330</v>
      </c>
      <c r="B356" s="22">
        <v>44330.573151736113</v>
      </c>
      <c r="C356">
        <v>1</v>
      </c>
      <c r="D356" t="str">
        <f t="shared" si="26"/>
        <v>Futures</v>
      </c>
      <c r="E356" t="s">
        <v>1394</v>
      </c>
      <c r="F356" t="s">
        <v>1386</v>
      </c>
      <c r="G356" s="29" t="s">
        <v>683</v>
      </c>
      <c r="H356">
        <v>4.6535000000000002</v>
      </c>
      <c r="I356">
        <v>4.6535000000000002</v>
      </c>
      <c r="J356" s="35" t="str">
        <f t="shared" ca="1" si="17"/>
        <v>INSERT INTO ETFValue (DataDate, TimeCategory, ProductType, ProductLink, ProductCode, ProductName, NAV, Price, RecTime) VALUES ('2021/5/14','1', 'Futures', 'HGE1','HG-K21','NYMEX','4.6535','4.6535','15:15:01')</v>
      </c>
    </row>
    <row r="357" spans="1:10">
      <c r="A357" s="21">
        <v>44330</v>
      </c>
      <c r="B357" s="22">
        <v>44330.573151736113</v>
      </c>
      <c r="C357">
        <v>1</v>
      </c>
      <c r="D357" t="str">
        <f t="shared" si="26"/>
        <v>Futures</v>
      </c>
      <c r="E357" t="s">
        <v>1829</v>
      </c>
      <c r="F357" t="s">
        <v>1816</v>
      </c>
      <c r="G357" s="29" t="s">
        <v>683</v>
      </c>
      <c r="H357">
        <v>4.6429999999999998</v>
      </c>
      <c r="I357">
        <v>4.6429999999999998</v>
      </c>
      <c r="J357" s="35" t="str">
        <f t="shared" ca="1" si="17"/>
        <v>INSERT INTO ETFValue (DataDate, TimeCategory, ProductType, ProductLink, ProductCode, ProductName, NAV, Price, RecTime) VALUES ('2021/5/14','1', 'Futures', 'HGF1','HG-M21','NYMEX','4.643','4.643','15:15:01')</v>
      </c>
    </row>
    <row r="358" spans="1:10">
      <c r="A358" s="21">
        <v>44330</v>
      </c>
      <c r="B358" s="22">
        <v>44330.573151736113</v>
      </c>
      <c r="C358">
        <v>1</v>
      </c>
      <c r="D358" t="str">
        <f t="shared" si="26"/>
        <v>Futures</v>
      </c>
      <c r="E358" t="s">
        <v>1830</v>
      </c>
      <c r="F358" t="s">
        <v>1818</v>
      </c>
      <c r="G358" s="29" t="s">
        <v>683</v>
      </c>
      <c r="H358">
        <v>4.6459999999999999</v>
      </c>
      <c r="I358">
        <v>4.6459999999999999</v>
      </c>
      <c r="J358" s="35" t="str">
        <f t="shared" ca="1" si="17"/>
        <v>INSERT INTO ETFValue (DataDate, TimeCategory, ProductType, ProductLink, ProductCode, ProductName, NAV, Price, RecTime) VALUES ('2021/5/14','1', 'Futures', 'HGG1','HG-N21','NYMEX','4.646','4.646','15:15:01')</v>
      </c>
    </row>
    <row r="359" spans="1:10">
      <c r="A359" s="21">
        <v>44330</v>
      </c>
      <c r="B359" s="22">
        <v>44330.573151736113</v>
      </c>
      <c r="C359">
        <v>1</v>
      </c>
      <c r="D359" t="str">
        <f t="shared" si="26"/>
        <v>Futures</v>
      </c>
      <c r="E359" t="s">
        <v>1831</v>
      </c>
      <c r="F359" t="s">
        <v>1820</v>
      </c>
      <c r="G359" s="29" t="s">
        <v>683</v>
      </c>
      <c r="H359" s="39">
        <v>4.6500000000000004</v>
      </c>
      <c r="I359" s="39">
        <v>4.6500000000000004</v>
      </c>
      <c r="J359" s="35" t="str">
        <f t="shared" ca="1" si="17"/>
        <v>INSERT INTO ETFValue (DataDate, TimeCategory, ProductType, ProductLink, ProductCode, ProductName, NAV, Price, RecTime) VALUES ('2021/5/14','1', 'Futures', 'HGH1','HG-Q21','NYMEX','4.65','4.65','15:15:01')</v>
      </c>
    </row>
    <row r="360" spans="1:10">
      <c r="A360" s="21">
        <v>44330</v>
      </c>
      <c r="B360" s="22">
        <v>44330.573151736113</v>
      </c>
      <c r="C360">
        <v>1</v>
      </c>
      <c r="D360" t="str">
        <f t="shared" ref="D360:D370" si="29">IF(LEFT(E360,2)="00","ETF",IF(LEFT(G360,2)="FX","FX","Futures"))</f>
        <v>Futures</v>
      </c>
      <c r="E360" t="s">
        <v>1832</v>
      </c>
      <c r="F360" t="s">
        <v>1822</v>
      </c>
      <c r="G360" s="29" t="s">
        <v>683</v>
      </c>
      <c r="H360">
        <v>4.6500000000000004</v>
      </c>
      <c r="I360">
        <v>4.6500000000000004</v>
      </c>
      <c r="J360" s="35" t="str">
        <f t="shared" ca="1" si="17"/>
        <v>INSERT INTO ETFValue (DataDate, TimeCategory, ProductType, ProductLink, ProductCode, ProductName, NAV, Price, RecTime) VALUES ('2021/5/14','1', 'Futures', 'HGI1','HG-U21','NYMEX','4.65','4.65','15:15:01')</v>
      </c>
    </row>
    <row r="361" spans="1:10">
      <c r="A361" s="21">
        <v>44330</v>
      </c>
      <c r="B361" s="22">
        <v>44330.573151736113</v>
      </c>
      <c r="C361">
        <v>1</v>
      </c>
      <c r="D361" t="str">
        <f t="shared" si="29"/>
        <v>Futures</v>
      </c>
      <c r="E361" t="s">
        <v>1833</v>
      </c>
      <c r="F361" t="s">
        <v>1824</v>
      </c>
      <c r="G361" s="29" t="s">
        <v>683</v>
      </c>
      <c r="H361">
        <v>4.6555</v>
      </c>
      <c r="I361">
        <v>4.6555</v>
      </c>
      <c r="J361" s="35" t="str">
        <f t="shared" ca="1" si="17"/>
        <v>INSERT INTO ETFValue (DataDate, TimeCategory, ProductType, ProductLink, ProductCode, ProductName, NAV, Price, RecTime) VALUES ('2021/5/14','1', 'Futures', 'HGJ1','HG-V21','NYMEX','4.6555','4.6555','15:15:01')</v>
      </c>
    </row>
    <row r="362" spans="1:10">
      <c r="A362" s="21">
        <v>44330</v>
      </c>
      <c r="B362" s="22">
        <v>44330.573151736113</v>
      </c>
      <c r="C362">
        <v>1</v>
      </c>
      <c r="D362" t="str">
        <f t="shared" si="29"/>
        <v>Futures</v>
      </c>
      <c r="E362" t="s">
        <v>1869</v>
      </c>
      <c r="F362" t="s">
        <v>1867</v>
      </c>
      <c r="G362" s="29" t="s">
        <v>683</v>
      </c>
      <c r="H362">
        <v>0</v>
      </c>
      <c r="I362">
        <v>0</v>
      </c>
      <c r="J362" s="35" t="str">
        <f t="shared" ca="1" si="17"/>
        <v>INSERT INTO ETFValue (DataDate, TimeCategory, ProductType, ProductLink, ProductCode, ProductName, NAV, Price, RecTime) VALUES ('2021/5/14','1', 'Futures', 'HGK1','HG-X21','NYMEX','0','0','15:15:01')</v>
      </c>
    </row>
    <row r="363" spans="1:10">
      <c r="A363" s="21">
        <v>44330</v>
      </c>
      <c r="B363" s="22">
        <v>44330.573151736113</v>
      </c>
      <c r="C363">
        <v>1</v>
      </c>
      <c r="D363" t="str">
        <f t="shared" si="29"/>
        <v>Futures</v>
      </c>
      <c r="E363" t="s">
        <v>2684</v>
      </c>
      <c r="F363" t="s">
        <v>2664</v>
      </c>
      <c r="G363" s="29" t="s">
        <v>687</v>
      </c>
      <c r="H363" t="e">
        <v>#N/A</v>
      </c>
      <c r="I363" t="e">
        <v>#N/A</v>
      </c>
    </row>
    <row r="364" spans="1:10">
      <c r="A364" s="21">
        <v>44330</v>
      </c>
      <c r="B364" s="22">
        <v>44330.573151736113</v>
      </c>
      <c r="C364">
        <v>1</v>
      </c>
      <c r="D364" t="str">
        <f t="shared" si="29"/>
        <v>Futures</v>
      </c>
      <c r="E364" t="s">
        <v>2579</v>
      </c>
      <c r="F364" t="s">
        <v>2526</v>
      </c>
      <c r="G364" s="29" t="s">
        <v>687</v>
      </c>
      <c r="H364">
        <v>14705</v>
      </c>
      <c r="I364">
        <v>14705</v>
      </c>
      <c r="J364" s="35" t="str">
        <f t="shared" ca="1" si="17"/>
        <v>INSERT INTO ETFValue (DataDate, TimeCategory, ProductType, ProductLink, ProductCode, ProductName, NAV, Price, RecTime) VALUES ('2021/5/14','1', 'Futures', 'INE1','IN-K21','SGX','14705','14705','15:15:01')</v>
      </c>
    </row>
    <row r="365" spans="1:10">
      <c r="A365" s="21">
        <v>44330</v>
      </c>
      <c r="B365" s="22">
        <v>44330.573151736113</v>
      </c>
      <c r="C365">
        <v>1</v>
      </c>
      <c r="D365" t="str">
        <f t="shared" si="29"/>
        <v>Futures</v>
      </c>
      <c r="E365" t="s">
        <v>2685</v>
      </c>
      <c r="F365" t="s">
        <v>2662</v>
      </c>
      <c r="G365" s="29" t="s">
        <v>687</v>
      </c>
      <c r="H365">
        <v>14775</v>
      </c>
      <c r="I365">
        <v>14775</v>
      </c>
      <c r="J365" s="35" t="str">
        <f t="shared" ca="1" si="17"/>
        <v>INSERT INTO ETFValue (DataDate, TimeCategory, ProductType, ProductLink, ProductCode, ProductName, NAV, Price, RecTime) VALUES ('2021/5/14','1', 'Futures', 'INF1','IN-M21','SGX','14775','14775','15:15:01')</v>
      </c>
    </row>
    <row r="366" spans="1:10">
      <c r="A366" s="21">
        <v>44330</v>
      </c>
      <c r="B366" s="22">
        <v>44330.573151736113</v>
      </c>
      <c r="C366">
        <v>1</v>
      </c>
      <c r="D366" t="str">
        <f t="shared" si="29"/>
        <v>Futures</v>
      </c>
      <c r="E366" t="s">
        <v>2718</v>
      </c>
      <c r="F366" t="s">
        <v>2714</v>
      </c>
      <c r="G366" s="29" t="s">
        <v>684</v>
      </c>
      <c r="H366">
        <v>9.1339999999999998E-3</v>
      </c>
      <c r="I366">
        <v>9.1339999999999998E-3</v>
      </c>
      <c r="J366" s="35" t="str">
        <f t="shared" ca="1" si="17"/>
        <v>INSERT INTO ETFValue (DataDate, TimeCategory, ProductType, ProductLink, ProductCode, ProductName, NAV, Price, RecTime) VALUES ('2021/5/14','1', 'Futures', 'JYI1','6J-U21','CME','0.0091','0.009134','15:15:01')</v>
      </c>
    </row>
    <row r="367" spans="1:10">
      <c r="A367" s="21">
        <v>44330</v>
      </c>
      <c r="B367" s="22">
        <v>44330.573151736113</v>
      </c>
      <c r="C367">
        <v>1</v>
      </c>
      <c r="D367" t="str">
        <f t="shared" si="29"/>
        <v>Futures</v>
      </c>
      <c r="E367" t="s">
        <v>2719</v>
      </c>
      <c r="F367" t="s">
        <v>2716</v>
      </c>
      <c r="G367" s="29" t="s">
        <v>684</v>
      </c>
      <c r="H367" t="e">
        <v>#N/A</v>
      </c>
      <c r="I367" t="e">
        <v>#N/A</v>
      </c>
    </row>
    <row r="368" spans="1:10">
      <c r="A368" s="21">
        <v>44330</v>
      </c>
      <c r="B368" s="22">
        <v>44330.573151736113</v>
      </c>
      <c r="C368">
        <v>1</v>
      </c>
      <c r="D368" t="str">
        <f t="shared" si="29"/>
        <v>Futures</v>
      </c>
      <c r="E368" t="s">
        <v>2597</v>
      </c>
      <c r="F368" t="s">
        <v>2595</v>
      </c>
      <c r="G368" s="29" t="s">
        <v>684</v>
      </c>
      <c r="H368">
        <v>9.1319999999999995E-3</v>
      </c>
      <c r="I368">
        <v>9.1319999999999995E-3</v>
      </c>
      <c r="J368" s="35" t="str">
        <f t="shared" ca="1" si="17"/>
        <v>INSERT INTO ETFValue (DataDate, TimeCategory, ProductType, ProductLink, ProductCode, ProductName, NAV, Price, RecTime) VALUES ('2021/5/14','1', 'Futures', 'JYF1','6J-M21','CME','0.0091','0.009132','15:15:01')</v>
      </c>
    </row>
    <row r="369" spans="1:10">
      <c r="A369" s="21">
        <v>44330</v>
      </c>
      <c r="B369" s="22">
        <v>44330.573151736113</v>
      </c>
      <c r="C369">
        <v>1</v>
      </c>
      <c r="D369" t="str">
        <f t="shared" si="29"/>
        <v>Futures</v>
      </c>
      <c r="E369" t="s">
        <v>2686</v>
      </c>
      <c r="F369" t="s">
        <v>2676</v>
      </c>
      <c r="G369" s="29" t="s">
        <v>687</v>
      </c>
      <c r="H369" t="e">
        <v>#N/A</v>
      </c>
      <c r="I369" t="e">
        <v>#N/A</v>
      </c>
    </row>
    <row r="370" spans="1:10">
      <c r="A370" s="21">
        <v>44330</v>
      </c>
      <c r="B370" s="22">
        <v>44330.573151736113</v>
      </c>
      <c r="C370">
        <v>1</v>
      </c>
      <c r="D370" t="str">
        <f t="shared" si="29"/>
        <v>Futures</v>
      </c>
      <c r="E370" t="s">
        <v>1793</v>
      </c>
      <c r="F370" t="s">
        <v>1789</v>
      </c>
      <c r="G370" s="29" t="s">
        <v>687</v>
      </c>
      <c r="H370">
        <v>1381.75</v>
      </c>
      <c r="I370">
        <v>1381.75</v>
      </c>
      <c r="J370" s="35" t="str">
        <f t="shared" ca="1" si="17"/>
        <v>INSERT INTO ETFValue (DataDate, TimeCategory, ProductType, ProductLink, ProductCode, ProductName, NAV, Price, RecTime) VALUES ('2021/5/14','1', 'Futures', 'TWNF1','TWN-M21','SGX','1381.75','1381.75','15:15:01')</v>
      </c>
    </row>
    <row r="371" spans="1:10">
      <c r="A371" s="21">
        <v>44330</v>
      </c>
      <c r="B371" s="22">
        <v>44330.573151736113</v>
      </c>
      <c r="C371">
        <v>1</v>
      </c>
      <c r="D371" t="str">
        <f t="shared" ref="D371:D380" si="30">IF(LEFT(E371,2)="00","ETF",IF(LEFT(G371,2)="FX","FX","Futures"))</f>
        <v>Futures</v>
      </c>
      <c r="E371" t="s">
        <v>2687</v>
      </c>
      <c r="F371" t="s">
        <v>2677</v>
      </c>
      <c r="G371" t="s">
        <v>687</v>
      </c>
      <c r="H371">
        <v>-7.9228162514264338E+28</v>
      </c>
      <c r="I371">
        <v>-7.9228162514264338E+28</v>
      </c>
    </row>
    <row r="372" spans="1:10">
      <c r="A372" s="21">
        <v>44330</v>
      </c>
      <c r="B372" s="22">
        <v>44330.573151736113</v>
      </c>
      <c r="C372">
        <v>1</v>
      </c>
      <c r="D372" t="str">
        <f t="shared" ref="D372:D373" si="31">IF(LEFT(E372,2)="00","ETF",IF(LEFT(G372,2)="FX","FX","Futures"))</f>
        <v>Futures</v>
      </c>
      <c r="E372" t="s">
        <v>2688</v>
      </c>
      <c r="F372" t="s">
        <v>2678</v>
      </c>
      <c r="G372" t="s">
        <v>687</v>
      </c>
      <c r="H372">
        <v>-7.9228162514264338E+28</v>
      </c>
      <c r="I372">
        <v>-7.9228162514264338E+28</v>
      </c>
    </row>
    <row r="373" spans="1:10">
      <c r="A373" s="21">
        <v>44330</v>
      </c>
      <c r="B373" s="22">
        <v>44330.573151736113</v>
      </c>
      <c r="C373">
        <v>1</v>
      </c>
      <c r="D373" t="str">
        <f t="shared" si="31"/>
        <v>Futures</v>
      </c>
      <c r="E373" t="s">
        <v>2466</v>
      </c>
      <c r="F373" t="s">
        <v>2445</v>
      </c>
      <c r="G373" t="s">
        <v>687</v>
      </c>
      <c r="H373" t="e">
        <v>#N/A</v>
      </c>
      <c r="I373" t="e">
        <v>#N/A</v>
      </c>
    </row>
    <row r="374" spans="1:10">
      <c r="A374" s="21">
        <v>44330</v>
      </c>
      <c r="B374" s="22">
        <v>44330.573151736113</v>
      </c>
      <c r="C374">
        <v>1</v>
      </c>
      <c r="D374" t="str">
        <f t="shared" ref="D374:D379" si="32">IF(LEFT(E374,2)="00","ETF",IF(LEFT(G374,2)="FX","FX","Futures"))</f>
        <v>Futures</v>
      </c>
      <c r="E374" t="s">
        <v>2467</v>
      </c>
      <c r="F374" t="s">
        <v>2446</v>
      </c>
      <c r="G374" t="s">
        <v>687</v>
      </c>
      <c r="H374">
        <v>1395.75</v>
      </c>
      <c r="I374">
        <v>1395.75</v>
      </c>
      <c r="J374" s="35" t="str">
        <f t="shared" ref="J374" ca="1" si="33">"INSERT INTO ETFValue (DataDate, TimeCategory, ProductType, ProductLink, ProductCode, ProductName, NAV, Price, RecTime) VALUES ("&amp;"'"&amp;TEXT(A374,"yyyy/m/dd")&amp;"','"&amp; C374&amp;"', '"&amp;D374&amp;"', '"&amp;E374&amp;"','"&amp;F374&amp;"','"&amp;G374&amp;"','"&amp;ROUND(H374,4)&amp;"','"&amp;I374&amp;"','"&amp;TEXT($P$2,"hh:mm:ss")&amp;"')"</f>
        <v>INSERT INTO ETFValue (DataDate, TimeCategory, ProductType, ProductLink, ProductCode, ProductName, NAV, Price, RecTime) VALUES ('2021/5/14','1', 'Futures', 'TWNE1','TWN-K21','SGX','1395.75','1395.75','15:15:01')</v>
      </c>
    </row>
    <row r="375" spans="1:10">
      <c r="A375" s="21">
        <v>44330</v>
      </c>
      <c r="B375" s="22">
        <v>44330.573151736113</v>
      </c>
      <c r="C375">
        <v>1</v>
      </c>
      <c r="D375" t="str">
        <f t="shared" si="32"/>
        <v>Futures</v>
      </c>
      <c r="E375" t="s">
        <v>2635</v>
      </c>
      <c r="F375" t="s">
        <v>2635</v>
      </c>
      <c r="G375" t="s">
        <v>2636</v>
      </c>
      <c r="H375">
        <v>15699</v>
      </c>
      <c r="I375">
        <v>15699</v>
      </c>
    </row>
    <row r="376" spans="1:10">
      <c r="A376" s="21">
        <v>44330</v>
      </c>
      <c r="B376" s="22">
        <v>44330.573151736113</v>
      </c>
      <c r="C376">
        <v>1</v>
      </c>
      <c r="D376" t="str">
        <f t="shared" si="32"/>
        <v>Futures</v>
      </c>
      <c r="E376" t="s">
        <v>2637</v>
      </c>
      <c r="F376" t="s">
        <v>2637</v>
      </c>
      <c r="G376" t="s">
        <v>2638</v>
      </c>
      <c r="H376">
        <v>753.7</v>
      </c>
      <c r="I376">
        <v>753.7</v>
      </c>
    </row>
    <row r="377" spans="1:10">
      <c r="A377" s="21">
        <v>44330</v>
      </c>
      <c r="B377" s="22">
        <v>44330.573151736113</v>
      </c>
      <c r="C377">
        <v>1</v>
      </c>
      <c r="D377" t="str">
        <f t="shared" si="32"/>
        <v>Futures</v>
      </c>
      <c r="E377" t="s">
        <v>2639</v>
      </c>
      <c r="F377" t="s">
        <v>2639</v>
      </c>
      <c r="G377" t="s">
        <v>2640</v>
      </c>
      <c r="H377">
        <v>1442.4</v>
      </c>
      <c r="I377">
        <v>1442.4</v>
      </c>
    </row>
    <row r="378" spans="1:10">
      <c r="A378" s="21">
        <v>44330</v>
      </c>
      <c r="B378" s="22">
        <v>44330.573151736113</v>
      </c>
      <c r="C378">
        <v>1</v>
      </c>
      <c r="D378" t="str">
        <f t="shared" si="32"/>
        <v>Futures</v>
      </c>
      <c r="E378" t="s">
        <v>2600</v>
      </c>
      <c r="F378" t="s">
        <v>2600</v>
      </c>
      <c r="G378" t="s">
        <v>2651</v>
      </c>
      <c r="H378">
        <v>15772</v>
      </c>
      <c r="I378">
        <v>15772</v>
      </c>
    </row>
    <row r="379" spans="1:10">
      <c r="A379" s="21">
        <v>44330</v>
      </c>
      <c r="B379" s="22">
        <v>44330.573151736113</v>
      </c>
      <c r="C379">
        <v>1</v>
      </c>
      <c r="D379" t="str">
        <f t="shared" si="32"/>
        <v>Futures</v>
      </c>
      <c r="E379" t="s">
        <v>2601</v>
      </c>
      <c r="F379" t="s">
        <v>2601</v>
      </c>
      <c r="G379" t="s">
        <v>2652</v>
      </c>
      <c r="H379">
        <v>758.8</v>
      </c>
      <c r="I379">
        <v>758.8</v>
      </c>
    </row>
    <row r="380" spans="1:10">
      <c r="A380" s="21">
        <v>44330</v>
      </c>
      <c r="B380" s="22">
        <v>44330.573151736113</v>
      </c>
      <c r="C380">
        <v>1</v>
      </c>
      <c r="D380" t="str">
        <f t="shared" si="30"/>
        <v>Futures</v>
      </c>
      <c r="E380" t="s">
        <v>2602</v>
      </c>
      <c r="F380" t="s">
        <v>2602</v>
      </c>
      <c r="G380" t="s">
        <v>2653</v>
      </c>
      <c r="H380">
        <v>1445.6</v>
      </c>
      <c r="I380">
        <v>1445.6</v>
      </c>
    </row>
    <row r="381" spans="1:10">
      <c r="A381" s="21">
        <v>44330</v>
      </c>
      <c r="B381" s="22">
        <v>44330.573151736113</v>
      </c>
      <c r="C381">
        <v>1</v>
      </c>
      <c r="D381" t="str">
        <f t="shared" ref="D381:D395" si="34">IF(LEFT(E381,2)="00","ETF",IF(LEFT(G381,2)="FX","FX","Futures"))</f>
        <v>Futures</v>
      </c>
      <c r="E381" t="s">
        <v>2641</v>
      </c>
      <c r="F381" t="s">
        <v>2641</v>
      </c>
      <c r="G381" t="s">
        <v>2642</v>
      </c>
      <c r="H381">
        <v>128.25</v>
      </c>
      <c r="I381">
        <v>128.25</v>
      </c>
    </row>
    <row r="382" spans="1:10">
      <c r="A382" s="21">
        <v>44330</v>
      </c>
      <c r="B382" s="22">
        <v>44330.573151736113</v>
      </c>
      <c r="C382">
        <v>1</v>
      </c>
      <c r="D382" t="str">
        <f t="shared" si="34"/>
        <v>Futures</v>
      </c>
      <c r="E382" t="s">
        <v>2643</v>
      </c>
      <c r="F382" t="s">
        <v>2643</v>
      </c>
      <c r="G382" t="s">
        <v>2644</v>
      </c>
      <c r="H382">
        <v>37.950000000000003</v>
      </c>
      <c r="I382">
        <v>37.950000000000003</v>
      </c>
    </row>
    <row r="383" spans="1:10">
      <c r="A383" s="21">
        <v>44330</v>
      </c>
      <c r="B383" s="22">
        <v>44330.573151736113</v>
      </c>
      <c r="C383">
        <v>1</v>
      </c>
      <c r="D383" t="str">
        <f t="shared" si="34"/>
        <v>Futures</v>
      </c>
      <c r="E383" t="s">
        <v>2645</v>
      </c>
      <c r="F383" t="s">
        <v>2645</v>
      </c>
      <c r="G383" t="s">
        <v>2646</v>
      </c>
      <c r="H383">
        <v>554</v>
      </c>
      <c r="I383">
        <v>554</v>
      </c>
    </row>
    <row r="384" spans="1:10">
      <c r="A384" s="21">
        <v>44330</v>
      </c>
      <c r="B384" s="22">
        <v>44330.573151736113</v>
      </c>
      <c r="C384">
        <v>1</v>
      </c>
      <c r="D384" t="str">
        <f t="shared" si="34"/>
        <v>Futures</v>
      </c>
      <c r="E384" t="s">
        <v>2647</v>
      </c>
      <c r="F384" t="s">
        <v>2647</v>
      </c>
      <c r="G384" t="s">
        <v>2648</v>
      </c>
      <c r="H384">
        <v>158</v>
      </c>
      <c r="I384">
        <v>158</v>
      </c>
    </row>
    <row r="385" spans="1:9">
      <c r="A385" s="21">
        <v>44330</v>
      </c>
      <c r="B385" s="22">
        <v>44330.573151736113</v>
      </c>
      <c r="C385">
        <v>1</v>
      </c>
      <c r="D385" t="str">
        <f t="shared" si="34"/>
        <v>Futures</v>
      </c>
      <c r="E385" t="s">
        <v>2649</v>
      </c>
      <c r="F385" t="s">
        <v>2649</v>
      </c>
      <c r="G385" t="s">
        <v>2650</v>
      </c>
      <c r="H385">
        <v>33.65</v>
      </c>
      <c r="I385">
        <v>33.65</v>
      </c>
    </row>
    <row r="386" spans="1:9">
      <c r="A386" s="21">
        <v>44330</v>
      </c>
      <c r="B386" s="22">
        <v>44330.573151736113</v>
      </c>
      <c r="C386">
        <v>1</v>
      </c>
      <c r="D386" t="str">
        <f t="shared" si="34"/>
        <v>Futures</v>
      </c>
      <c r="E386" t="s">
        <v>2603</v>
      </c>
      <c r="F386" t="s">
        <v>2603</v>
      </c>
      <c r="G386" t="s">
        <v>2654</v>
      </c>
      <c r="H386">
        <v>128.44999999999999</v>
      </c>
      <c r="I386">
        <v>128.44999999999999</v>
      </c>
    </row>
    <row r="387" spans="1:9">
      <c r="A387" s="21">
        <v>44330</v>
      </c>
      <c r="B387" s="22">
        <v>44330.573151736113</v>
      </c>
      <c r="C387">
        <v>1</v>
      </c>
      <c r="D387" t="str">
        <f t="shared" si="34"/>
        <v>Futures</v>
      </c>
      <c r="E387" t="s">
        <v>2604</v>
      </c>
      <c r="F387" t="s">
        <v>2604</v>
      </c>
      <c r="G387" t="s">
        <v>2655</v>
      </c>
      <c r="H387">
        <v>37.97</v>
      </c>
      <c r="I387">
        <v>37.97</v>
      </c>
    </row>
    <row r="388" spans="1:9">
      <c r="A388" s="21">
        <v>44330</v>
      </c>
      <c r="B388" s="22">
        <v>44330.573151736113</v>
      </c>
      <c r="C388">
        <v>1</v>
      </c>
      <c r="D388" t="str">
        <f t="shared" si="34"/>
        <v>Futures</v>
      </c>
      <c r="E388" t="s">
        <v>2605</v>
      </c>
      <c r="F388" t="s">
        <v>2605</v>
      </c>
      <c r="G388" t="s">
        <v>2656</v>
      </c>
      <c r="H388">
        <v>555</v>
      </c>
      <c r="I388">
        <v>555</v>
      </c>
    </row>
    <row r="389" spans="1:9">
      <c r="A389" s="21">
        <v>44330</v>
      </c>
      <c r="B389" s="22">
        <v>44330.573151736113</v>
      </c>
      <c r="C389">
        <v>1</v>
      </c>
      <c r="D389" t="str">
        <f t="shared" si="34"/>
        <v>Futures</v>
      </c>
      <c r="E389" t="s">
        <v>2606</v>
      </c>
      <c r="F389" t="s">
        <v>2606</v>
      </c>
      <c r="G389" t="s">
        <v>2657</v>
      </c>
      <c r="H389">
        <v>33.5</v>
      </c>
      <c r="I389">
        <v>33.5</v>
      </c>
    </row>
    <row r="390" spans="1:9">
      <c r="A390" s="21">
        <v>44330</v>
      </c>
      <c r="B390" s="22">
        <v>44330.573151736113</v>
      </c>
      <c r="C390">
        <v>1</v>
      </c>
      <c r="D390" t="str">
        <f t="shared" si="34"/>
        <v>Futures</v>
      </c>
      <c r="E390" t="s">
        <v>2607</v>
      </c>
      <c r="F390" t="s">
        <v>2607</v>
      </c>
      <c r="G390" t="s">
        <v>2658</v>
      </c>
      <c r="H390">
        <v>161.5</v>
      </c>
      <c r="I390">
        <v>161.5</v>
      </c>
    </row>
    <row r="391" spans="1:9">
      <c r="A391" s="21">
        <v>44293</v>
      </c>
      <c r="B391" s="22">
        <v>44293.573157175924</v>
      </c>
      <c r="C391">
        <v>1</v>
      </c>
      <c r="D391" t="str">
        <f t="shared" si="34"/>
        <v>Futures</v>
      </c>
      <c r="E391" t="s">
        <v>2489</v>
      </c>
      <c r="H391">
        <v>16768</v>
      </c>
      <c r="I391">
        <v>16768</v>
      </c>
    </row>
    <row r="392" spans="1:9">
      <c r="A392" s="21">
        <v>44293</v>
      </c>
      <c r="B392" s="22">
        <v>44293.573157175924</v>
      </c>
      <c r="C392">
        <v>1</v>
      </c>
      <c r="D392" t="str">
        <f t="shared" si="34"/>
        <v>Futures</v>
      </c>
      <c r="E392" t="s">
        <v>2490</v>
      </c>
      <c r="H392">
        <v>843.55</v>
      </c>
      <c r="I392">
        <v>843.55</v>
      </c>
    </row>
    <row r="393" spans="1:9">
      <c r="A393" s="21">
        <v>44293</v>
      </c>
      <c r="B393" s="22">
        <v>44293.573157175924</v>
      </c>
      <c r="C393">
        <v>1</v>
      </c>
      <c r="D393" t="str">
        <f t="shared" si="34"/>
        <v>Futures</v>
      </c>
      <c r="E393" t="s">
        <v>2491</v>
      </c>
      <c r="H393">
        <v>1392.8</v>
      </c>
      <c r="I393">
        <v>1392.8</v>
      </c>
    </row>
    <row r="394" spans="1:9">
      <c r="A394" s="21">
        <v>44293</v>
      </c>
      <c r="B394" s="22">
        <v>44293.573157175924</v>
      </c>
      <c r="C394">
        <v>1</v>
      </c>
      <c r="D394" t="str">
        <f t="shared" si="34"/>
        <v>Futures</v>
      </c>
      <c r="E394" t="s">
        <v>2600</v>
      </c>
      <c r="H394">
        <v>16721</v>
      </c>
      <c r="I394">
        <v>16721</v>
      </c>
    </row>
    <row r="395" spans="1:9">
      <c r="A395" s="21">
        <v>44293</v>
      </c>
      <c r="B395" s="22">
        <v>44293.573157175924</v>
      </c>
      <c r="C395">
        <v>1</v>
      </c>
      <c r="D395" t="str">
        <f t="shared" si="34"/>
        <v>Futures</v>
      </c>
      <c r="E395" t="s">
        <v>2601</v>
      </c>
      <c r="H395">
        <v>840.4</v>
      </c>
      <c r="I395">
        <v>840.4</v>
      </c>
    </row>
    <row r="396" spans="1:9">
      <c r="A396">
        <v>44293</v>
      </c>
      <c r="B396">
        <v>44293.573157175924</v>
      </c>
      <c r="C396">
        <v>1</v>
      </c>
      <c r="E396" t="s">
        <v>2602</v>
      </c>
      <c r="H396">
        <v>1388</v>
      </c>
      <c r="I396">
        <v>1388</v>
      </c>
    </row>
    <row r="397" spans="1:9">
      <c r="A397">
        <v>44293</v>
      </c>
      <c r="B397">
        <v>44293.573157175924</v>
      </c>
      <c r="C397">
        <v>1</v>
      </c>
      <c r="E397" t="s">
        <v>2492</v>
      </c>
      <c r="H397">
        <v>137.69999999999999</v>
      </c>
      <c r="I397">
        <v>137.69999999999999</v>
      </c>
    </row>
    <row r="398" spans="1:9">
      <c r="A398">
        <v>44293</v>
      </c>
      <c r="B398">
        <v>44293.573157175924</v>
      </c>
      <c r="C398">
        <v>1</v>
      </c>
      <c r="E398" t="s">
        <v>2493</v>
      </c>
      <c r="H398">
        <v>38.35</v>
      </c>
      <c r="I398">
        <v>38.35</v>
      </c>
    </row>
    <row r="399" spans="1:9">
      <c r="A399">
        <v>44293</v>
      </c>
      <c r="B399">
        <v>44293.573157175924</v>
      </c>
      <c r="C399">
        <v>1</v>
      </c>
      <c r="E399" t="s">
        <v>2494</v>
      </c>
      <c r="H399">
        <v>611</v>
      </c>
      <c r="I399">
        <v>611</v>
      </c>
    </row>
    <row r="400" spans="1:9">
      <c r="A400">
        <v>44293</v>
      </c>
      <c r="B400">
        <v>44293.573157175924</v>
      </c>
      <c r="C400">
        <v>1</v>
      </c>
      <c r="E400" t="s">
        <v>2495</v>
      </c>
      <c r="H400">
        <v>206.5</v>
      </c>
      <c r="I400">
        <v>206.5</v>
      </c>
    </row>
    <row r="401" spans="1:9">
      <c r="A401">
        <v>44293</v>
      </c>
      <c r="B401">
        <v>44293.573157175924</v>
      </c>
      <c r="C401">
        <v>1</v>
      </c>
      <c r="E401" t="s">
        <v>2496</v>
      </c>
      <c r="H401">
        <v>34.69</v>
      </c>
      <c r="I401">
        <v>34.69</v>
      </c>
    </row>
    <row r="402" spans="1:9">
      <c r="A402">
        <v>44293</v>
      </c>
      <c r="B402">
        <v>44293.573157175924</v>
      </c>
      <c r="C402">
        <v>1</v>
      </c>
      <c r="E402" t="s">
        <v>2603</v>
      </c>
      <c r="H402">
        <v>137.44999999999999</v>
      </c>
      <c r="I402">
        <v>137.44999999999999</v>
      </c>
    </row>
    <row r="403" spans="1:9">
      <c r="A403">
        <v>44293</v>
      </c>
      <c r="B403">
        <v>44293.573157175924</v>
      </c>
      <c r="C403">
        <v>1</v>
      </c>
      <c r="E403" t="s">
        <v>2604</v>
      </c>
      <c r="H403">
        <v>38.33</v>
      </c>
      <c r="I403">
        <v>38.33</v>
      </c>
    </row>
    <row r="404" spans="1:9">
      <c r="A404">
        <v>44293</v>
      </c>
      <c r="B404">
        <v>44293.573157175924</v>
      </c>
      <c r="C404">
        <v>1</v>
      </c>
      <c r="E404" t="s">
        <v>2605</v>
      </c>
      <c r="H404">
        <v>610</v>
      </c>
      <c r="I404">
        <v>610</v>
      </c>
    </row>
    <row r="405" spans="1:9">
      <c r="A405">
        <v>44293</v>
      </c>
      <c r="B405">
        <v>44293.573157175924</v>
      </c>
      <c r="C405">
        <v>1</v>
      </c>
      <c r="E405" t="s">
        <v>2606</v>
      </c>
      <c r="H405">
        <v>34.729999999999997</v>
      </c>
      <c r="I405">
        <v>34.729999999999997</v>
      </c>
    </row>
    <row r="406" spans="1:9">
      <c r="A406">
        <v>44293</v>
      </c>
      <c r="B406">
        <v>44293.573157175924</v>
      </c>
      <c r="C406">
        <v>1</v>
      </c>
      <c r="E406" t="s">
        <v>2607</v>
      </c>
      <c r="H406">
        <v>205</v>
      </c>
      <c r="I406">
        <v>205</v>
      </c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Macro1">
                <anchor moveWithCells="1" sizeWithCells="1">
                  <from>
                    <xdr:col>11</xdr:col>
                    <xdr:colOff>114300</xdr:colOff>
                    <xdr:row>0</xdr:row>
                    <xdr:rowOff>38100</xdr:rowOff>
                  </from>
                  <to>
                    <xdr:col>12</xdr:col>
                    <xdr:colOff>66675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>
                <anchor moveWithCells="1" sizeWithCells="1">
                  <from>
                    <xdr:col>17</xdr:col>
                    <xdr:colOff>38100</xdr:colOff>
                    <xdr:row>0</xdr:row>
                    <xdr:rowOff>28575</xdr:rowOff>
                  </from>
                  <to>
                    <xdr:col>17</xdr:col>
                    <xdr:colOff>666750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"/>
  <sheetViews>
    <sheetView workbookViewId="0">
      <selection activeCell="G22" sqref="G22"/>
    </sheetView>
  </sheetViews>
  <sheetFormatPr defaultRowHeight="16.5"/>
  <cols>
    <col min="1" max="1" width="11.75" bestFit="1" customWidth="1"/>
    <col min="2" max="2" width="12.5" bestFit="1" customWidth="1"/>
    <col min="3" max="3" width="16" bestFit="1" customWidth="1"/>
  </cols>
  <sheetData>
    <row r="1" spans="1:3">
      <c r="A1" t="s">
        <v>710</v>
      </c>
      <c r="B1" t="s">
        <v>712</v>
      </c>
      <c r="C1" t="s">
        <v>713</v>
      </c>
    </row>
  </sheetData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L2"/>
  <sheetViews>
    <sheetView workbookViewId="0">
      <selection activeCell="H2" sqref="H2"/>
    </sheetView>
  </sheetViews>
  <sheetFormatPr defaultRowHeight="16.5"/>
  <sheetData>
    <row r="1" spans="1:12">
      <c r="A1" s="2" t="s">
        <v>6</v>
      </c>
      <c r="B1" s="2" t="s">
        <v>1090</v>
      </c>
      <c r="C1" s="2" t="s">
        <v>1091</v>
      </c>
      <c r="D1" s="2" t="s">
        <v>1092</v>
      </c>
      <c r="E1" s="2" t="s">
        <v>1093</v>
      </c>
      <c r="F1" s="2" t="s">
        <v>1094</v>
      </c>
      <c r="G1" s="2" t="s">
        <v>1095</v>
      </c>
      <c r="H1" s="2" t="s">
        <v>1096</v>
      </c>
      <c r="I1" s="2" t="s">
        <v>1097</v>
      </c>
      <c r="J1" s="2" t="s">
        <v>1098</v>
      </c>
      <c r="K1" s="2" t="s">
        <v>1099</v>
      </c>
      <c r="L1" s="2" t="s">
        <v>1100</v>
      </c>
    </row>
    <row r="2" spans="1:12">
      <c r="A2">
        <f>[3]!'TWTRADE,00677U_7777777_GAFF,STOCKNO'</f>
        <v>0</v>
      </c>
      <c r="B2" t="str">
        <f>[3]!'TSE,00677U,DSPLY_NMLL'</f>
        <v>期富邦VIX</v>
      </c>
      <c r="C2">
        <f>[3]!'TWTRADE,00677U_7777777_GAFF,TRADERID'</f>
        <v>0</v>
      </c>
      <c r="D2">
        <f>[3]!'TWTRADE,00677U_7777777_GAFF,BQTY'</f>
        <v>0</v>
      </c>
      <c r="E2">
        <f>[3]!'TWTRADE,00677U_7777777_GAFF,SQTY'</f>
        <v>0</v>
      </c>
      <c r="F2">
        <f>[3]!'TWTRADE,00677U_7777777_GAFF,BAMT'</f>
        <v>0</v>
      </c>
      <c r="G2">
        <f>[3]!'TWTRADE,00677U_7777777_GAFF,SAMT'</f>
        <v>0</v>
      </c>
      <c r="H2" s="28" t="str">
        <f>IF(D2&lt;&gt;0,F2/D2/1000,"")</f>
        <v/>
      </c>
      <c r="I2" t="str">
        <f>IF(E2&lt;&gt;0,G2/E2/1000,"")</f>
        <v/>
      </c>
      <c r="J2">
        <f>[3]!'TSE,00677U,BEST_BID1'</f>
        <v>0</v>
      </c>
      <c r="K2">
        <f>[3]!'TSE,00677U,BEST_ASK1'</f>
        <v>0</v>
      </c>
      <c r="L2">
        <f>[3]!'TSE,00677U,TRDPRC_1'</f>
        <v>1.83</v>
      </c>
    </row>
  </sheetData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358"/>
  <sheetViews>
    <sheetView workbookViewId="0">
      <selection activeCell="A2" sqref="A2"/>
    </sheetView>
  </sheetViews>
  <sheetFormatPr defaultRowHeight="16.5"/>
  <sheetData>
    <row r="1" spans="1:3">
      <c r="A1" t="s">
        <v>1107</v>
      </c>
      <c r="B1" t="s">
        <v>0</v>
      </c>
      <c r="C1" t="s">
        <v>1</v>
      </c>
    </row>
    <row r="2" spans="1:3">
      <c r="A2" t="s">
        <v>2</v>
      </c>
      <c r="B2" t="s">
        <v>3</v>
      </c>
    </row>
    <row r="3" spans="1:3">
      <c r="A3" t="s">
        <v>4</v>
      </c>
      <c r="B3" t="s">
        <v>1278</v>
      </c>
      <c r="C3" t="s">
        <v>2699</v>
      </c>
    </row>
    <row r="5" spans="1:3">
      <c r="A5" t="s">
        <v>6</v>
      </c>
      <c r="B5" t="s">
        <v>7</v>
      </c>
      <c r="C5" t="s">
        <v>2699</v>
      </c>
    </row>
    <row r="6" spans="1:3">
      <c r="A6" s="26" t="s">
        <v>12</v>
      </c>
      <c r="B6" t="s">
        <v>516</v>
      </c>
      <c r="C6">
        <v>135.75</v>
      </c>
    </row>
    <row r="7" spans="1:3">
      <c r="A7" s="26" t="s">
        <v>13</v>
      </c>
      <c r="B7" t="s">
        <v>517</v>
      </c>
      <c r="C7">
        <v>52.8</v>
      </c>
    </row>
    <row r="8" spans="1:3">
      <c r="A8" s="26" t="s">
        <v>14</v>
      </c>
      <c r="B8" t="s">
        <v>518</v>
      </c>
      <c r="C8">
        <v>123.15</v>
      </c>
    </row>
    <row r="9" spans="1:3">
      <c r="A9" s="26" t="s">
        <v>15</v>
      </c>
      <c r="B9" t="s">
        <v>519</v>
      </c>
      <c r="C9">
        <v>65.5</v>
      </c>
    </row>
    <row r="10" spans="1:3">
      <c r="A10" s="26" t="s">
        <v>16</v>
      </c>
      <c r="B10" t="s">
        <v>520</v>
      </c>
      <c r="C10">
        <v>31</v>
      </c>
    </row>
    <row r="11" spans="1:3">
      <c r="A11" s="26" t="s">
        <v>17</v>
      </c>
      <c r="B11" t="s">
        <v>521</v>
      </c>
      <c r="C11">
        <v>21</v>
      </c>
    </row>
    <row r="12" spans="1:3">
      <c r="A12" s="26" t="s">
        <v>18</v>
      </c>
      <c r="B12" t="s">
        <v>522</v>
      </c>
      <c r="C12">
        <v>35.35</v>
      </c>
    </row>
    <row r="13" spans="1:3">
      <c r="A13" s="26" t="s">
        <v>19</v>
      </c>
      <c r="B13" t="s">
        <v>523</v>
      </c>
      <c r="C13">
        <v>92.45</v>
      </c>
    </row>
    <row r="14" spans="1:3">
      <c r="A14" s="26" t="s">
        <v>20</v>
      </c>
      <c r="B14" t="s">
        <v>524</v>
      </c>
    </row>
    <row r="15" spans="1:3">
      <c r="A15" s="26" t="s">
        <v>21</v>
      </c>
      <c r="B15" t="s">
        <v>525</v>
      </c>
    </row>
    <row r="16" spans="1:3">
      <c r="A16" s="26" t="s">
        <v>22</v>
      </c>
      <c r="B16" t="s">
        <v>363</v>
      </c>
      <c r="C16">
        <v>23.2</v>
      </c>
    </row>
    <row r="17" spans="1:3">
      <c r="A17" s="26" t="s">
        <v>23</v>
      </c>
      <c r="B17" t="s">
        <v>526</v>
      </c>
      <c r="C17">
        <v>18.95</v>
      </c>
    </row>
    <row r="18" spans="1:3">
      <c r="A18" s="26" t="s">
        <v>24</v>
      </c>
      <c r="B18" t="s">
        <v>527</v>
      </c>
      <c r="C18">
        <v>64.8</v>
      </c>
    </row>
    <row r="19" spans="1:3">
      <c r="A19" s="26" t="s">
        <v>25</v>
      </c>
      <c r="B19" t="s">
        <v>528</v>
      </c>
      <c r="C19">
        <v>86</v>
      </c>
    </row>
    <row r="20" spans="1:3">
      <c r="A20" s="26" t="s">
        <v>26</v>
      </c>
      <c r="B20" t="s">
        <v>364</v>
      </c>
      <c r="C20">
        <v>37.5</v>
      </c>
    </row>
    <row r="21" spans="1:3">
      <c r="A21" s="26" t="s">
        <v>27</v>
      </c>
      <c r="B21" t="s">
        <v>365</v>
      </c>
      <c r="C21">
        <v>37.75</v>
      </c>
    </row>
    <row r="22" spans="1:3">
      <c r="A22" s="26" t="s">
        <v>28</v>
      </c>
      <c r="B22" t="s">
        <v>366</v>
      </c>
      <c r="C22">
        <v>30.37</v>
      </c>
    </row>
    <row r="23" spans="1:3">
      <c r="A23" s="26" t="s">
        <v>29</v>
      </c>
      <c r="B23" t="s">
        <v>367</v>
      </c>
      <c r="C23">
        <v>78.05</v>
      </c>
    </row>
    <row r="24" spans="1:3">
      <c r="A24" s="26" t="s">
        <v>30</v>
      </c>
      <c r="B24" t="s">
        <v>529</v>
      </c>
      <c r="C24">
        <v>8.74</v>
      </c>
    </row>
    <row r="25" spans="1:3">
      <c r="A25" s="26" t="s">
        <v>31</v>
      </c>
      <c r="B25" t="s">
        <v>368</v>
      </c>
      <c r="C25">
        <v>119.35</v>
      </c>
    </row>
    <row r="26" spans="1:3">
      <c r="A26" s="26" t="s">
        <v>32</v>
      </c>
      <c r="B26" t="s">
        <v>369</v>
      </c>
      <c r="C26">
        <v>5.94</v>
      </c>
    </row>
    <row r="27" spans="1:3">
      <c r="A27" s="26" t="s">
        <v>33</v>
      </c>
      <c r="B27" t="s">
        <v>370</v>
      </c>
      <c r="C27">
        <v>65.849999999999994</v>
      </c>
    </row>
    <row r="28" spans="1:3">
      <c r="A28" s="26" t="s">
        <v>34</v>
      </c>
      <c r="B28" t="s">
        <v>371</v>
      </c>
      <c r="C28">
        <v>3.93</v>
      </c>
    </row>
    <row r="29" spans="1:3">
      <c r="A29" s="26" t="s">
        <v>35</v>
      </c>
      <c r="B29" t="s">
        <v>530</v>
      </c>
      <c r="C29">
        <v>23.91</v>
      </c>
    </row>
    <row r="30" spans="1:3">
      <c r="A30" s="26" t="s">
        <v>36</v>
      </c>
      <c r="B30" t="s">
        <v>372</v>
      </c>
      <c r="C30">
        <v>27</v>
      </c>
    </row>
    <row r="31" spans="1:3">
      <c r="A31" s="26" t="s">
        <v>37</v>
      </c>
      <c r="B31" t="s">
        <v>531</v>
      </c>
      <c r="C31">
        <v>9.59</v>
      </c>
    </row>
    <row r="32" spans="1:3">
      <c r="A32" s="26" t="s">
        <v>38</v>
      </c>
      <c r="B32" t="s">
        <v>373</v>
      </c>
      <c r="C32">
        <v>26.03</v>
      </c>
    </row>
    <row r="33" spans="1:3">
      <c r="A33" s="26" t="s">
        <v>39</v>
      </c>
      <c r="B33" t="s">
        <v>374</v>
      </c>
      <c r="C33">
        <v>7.91</v>
      </c>
    </row>
    <row r="34" spans="1:3">
      <c r="A34" s="26" t="s">
        <v>40</v>
      </c>
      <c r="B34" t="s">
        <v>375</v>
      </c>
      <c r="C34">
        <v>16.8</v>
      </c>
    </row>
    <row r="35" spans="1:3">
      <c r="A35" s="26" t="s">
        <v>41</v>
      </c>
      <c r="B35" t="s">
        <v>376</v>
      </c>
      <c r="C35">
        <v>27.75</v>
      </c>
    </row>
    <row r="36" spans="1:3">
      <c r="A36" s="26" t="s">
        <v>42</v>
      </c>
      <c r="B36" t="s">
        <v>377</v>
      </c>
      <c r="C36">
        <v>11.09</v>
      </c>
    </row>
    <row r="37" spans="1:3">
      <c r="A37" s="26" t="s">
        <v>43</v>
      </c>
      <c r="B37" t="s">
        <v>532</v>
      </c>
      <c r="C37">
        <v>11.22</v>
      </c>
    </row>
    <row r="38" spans="1:3">
      <c r="A38" s="26" t="s">
        <v>44</v>
      </c>
      <c r="B38" t="s">
        <v>378</v>
      </c>
      <c r="C38">
        <v>17.54</v>
      </c>
    </row>
    <row r="39" spans="1:3">
      <c r="A39" s="26" t="s">
        <v>45</v>
      </c>
      <c r="B39" t="s">
        <v>533</v>
      </c>
      <c r="C39">
        <v>4.1500000000000004</v>
      </c>
    </row>
    <row r="40" spans="1:3">
      <c r="A40" s="26" t="s">
        <v>46</v>
      </c>
      <c r="B40" t="s">
        <v>379</v>
      </c>
      <c r="C40">
        <v>24.21</v>
      </c>
    </row>
    <row r="41" spans="1:3">
      <c r="A41" s="26" t="s">
        <v>47</v>
      </c>
      <c r="B41" t="s">
        <v>380</v>
      </c>
      <c r="C41">
        <v>35.61</v>
      </c>
    </row>
    <row r="42" spans="1:3">
      <c r="A42" s="26" t="s">
        <v>48</v>
      </c>
      <c r="B42" t="s">
        <v>381</v>
      </c>
      <c r="C42">
        <v>61.6</v>
      </c>
    </row>
    <row r="43" spans="1:3">
      <c r="A43" s="26" t="s">
        <v>49</v>
      </c>
      <c r="B43" t="s">
        <v>382</v>
      </c>
      <c r="C43">
        <v>7.44</v>
      </c>
    </row>
    <row r="44" spans="1:3">
      <c r="A44" s="26" t="s">
        <v>50</v>
      </c>
      <c r="B44" t="s">
        <v>383</v>
      </c>
    </row>
    <row r="45" spans="1:3">
      <c r="A45" s="26" t="s">
        <v>51</v>
      </c>
      <c r="B45" t="s">
        <v>384</v>
      </c>
      <c r="C45">
        <v>29.37</v>
      </c>
    </row>
    <row r="46" spans="1:3">
      <c r="A46" s="26" t="s">
        <v>52</v>
      </c>
      <c r="B46" t="s">
        <v>385</v>
      </c>
      <c r="C46">
        <v>6.93</v>
      </c>
    </row>
    <row r="47" spans="1:3">
      <c r="A47" s="26" t="s">
        <v>53</v>
      </c>
      <c r="B47" t="s">
        <v>386</v>
      </c>
      <c r="C47">
        <v>24.5</v>
      </c>
    </row>
    <row r="48" spans="1:3">
      <c r="A48" s="26" t="s">
        <v>54</v>
      </c>
      <c r="B48" t="s">
        <v>387</v>
      </c>
      <c r="C48">
        <v>33.549999999999997</v>
      </c>
    </row>
    <row r="49" spans="1:3">
      <c r="A49" s="26" t="s">
        <v>55</v>
      </c>
      <c r="B49" t="s">
        <v>388</v>
      </c>
      <c r="C49">
        <v>9.93</v>
      </c>
    </row>
    <row r="50" spans="1:3">
      <c r="A50" s="26" t="s">
        <v>56</v>
      </c>
      <c r="B50" t="s">
        <v>389</v>
      </c>
      <c r="C50">
        <v>49.53</v>
      </c>
    </row>
    <row r="51" spans="1:3">
      <c r="A51" s="26" t="s">
        <v>57</v>
      </c>
      <c r="B51" t="s">
        <v>390</v>
      </c>
      <c r="C51">
        <v>7.22</v>
      </c>
    </row>
    <row r="52" spans="1:3">
      <c r="A52" s="26" t="s">
        <v>58</v>
      </c>
      <c r="B52" t="s">
        <v>391</v>
      </c>
      <c r="C52">
        <v>35.36</v>
      </c>
    </row>
    <row r="53" spans="1:3">
      <c r="A53" s="26" t="s">
        <v>59</v>
      </c>
      <c r="B53" t="s">
        <v>534</v>
      </c>
      <c r="C53">
        <v>12.66</v>
      </c>
    </row>
    <row r="54" spans="1:3">
      <c r="A54" s="26" t="s">
        <v>60</v>
      </c>
      <c r="B54" t="s">
        <v>392</v>
      </c>
    </row>
    <row r="55" spans="1:3">
      <c r="A55" s="26" t="s">
        <v>61</v>
      </c>
      <c r="B55" t="s">
        <v>393</v>
      </c>
    </row>
    <row r="56" spans="1:3">
      <c r="A56" s="26" t="s">
        <v>62</v>
      </c>
      <c r="B56" t="s">
        <v>394</v>
      </c>
      <c r="C56">
        <v>28.04</v>
      </c>
    </row>
    <row r="57" spans="1:3">
      <c r="A57" s="26" t="s">
        <v>63</v>
      </c>
      <c r="B57" t="s">
        <v>395</v>
      </c>
      <c r="C57">
        <v>35.61</v>
      </c>
    </row>
    <row r="58" spans="1:3">
      <c r="A58" s="26" t="s">
        <v>64</v>
      </c>
      <c r="B58" t="s">
        <v>396</v>
      </c>
      <c r="C58">
        <v>48.62</v>
      </c>
    </row>
    <row r="59" spans="1:3">
      <c r="A59" s="26" t="s">
        <v>65</v>
      </c>
      <c r="B59" t="s">
        <v>397</v>
      </c>
      <c r="C59">
        <v>107.4</v>
      </c>
    </row>
    <row r="60" spans="1:3">
      <c r="A60" s="26" t="s">
        <v>66</v>
      </c>
      <c r="B60" t="s">
        <v>398</v>
      </c>
      <c r="C60">
        <v>6.75</v>
      </c>
    </row>
    <row r="61" spans="1:3">
      <c r="A61" s="26" t="s">
        <v>67</v>
      </c>
      <c r="B61" t="s">
        <v>535</v>
      </c>
      <c r="C61">
        <v>24.2</v>
      </c>
    </row>
    <row r="62" spans="1:3">
      <c r="A62" s="26" t="s">
        <v>68</v>
      </c>
      <c r="B62" t="s">
        <v>536</v>
      </c>
      <c r="C62">
        <v>11.08</v>
      </c>
    </row>
    <row r="63" spans="1:3">
      <c r="A63" s="26" t="s">
        <v>69</v>
      </c>
      <c r="B63" t="s">
        <v>399</v>
      </c>
      <c r="C63">
        <v>34.53</v>
      </c>
    </row>
    <row r="64" spans="1:3">
      <c r="A64" s="26" t="s">
        <v>70</v>
      </c>
      <c r="B64" t="s">
        <v>537</v>
      </c>
      <c r="C64">
        <v>12.29</v>
      </c>
    </row>
    <row r="65" spans="1:3">
      <c r="A65" s="26" t="s">
        <v>71</v>
      </c>
      <c r="B65" t="s">
        <v>400</v>
      </c>
      <c r="C65">
        <v>8.18</v>
      </c>
    </row>
    <row r="66" spans="1:3">
      <c r="A66" s="26" t="s">
        <v>72</v>
      </c>
      <c r="B66" t="s">
        <v>401</v>
      </c>
      <c r="C66">
        <v>88.65</v>
      </c>
    </row>
    <row r="67" spans="1:3">
      <c r="A67" s="26" t="s">
        <v>73</v>
      </c>
      <c r="B67" t="s">
        <v>402</v>
      </c>
      <c r="C67">
        <v>6.02</v>
      </c>
    </row>
    <row r="68" spans="1:3">
      <c r="A68" s="26" t="s">
        <v>74</v>
      </c>
      <c r="B68" t="s">
        <v>538</v>
      </c>
    </row>
    <row r="69" spans="1:3">
      <c r="A69" s="26" t="s">
        <v>75</v>
      </c>
      <c r="B69" t="s">
        <v>539</v>
      </c>
      <c r="C69">
        <v>17.22</v>
      </c>
    </row>
    <row r="70" spans="1:3">
      <c r="A70" s="26" t="s">
        <v>76</v>
      </c>
      <c r="B70" t="s">
        <v>540</v>
      </c>
      <c r="C70">
        <v>13.47</v>
      </c>
    </row>
    <row r="71" spans="1:3">
      <c r="A71" s="26" t="s">
        <v>77</v>
      </c>
      <c r="B71" t="s">
        <v>403</v>
      </c>
      <c r="C71">
        <v>46.09</v>
      </c>
    </row>
    <row r="72" spans="1:3">
      <c r="A72" s="26" t="s">
        <v>78</v>
      </c>
      <c r="B72" t="s">
        <v>404</v>
      </c>
      <c r="C72">
        <v>3.68</v>
      </c>
    </row>
    <row r="73" spans="1:3">
      <c r="A73" s="26" t="s">
        <v>79</v>
      </c>
      <c r="B73" t="s">
        <v>405</v>
      </c>
      <c r="C73">
        <v>1.72</v>
      </c>
    </row>
    <row r="74" spans="1:3">
      <c r="A74" s="26" t="s">
        <v>80</v>
      </c>
      <c r="B74" t="s">
        <v>406</v>
      </c>
      <c r="C74">
        <v>27.09</v>
      </c>
    </row>
    <row r="75" spans="1:3">
      <c r="A75" s="26" t="s">
        <v>81</v>
      </c>
      <c r="B75" t="s">
        <v>541</v>
      </c>
      <c r="C75">
        <v>39.840000000000003</v>
      </c>
    </row>
    <row r="76" spans="1:3">
      <c r="A76" s="26" t="s">
        <v>82</v>
      </c>
      <c r="B76" t="s">
        <v>542</v>
      </c>
      <c r="C76">
        <v>22.56</v>
      </c>
    </row>
    <row r="77" spans="1:3">
      <c r="A77" s="26" t="s">
        <v>83</v>
      </c>
      <c r="B77" t="s">
        <v>543</v>
      </c>
      <c r="C77">
        <v>14.23</v>
      </c>
    </row>
    <row r="78" spans="1:3">
      <c r="A78" s="26" t="s">
        <v>84</v>
      </c>
      <c r="B78" t="s">
        <v>544</v>
      </c>
      <c r="C78">
        <v>18.14</v>
      </c>
    </row>
    <row r="79" spans="1:3">
      <c r="A79" s="26" t="s">
        <v>85</v>
      </c>
      <c r="B79" t="s">
        <v>545</v>
      </c>
      <c r="C79">
        <v>16.84</v>
      </c>
    </row>
    <row r="80" spans="1:3">
      <c r="A80" s="26" t="s">
        <v>86</v>
      </c>
      <c r="B80" t="s">
        <v>546</v>
      </c>
      <c r="C80">
        <v>19.14</v>
      </c>
    </row>
    <row r="81" spans="1:3">
      <c r="A81" s="26" t="s">
        <v>87</v>
      </c>
      <c r="B81" t="s">
        <v>407</v>
      </c>
      <c r="C81">
        <v>40.549999999999997</v>
      </c>
    </row>
    <row r="82" spans="1:3">
      <c r="A82" s="26" t="s">
        <v>88</v>
      </c>
      <c r="B82" t="s">
        <v>408</v>
      </c>
      <c r="C82">
        <v>4</v>
      </c>
    </row>
    <row r="83" spans="1:3">
      <c r="A83" s="26" t="s">
        <v>89</v>
      </c>
      <c r="B83" t="s">
        <v>547</v>
      </c>
      <c r="C83">
        <v>41.45</v>
      </c>
    </row>
    <row r="84" spans="1:3">
      <c r="A84" s="26" t="s">
        <v>90</v>
      </c>
      <c r="B84" t="s">
        <v>548</v>
      </c>
      <c r="C84">
        <v>22.57</v>
      </c>
    </row>
    <row r="85" spans="1:3">
      <c r="A85" s="26" t="s">
        <v>91</v>
      </c>
      <c r="B85" t="s">
        <v>549</v>
      </c>
      <c r="C85">
        <v>14.95</v>
      </c>
    </row>
    <row r="86" spans="1:3">
      <c r="A86" s="26" t="s">
        <v>92</v>
      </c>
      <c r="B86" t="s">
        <v>409</v>
      </c>
      <c r="C86">
        <v>32.43</v>
      </c>
    </row>
    <row r="87" spans="1:3">
      <c r="A87" s="26" t="s">
        <v>93</v>
      </c>
      <c r="B87" t="s">
        <v>550</v>
      </c>
    </row>
    <row r="88" spans="1:3">
      <c r="A88" s="26" t="s">
        <v>94</v>
      </c>
      <c r="B88" t="s">
        <v>410</v>
      </c>
      <c r="C88">
        <v>34.72</v>
      </c>
    </row>
    <row r="89" spans="1:3">
      <c r="A89" s="26" t="s">
        <v>95</v>
      </c>
      <c r="B89" t="s">
        <v>551</v>
      </c>
      <c r="C89">
        <v>23.36</v>
      </c>
    </row>
    <row r="90" spans="1:3">
      <c r="A90" s="26" t="s">
        <v>96</v>
      </c>
      <c r="B90" t="s">
        <v>552</v>
      </c>
      <c r="C90">
        <v>37.4</v>
      </c>
    </row>
    <row r="91" spans="1:3">
      <c r="A91" s="26" t="s">
        <v>97</v>
      </c>
      <c r="B91" t="s">
        <v>553</v>
      </c>
      <c r="C91">
        <v>36.89</v>
      </c>
    </row>
    <row r="92" spans="1:3">
      <c r="A92" s="26" t="s">
        <v>98</v>
      </c>
      <c r="B92" t="s">
        <v>411</v>
      </c>
      <c r="C92">
        <v>41.37</v>
      </c>
    </row>
    <row r="93" spans="1:3">
      <c r="A93" s="26" t="s">
        <v>99</v>
      </c>
      <c r="B93" t="s">
        <v>554</v>
      </c>
      <c r="C93">
        <v>39.200000000000003</v>
      </c>
    </row>
    <row r="94" spans="1:3">
      <c r="A94" s="26" t="s">
        <v>100</v>
      </c>
      <c r="B94" t="s">
        <v>555</v>
      </c>
      <c r="C94">
        <v>19.13</v>
      </c>
    </row>
    <row r="95" spans="1:3">
      <c r="A95" s="26" t="s">
        <v>101</v>
      </c>
      <c r="B95" t="s">
        <v>556</v>
      </c>
      <c r="C95">
        <v>23.98</v>
      </c>
    </row>
    <row r="96" spans="1:3">
      <c r="A96" s="26" t="s">
        <v>102</v>
      </c>
      <c r="B96" t="s">
        <v>557</v>
      </c>
      <c r="C96">
        <v>20.67</v>
      </c>
    </row>
    <row r="97" spans="1:3">
      <c r="A97" s="26" t="s">
        <v>103</v>
      </c>
      <c r="B97" t="s">
        <v>558</v>
      </c>
      <c r="C97">
        <v>24.7</v>
      </c>
    </row>
    <row r="98" spans="1:3">
      <c r="A98" s="26" t="s">
        <v>104</v>
      </c>
      <c r="B98" t="s">
        <v>559</v>
      </c>
      <c r="C98">
        <v>16.2</v>
      </c>
    </row>
    <row r="99" spans="1:3">
      <c r="A99" s="26" t="s">
        <v>105</v>
      </c>
      <c r="B99" t="s">
        <v>560</v>
      </c>
      <c r="C99">
        <v>19.7</v>
      </c>
    </row>
    <row r="100" spans="1:3">
      <c r="A100" s="26" t="s">
        <v>106</v>
      </c>
      <c r="B100" t="s">
        <v>561</v>
      </c>
      <c r="C100">
        <v>26.1</v>
      </c>
    </row>
    <row r="101" spans="1:3">
      <c r="A101" s="26" t="s">
        <v>107</v>
      </c>
      <c r="B101" t="s">
        <v>412</v>
      </c>
      <c r="C101">
        <v>22.91</v>
      </c>
    </row>
    <row r="102" spans="1:3">
      <c r="A102" s="26" t="s">
        <v>108</v>
      </c>
      <c r="B102" t="s">
        <v>562</v>
      </c>
      <c r="C102">
        <v>18.48</v>
      </c>
    </row>
    <row r="103" spans="1:3">
      <c r="A103" s="26" t="s">
        <v>109</v>
      </c>
      <c r="B103" t="s">
        <v>563</v>
      </c>
      <c r="C103">
        <v>19.91</v>
      </c>
    </row>
    <row r="104" spans="1:3">
      <c r="A104" s="26" t="s">
        <v>110</v>
      </c>
      <c r="B104" t="s">
        <v>564</v>
      </c>
      <c r="C104">
        <v>14.3</v>
      </c>
    </row>
    <row r="105" spans="1:3">
      <c r="A105" s="26" t="s">
        <v>111</v>
      </c>
      <c r="B105" t="s">
        <v>565</v>
      </c>
      <c r="C105">
        <v>42.49</v>
      </c>
    </row>
    <row r="106" spans="1:3">
      <c r="A106" s="26" t="s">
        <v>112</v>
      </c>
      <c r="B106" t="s">
        <v>566</v>
      </c>
      <c r="C106">
        <v>21.03</v>
      </c>
    </row>
    <row r="107" spans="1:3">
      <c r="A107" s="26" t="s">
        <v>113</v>
      </c>
      <c r="B107" t="s">
        <v>567</v>
      </c>
      <c r="C107">
        <v>7.64</v>
      </c>
    </row>
    <row r="108" spans="1:3">
      <c r="A108" s="26" t="s">
        <v>114</v>
      </c>
      <c r="B108" t="s">
        <v>568</v>
      </c>
      <c r="C108">
        <v>16.78</v>
      </c>
    </row>
    <row r="109" spans="1:3">
      <c r="A109" s="26" t="s">
        <v>115</v>
      </c>
      <c r="B109" t="s">
        <v>569</v>
      </c>
      <c r="C109">
        <v>19.55</v>
      </c>
    </row>
    <row r="110" spans="1:3">
      <c r="A110" s="26" t="s">
        <v>116</v>
      </c>
      <c r="B110" t="s">
        <v>570</v>
      </c>
      <c r="C110">
        <v>30.15</v>
      </c>
    </row>
    <row r="111" spans="1:3">
      <c r="A111" s="26" t="s">
        <v>117</v>
      </c>
      <c r="B111" t="s">
        <v>571</v>
      </c>
      <c r="C111">
        <v>42.45</v>
      </c>
    </row>
    <row r="112" spans="1:3">
      <c r="A112" s="26" t="s">
        <v>118</v>
      </c>
      <c r="B112" t="s">
        <v>572</v>
      </c>
      <c r="C112">
        <v>44.8</v>
      </c>
    </row>
    <row r="113" spans="1:3">
      <c r="A113" s="26" t="s">
        <v>119</v>
      </c>
      <c r="B113" t="s">
        <v>573</v>
      </c>
      <c r="C113">
        <v>44.97</v>
      </c>
    </row>
    <row r="114" spans="1:3">
      <c r="A114" s="26" t="s">
        <v>120</v>
      </c>
      <c r="B114" t="s">
        <v>574</v>
      </c>
      <c r="C114">
        <v>41.06</v>
      </c>
    </row>
    <row r="115" spans="1:3">
      <c r="A115" s="26" t="s">
        <v>121</v>
      </c>
      <c r="B115" t="s">
        <v>575</v>
      </c>
      <c r="C115">
        <v>40.770000000000003</v>
      </c>
    </row>
    <row r="116" spans="1:3">
      <c r="A116" s="26" t="s">
        <v>122</v>
      </c>
      <c r="B116" t="s">
        <v>576</v>
      </c>
      <c r="C116">
        <v>42.67</v>
      </c>
    </row>
    <row r="117" spans="1:3">
      <c r="A117" s="26" t="s">
        <v>123</v>
      </c>
      <c r="B117" t="s">
        <v>577</v>
      </c>
      <c r="C117">
        <v>41.4</v>
      </c>
    </row>
    <row r="118" spans="1:3">
      <c r="A118" s="26" t="s">
        <v>124</v>
      </c>
      <c r="B118" t="s">
        <v>578</v>
      </c>
      <c r="C118">
        <v>38.39</v>
      </c>
    </row>
    <row r="119" spans="1:3">
      <c r="A119" s="26" t="s">
        <v>125</v>
      </c>
      <c r="B119" t="s">
        <v>579</v>
      </c>
      <c r="C119">
        <v>28.21</v>
      </c>
    </row>
    <row r="120" spans="1:3">
      <c r="A120" s="26" t="s">
        <v>126</v>
      </c>
      <c r="B120" t="s">
        <v>580</v>
      </c>
      <c r="C120">
        <v>21.15</v>
      </c>
    </row>
    <row r="121" spans="1:3">
      <c r="A121" s="26" t="s">
        <v>127</v>
      </c>
      <c r="B121" t="s">
        <v>581</v>
      </c>
      <c r="C121">
        <v>57.4</v>
      </c>
    </row>
    <row r="122" spans="1:3">
      <c r="A122" s="26" t="s">
        <v>128</v>
      </c>
      <c r="B122" t="s">
        <v>582</v>
      </c>
      <c r="C122">
        <v>39.43</v>
      </c>
    </row>
    <row r="123" spans="1:3">
      <c r="A123" s="26" t="s">
        <v>129</v>
      </c>
      <c r="B123" t="s">
        <v>583</v>
      </c>
      <c r="C123">
        <v>41.51</v>
      </c>
    </row>
    <row r="124" spans="1:3">
      <c r="A124" s="26" t="s">
        <v>130</v>
      </c>
      <c r="B124" t="s">
        <v>584</v>
      </c>
      <c r="C124">
        <v>19.329999999999998</v>
      </c>
    </row>
    <row r="125" spans="1:3">
      <c r="A125" s="26" t="s">
        <v>131</v>
      </c>
      <c r="B125" t="s">
        <v>585</v>
      </c>
      <c r="C125">
        <v>33.67</v>
      </c>
    </row>
    <row r="126" spans="1:3">
      <c r="A126" s="26" t="s">
        <v>132</v>
      </c>
      <c r="B126" t="s">
        <v>586</v>
      </c>
      <c r="C126">
        <v>23.34</v>
      </c>
    </row>
    <row r="127" spans="1:3">
      <c r="A127" s="26" t="s">
        <v>133</v>
      </c>
      <c r="B127" t="s">
        <v>587</v>
      </c>
      <c r="C127">
        <v>31.4</v>
      </c>
    </row>
    <row r="128" spans="1:3">
      <c r="A128" s="26" t="s">
        <v>134</v>
      </c>
      <c r="B128" t="s">
        <v>588</v>
      </c>
      <c r="C128">
        <v>27.39</v>
      </c>
    </row>
    <row r="129" spans="1:3">
      <c r="A129" s="26" t="s">
        <v>135</v>
      </c>
      <c r="B129" t="s">
        <v>589</v>
      </c>
      <c r="C129">
        <v>27.65</v>
      </c>
    </row>
    <row r="130" spans="1:3">
      <c r="A130" s="26" t="s">
        <v>136</v>
      </c>
      <c r="B130" t="s">
        <v>590</v>
      </c>
      <c r="C130">
        <v>45.8</v>
      </c>
    </row>
    <row r="131" spans="1:3">
      <c r="A131" s="26" t="s">
        <v>137</v>
      </c>
      <c r="B131" t="s">
        <v>591</v>
      </c>
      <c r="C131">
        <v>37.5</v>
      </c>
    </row>
    <row r="132" spans="1:3">
      <c r="A132" s="26" t="s">
        <v>138</v>
      </c>
      <c r="B132" t="s">
        <v>592</v>
      </c>
      <c r="C132">
        <v>22.82</v>
      </c>
    </row>
    <row r="133" spans="1:3">
      <c r="A133" s="26" t="s">
        <v>139</v>
      </c>
      <c r="B133" t="s">
        <v>593</v>
      </c>
      <c r="C133">
        <v>28.88</v>
      </c>
    </row>
    <row r="134" spans="1:3">
      <c r="A134" s="26" t="s">
        <v>140</v>
      </c>
      <c r="B134" t="s">
        <v>594</v>
      </c>
      <c r="C134">
        <v>41.28</v>
      </c>
    </row>
    <row r="135" spans="1:3">
      <c r="A135" s="26" t="s">
        <v>141</v>
      </c>
      <c r="B135" t="s">
        <v>595</v>
      </c>
      <c r="C135">
        <v>40.35</v>
      </c>
    </row>
    <row r="136" spans="1:3">
      <c r="A136" s="26" t="s">
        <v>142</v>
      </c>
      <c r="B136" t="s">
        <v>596</v>
      </c>
      <c r="C136">
        <v>43.09</v>
      </c>
    </row>
    <row r="137" spans="1:3">
      <c r="A137" s="26" t="s">
        <v>143</v>
      </c>
      <c r="B137" t="s">
        <v>597</v>
      </c>
      <c r="C137">
        <v>50.4</v>
      </c>
    </row>
    <row r="138" spans="1:3">
      <c r="A138" s="26" t="s">
        <v>144</v>
      </c>
      <c r="B138" t="s">
        <v>598</v>
      </c>
      <c r="C138">
        <v>41.32</v>
      </c>
    </row>
    <row r="139" spans="1:3">
      <c r="A139" s="26" t="s">
        <v>145</v>
      </c>
      <c r="B139" t="s">
        <v>599</v>
      </c>
      <c r="C139">
        <v>41.65</v>
      </c>
    </row>
    <row r="140" spans="1:3">
      <c r="A140" s="26" t="s">
        <v>146</v>
      </c>
      <c r="B140" t="s">
        <v>600</v>
      </c>
      <c r="C140">
        <v>42.14</v>
      </c>
    </row>
    <row r="141" spans="1:3">
      <c r="A141" s="26" t="s">
        <v>147</v>
      </c>
      <c r="B141" t="s">
        <v>601</v>
      </c>
      <c r="C141">
        <v>43.3</v>
      </c>
    </row>
    <row r="142" spans="1:3">
      <c r="A142" s="26" t="s">
        <v>148</v>
      </c>
      <c r="B142" t="s">
        <v>602</v>
      </c>
      <c r="C142">
        <v>29.3</v>
      </c>
    </row>
    <row r="143" spans="1:3">
      <c r="A143" s="26" t="s">
        <v>149</v>
      </c>
      <c r="B143" t="s">
        <v>603</v>
      </c>
      <c r="C143">
        <v>36.67</v>
      </c>
    </row>
    <row r="144" spans="1:3">
      <c r="A144" s="26" t="s">
        <v>150</v>
      </c>
      <c r="B144" t="s">
        <v>604</v>
      </c>
      <c r="C144">
        <v>44.66</v>
      </c>
    </row>
    <row r="145" spans="1:3">
      <c r="A145" s="26" t="s">
        <v>151</v>
      </c>
      <c r="B145" t="s">
        <v>605</v>
      </c>
      <c r="C145">
        <v>42.93</v>
      </c>
    </row>
    <row r="146" spans="1:3">
      <c r="A146" s="26" t="s">
        <v>152</v>
      </c>
      <c r="B146" t="s">
        <v>606</v>
      </c>
      <c r="C146">
        <v>43.5</v>
      </c>
    </row>
    <row r="147" spans="1:3">
      <c r="A147" s="26" t="s">
        <v>153</v>
      </c>
      <c r="B147" t="s">
        <v>607</v>
      </c>
      <c r="C147">
        <v>45.82</v>
      </c>
    </row>
    <row r="148" spans="1:3">
      <c r="A148" s="26" t="s">
        <v>154</v>
      </c>
      <c r="B148" t="s">
        <v>608</v>
      </c>
      <c r="C148">
        <v>60.35</v>
      </c>
    </row>
    <row r="149" spans="1:3">
      <c r="A149" s="26" t="s">
        <v>155</v>
      </c>
      <c r="B149" t="s">
        <v>609</v>
      </c>
      <c r="C149">
        <v>67.849999999999994</v>
      </c>
    </row>
    <row r="150" spans="1:3">
      <c r="A150" s="26" t="s">
        <v>156</v>
      </c>
      <c r="B150" t="s">
        <v>610</v>
      </c>
      <c r="C150">
        <v>64.099999999999994</v>
      </c>
    </row>
    <row r="151" spans="1:3">
      <c r="A151" s="26" t="s">
        <v>157</v>
      </c>
      <c r="B151" t="s">
        <v>611</v>
      </c>
      <c r="C151">
        <v>44.3</v>
      </c>
    </row>
    <row r="152" spans="1:3">
      <c r="A152" s="26" t="s">
        <v>158</v>
      </c>
      <c r="B152" t="s">
        <v>612</v>
      </c>
      <c r="C152">
        <v>36.79</v>
      </c>
    </row>
    <row r="153" spans="1:3">
      <c r="A153" s="26" t="s">
        <v>159</v>
      </c>
      <c r="B153" t="s">
        <v>613</v>
      </c>
      <c r="C153">
        <v>29.69</v>
      </c>
    </row>
    <row r="154" spans="1:3">
      <c r="A154" s="26" t="s">
        <v>160</v>
      </c>
      <c r="B154" t="s">
        <v>614</v>
      </c>
      <c r="C154">
        <v>41.3</v>
      </c>
    </row>
    <row r="155" spans="1:3">
      <c r="A155" s="26" t="s">
        <v>161</v>
      </c>
      <c r="B155" t="s">
        <v>615</v>
      </c>
      <c r="C155">
        <v>39.71</v>
      </c>
    </row>
    <row r="156" spans="1:3">
      <c r="A156" s="26" t="s">
        <v>162</v>
      </c>
      <c r="B156" t="s">
        <v>616</v>
      </c>
    </row>
    <row r="157" spans="1:3">
      <c r="A157" s="26" t="s">
        <v>163</v>
      </c>
      <c r="B157" t="s">
        <v>617</v>
      </c>
    </row>
    <row r="158" spans="1:3">
      <c r="A158" s="26" t="s">
        <v>164</v>
      </c>
      <c r="B158" t="s">
        <v>618</v>
      </c>
      <c r="C158">
        <v>65.95</v>
      </c>
    </row>
    <row r="159" spans="1:3">
      <c r="A159" s="26" t="s">
        <v>165</v>
      </c>
      <c r="B159" t="s">
        <v>619</v>
      </c>
    </row>
    <row r="160" spans="1:3">
      <c r="A160" s="26" t="s">
        <v>166</v>
      </c>
      <c r="B160" t="s">
        <v>620</v>
      </c>
      <c r="C160">
        <v>34.340000000000003</v>
      </c>
    </row>
    <row r="161" spans="1:3">
      <c r="A161" s="26" t="s">
        <v>167</v>
      </c>
      <c r="B161" t="s">
        <v>621</v>
      </c>
      <c r="C161">
        <v>19.18</v>
      </c>
    </row>
    <row r="162" spans="1:3">
      <c r="A162" s="26" t="s">
        <v>168</v>
      </c>
      <c r="B162" t="s">
        <v>622</v>
      </c>
      <c r="C162">
        <v>43.15</v>
      </c>
    </row>
    <row r="163" spans="1:3">
      <c r="A163" s="26" t="s">
        <v>169</v>
      </c>
      <c r="B163" t="s">
        <v>623</v>
      </c>
      <c r="C163">
        <v>43.64</v>
      </c>
    </row>
    <row r="164" spans="1:3">
      <c r="A164" s="26" t="s">
        <v>170</v>
      </c>
      <c r="B164" t="s">
        <v>624</v>
      </c>
      <c r="C164">
        <v>38.72</v>
      </c>
    </row>
    <row r="165" spans="1:3">
      <c r="A165" s="26" t="s">
        <v>171</v>
      </c>
      <c r="B165" t="s">
        <v>626</v>
      </c>
      <c r="C165">
        <v>41.14</v>
      </c>
    </row>
    <row r="166" spans="1:3">
      <c r="A166" s="26" t="s">
        <v>172</v>
      </c>
      <c r="B166" t="s">
        <v>627</v>
      </c>
    </row>
    <row r="167" spans="1:3">
      <c r="A167" s="26" t="s">
        <v>173</v>
      </c>
      <c r="B167" t="s">
        <v>628</v>
      </c>
      <c r="C167">
        <v>42.54</v>
      </c>
    </row>
    <row r="168" spans="1:3">
      <c r="A168" s="26" t="s">
        <v>174</v>
      </c>
      <c r="B168" t="s">
        <v>629</v>
      </c>
      <c r="C168">
        <v>43.44</v>
      </c>
    </row>
    <row r="169" spans="1:3">
      <c r="A169" s="26" t="s">
        <v>175</v>
      </c>
      <c r="B169" t="s">
        <v>630</v>
      </c>
      <c r="C169">
        <v>41.54</v>
      </c>
    </row>
    <row r="170" spans="1:3">
      <c r="A170" s="26" t="s">
        <v>176</v>
      </c>
      <c r="B170" t="s">
        <v>631</v>
      </c>
      <c r="C170">
        <v>40.5</v>
      </c>
    </row>
    <row r="171" spans="1:3">
      <c r="A171" s="26" t="s">
        <v>177</v>
      </c>
      <c r="B171" t="s">
        <v>632</v>
      </c>
      <c r="C171">
        <v>41.33</v>
      </c>
    </row>
    <row r="172" spans="1:3">
      <c r="A172" s="26" t="s">
        <v>178</v>
      </c>
      <c r="B172" t="s">
        <v>633</v>
      </c>
      <c r="C172">
        <v>41.3</v>
      </c>
    </row>
    <row r="173" spans="1:3">
      <c r="A173" s="26" t="s">
        <v>179</v>
      </c>
      <c r="B173" t="s">
        <v>634</v>
      </c>
      <c r="C173">
        <v>21.8</v>
      </c>
    </row>
    <row r="174" spans="1:3">
      <c r="A174" s="26" t="s">
        <v>180</v>
      </c>
      <c r="B174" t="s">
        <v>635</v>
      </c>
      <c r="C174">
        <v>37.15</v>
      </c>
    </row>
    <row r="175" spans="1:3">
      <c r="A175" s="26" t="s">
        <v>181</v>
      </c>
      <c r="B175" t="s">
        <v>636</v>
      </c>
      <c r="C175">
        <v>41.63</v>
      </c>
    </row>
    <row r="176" spans="1:3">
      <c r="A176" s="26" t="s">
        <v>182</v>
      </c>
      <c r="B176" t="s">
        <v>637</v>
      </c>
      <c r="C176">
        <v>40.58</v>
      </c>
    </row>
    <row r="177" spans="1:3">
      <c r="A177" s="26" t="s">
        <v>183</v>
      </c>
      <c r="B177" t="s">
        <v>638</v>
      </c>
      <c r="C177">
        <v>41.56</v>
      </c>
    </row>
    <row r="178" spans="1:3">
      <c r="A178" s="26" t="s">
        <v>184</v>
      </c>
      <c r="B178" t="s">
        <v>639</v>
      </c>
      <c r="C178">
        <v>39.92</v>
      </c>
    </row>
    <row r="179" spans="1:3">
      <c r="A179" s="26" t="s">
        <v>185</v>
      </c>
      <c r="B179" t="s">
        <v>640</v>
      </c>
      <c r="C179">
        <v>63.1</v>
      </c>
    </row>
    <row r="180" spans="1:3">
      <c r="A180" s="26" t="s">
        <v>186</v>
      </c>
      <c r="B180" t="s">
        <v>641</v>
      </c>
      <c r="C180">
        <v>62.2</v>
      </c>
    </row>
    <row r="181" spans="1:3">
      <c r="A181" s="26" t="s">
        <v>187</v>
      </c>
      <c r="B181" t="s">
        <v>642</v>
      </c>
      <c r="C181">
        <v>56.05</v>
      </c>
    </row>
    <row r="182" spans="1:3">
      <c r="A182" s="26" t="s">
        <v>188</v>
      </c>
      <c r="B182" t="s">
        <v>643</v>
      </c>
      <c r="C182">
        <v>41.26</v>
      </c>
    </row>
    <row r="183" spans="1:3">
      <c r="A183" s="26" t="s">
        <v>189</v>
      </c>
      <c r="B183" t="s">
        <v>644</v>
      </c>
      <c r="C183">
        <v>40.65</v>
      </c>
    </row>
    <row r="184" spans="1:3">
      <c r="A184" s="26" t="s">
        <v>190</v>
      </c>
      <c r="B184" t="s">
        <v>645</v>
      </c>
      <c r="C184">
        <v>39.36</v>
      </c>
    </row>
    <row r="185" spans="1:3">
      <c r="A185" s="26" t="s">
        <v>191</v>
      </c>
      <c r="B185" t="s">
        <v>646</v>
      </c>
      <c r="C185">
        <v>40.049999999999997</v>
      </c>
    </row>
    <row r="186" spans="1:3">
      <c r="A186" s="26" t="s">
        <v>192</v>
      </c>
      <c r="B186" t="s">
        <v>647</v>
      </c>
      <c r="C186">
        <v>39.11</v>
      </c>
    </row>
    <row r="187" spans="1:3">
      <c r="A187" s="26" t="s">
        <v>193</v>
      </c>
      <c r="B187" t="s">
        <v>648</v>
      </c>
    </row>
    <row r="188" spans="1:3">
      <c r="A188" s="26" t="s">
        <v>194</v>
      </c>
      <c r="B188" t="s">
        <v>649</v>
      </c>
    </row>
    <row r="189" spans="1:3">
      <c r="A189" s="26" t="s">
        <v>195</v>
      </c>
      <c r="B189" t="s">
        <v>650</v>
      </c>
      <c r="C189">
        <v>40.9</v>
      </c>
    </row>
    <row r="190" spans="1:3">
      <c r="A190" s="26" t="s">
        <v>196</v>
      </c>
      <c r="B190" t="s">
        <v>651</v>
      </c>
      <c r="C190">
        <v>120</v>
      </c>
    </row>
    <row r="191" spans="1:3">
      <c r="A191" s="26" t="s">
        <v>197</v>
      </c>
      <c r="B191" t="s">
        <v>652</v>
      </c>
      <c r="C191">
        <v>26.84</v>
      </c>
    </row>
    <row r="192" spans="1:3">
      <c r="A192" s="26" t="s">
        <v>198</v>
      </c>
      <c r="B192" t="s">
        <v>653</v>
      </c>
      <c r="C192">
        <v>36.57</v>
      </c>
    </row>
    <row r="193" spans="1:3">
      <c r="A193" s="26" t="s">
        <v>199</v>
      </c>
      <c r="B193" t="s">
        <v>654</v>
      </c>
      <c r="C193">
        <v>40.76</v>
      </c>
    </row>
    <row r="194" spans="1:3">
      <c r="A194" s="26" t="s">
        <v>200</v>
      </c>
      <c r="B194" t="s">
        <v>655</v>
      </c>
    </row>
    <row r="195" spans="1:3">
      <c r="A195" s="26" t="s">
        <v>201</v>
      </c>
      <c r="B195" t="s">
        <v>656</v>
      </c>
      <c r="C195">
        <v>40.92</v>
      </c>
    </row>
    <row r="196" spans="1:3">
      <c r="A196" s="26" t="s">
        <v>202</v>
      </c>
      <c r="B196" t="s">
        <v>657</v>
      </c>
    </row>
    <row r="197" spans="1:3">
      <c r="A197" s="26" t="s">
        <v>203</v>
      </c>
      <c r="B197" t="s">
        <v>658</v>
      </c>
      <c r="C197">
        <v>38.65</v>
      </c>
    </row>
    <row r="198" spans="1:3">
      <c r="A198" s="26" t="s">
        <v>204</v>
      </c>
      <c r="B198" t="s">
        <v>659</v>
      </c>
    </row>
    <row r="199" spans="1:3">
      <c r="A199" s="26" t="s">
        <v>205</v>
      </c>
      <c r="B199" t="s">
        <v>660</v>
      </c>
      <c r="C199">
        <v>38.71</v>
      </c>
    </row>
    <row r="200" spans="1:3">
      <c r="A200" s="26" t="s">
        <v>206</v>
      </c>
      <c r="B200" t="s">
        <v>661</v>
      </c>
      <c r="C200">
        <v>40.450000000000003</v>
      </c>
    </row>
    <row r="201" spans="1:3">
      <c r="A201" s="26" t="s">
        <v>207</v>
      </c>
      <c r="B201" t="s">
        <v>662</v>
      </c>
      <c r="C201">
        <v>38.700000000000003</v>
      </c>
    </row>
    <row r="202" spans="1:3">
      <c r="A202" s="26" t="s">
        <v>208</v>
      </c>
      <c r="B202" t="s">
        <v>663</v>
      </c>
      <c r="C202">
        <v>38.880000000000003</v>
      </c>
    </row>
    <row r="203" spans="1:3">
      <c r="A203" s="26" t="s">
        <v>209</v>
      </c>
      <c r="B203" t="s">
        <v>664</v>
      </c>
      <c r="C203">
        <v>39.630000000000003</v>
      </c>
    </row>
    <row r="204" spans="1:3">
      <c r="A204" s="26" t="s">
        <v>210</v>
      </c>
      <c r="B204" t="s">
        <v>1123</v>
      </c>
      <c r="C204">
        <v>50.8</v>
      </c>
    </row>
    <row r="205" spans="1:3">
      <c r="A205" s="26" t="s">
        <v>211</v>
      </c>
      <c r="B205" t="s">
        <v>1124</v>
      </c>
      <c r="C205">
        <v>49.3</v>
      </c>
    </row>
    <row r="206" spans="1:3">
      <c r="A206" s="26" t="s">
        <v>212</v>
      </c>
      <c r="B206" t="s">
        <v>1125</v>
      </c>
      <c r="C206">
        <v>58.6</v>
      </c>
    </row>
    <row r="207" spans="1:3">
      <c r="A207" s="26" t="s">
        <v>213</v>
      </c>
      <c r="B207" t="s">
        <v>1126</v>
      </c>
      <c r="C207">
        <v>73</v>
      </c>
    </row>
    <row r="208" spans="1:3">
      <c r="A208" s="26" t="s">
        <v>214</v>
      </c>
      <c r="B208" t="s">
        <v>1127</v>
      </c>
      <c r="C208">
        <v>55.6</v>
      </c>
    </row>
    <row r="209" spans="1:3">
      <c r="A209" s="26" t="s">
        <v>215</v>
      </c>
      <c r="B209" t="s">
        <v>1128</v>
      </c>
      <c r="C209">
        <v>47.6</v>
      </c>
    </row>
    <row r="210" spans="1:3">
      <c r="A210" s="26" t="s">
        <v>216</v>
      </c>
      <c r="B210" t="s">
        <v>1129</v>
      </c>
      <c r="C210">
        <v>108</v>
      </c>
    </row>
    <row r="211" spans="1:3">
      <c r="A211" s="26" t="s">
        <v>217</v>
      </c>
      <c r="B211" t="s">
        <v>1130</v>
      </c>
      <c r="C211">
        <v>88</v>
      </c>
    </row>
    <row r="212" spans="1:3">
      <c r="A212" s="26" t="s">
        <v>218</v>
      </c>
      <c r="B212" t="s">
        <v>1131</v>
      </c>
      <c r="C212">
        <v>15.1</v>
      </c>
    </row>
    <row r="213" spans="1:3">
      <c r="A213" s="26" t="s">
        <v>219</v>
      </c>
      <c r="B213" t="s">
        <v>1132</v>
      </c>
      <c r="C213">
        <v>36.450000000000003</v>
      </c>
    </row>
    <row r="214" spans="1:3">
      <c r="A214" s="26" t="s">
        <v>220</v>
      </c>
      <c r="B214" t="s">
        <v>1133</v>
      </c>
      <c r="C214">
        <v>91.1</v>
      </c>
    </row>
    <row r="215" spans="1:3">
      <c r="A215" s="26" t="s">
        <v>221</v>
      </c>
      <c r="B215" t="s">
        <v>1134</v>
      </c>
      <c r="C215">
        <v>32.65</v>
      </c>
    </row>
    <row r="216" spans="1:3">
      <c r="A216" s="26" t="s">
        <v>222</v>
      </c>
      <c r="B216" t="s">
        <v>1135</v>
      </c>
      <c r="C216">
        <v>33.299999999999997</v>
      </c>
    </row>
    <row r="217" spans="1:3">
      <c r="A217" s="26" t="s">
        <v>223</v>
      </c>
      <c r="B217" t="s">
        <v>1136</v>
      </c>
      <c r="C217">
        <v>551</v>
      </c>
    </row>
    <row r="218" spans="1:3">
      <c r="A218" s="26" t="s">
        <v>224</v>
      </c>
      <c r="B218" t="s">
        <v>1137</v>
      </c>
      <c r="C218">
        <v>253</v>
      </c>
    </row>
    <row r="219" spans="1:3">
      <c r="A219" s="26" t="s">
        <v>225</v>
      </c>
      <c r="B219" t="s">
        <v>1138</v>
      </c>
      <c r="C219">
        <v>32.35</v>
      </c>
    </row>
    <row r="220" spans="1:3">
      <c r="A220" s="26" t="s">
        <v>226</v>
      </c>
      <c r="B220" t="s">
        <v>1139</v>
      </c>
      <c r="C220">
        <v>62.6</v>
      </c>
    </row>
    <row r="221" spans="1:3">
      <c r="A221" s="26" t="s">
        <v>227</v>
      </c>
      <c r="B221" t="s">
        <v>1140</v>
      </c>
      <c r="C221">
        <v>96.6</v>
      </c>
    </row>
    <row r="222" spans="1:3">
      <c r="A222" s="26" t="s">
        <v>228</v>
      </c>
      <c r="B222" t="s">
        <v>1141</v>
      </c>
      <c r="C222">
        <v>1060</v>
      </c>
    </row>
    <row r="223" spans="1:3">
      <c r="A223" s="26" t="s">
        <v>229</v>
      </c>
      <c r="B223" t="s">
        <v>1142</v>
      </c>
      <c r="C223">
        <v>29</v>
      </c>
    </row>
    <row r="224" spans="1:3">
      <c r="A224" s="26" t="s">
        <v>230</v>
      </c>
      <c r="B224" t="s">
        <v>1143</v>
      </c>
      <c r="C224">
        <v>172.5</v>
      </c>
    </row>
    <row r="225" spans="1:3">
      <c r="A225" s="26" t="s">
        <v>231</v>
      </c>
      <c r="B225" t="s">
        <v>1144</v>
      </c>
      <c r="C225">
        <v>57.8</v>
      </c>
    </row>
    <row r="226" spans="1:3">
      <c r="A226" s="26" t="s">
        <v>232</v>
      </c>
      <c r="B226" t="s">
        <v>1145</v>
      </c>
      <c r="C226">
        <v>116</v>
      </c>
    </row>
    <row r="227" spans="1:3">
      <c r="A227" s="26" t="s">
        <v>233</v>
      </c>
      <c r="B227" t="s">
        <v>1146</v>
      </c>
      <c r="C227">
        <v>31.6</v>
      </c>
    </row>
    <row r="228" spans="1:3">
      <c r="A228" s="26" t="s">
        <v>234</v>
      </c>
      <c r="B228" t="s">
        <v>1147</v>
      </c>
      <c r="C228">
        <v>39.25</v>
      </c>
    </row>
    <row r="229" spans="1:3">
      <c r="A229" s="26" t="s">
        <v>235</v>
      </c>
      <c r="B229" t="s">
        <v>1148</v>
      </c>
      <c r="C229">
        <v>45.95</v>
      </c>
    </row>
    <row r="230" spans="1:3">
      <c r="A230" s="26" t="s">
        <v>236</v>
      </c>
      <c r="B230" t="s">
        <v>1149</v>
      </c>
      <c r="C230">
        <v>374.5</v>
      </c>
    </row>
    <row r="231" spans="1:3">
      <c r="A231" s="26" t="s">
        <v>237</v>
      </c>
      <c r="B231" t="s">
        <v>1150</v>
      </c>
      <c r="C231">
        <v>349.5</v>
      </c>
    </row>
    <row r="232" spans="1:3">
      <c r="A232" s="26" t="s">
        <v>238</v>
      </c>
      <c r="B232" t="s">
        <v>1151</v>
      </c>
      <c r="C232">
        <v>39.9</v>
      </c>
    </row>
    <row r="233" spans="1:3">
      <c r="A233" s="26" t="s">
        <v>239</v>
      </c>
      <c r="B233" t="s">
        <v>1152</v>
      </c>
      <c r="C233">
        <v>36.75</v>
      </c>
    </row>
    <row r="234" spans="1:3">
      <c r="A234" s="26" t="s">
        <v>240</v>
      </c>
      <c r="B234" t="s">
        <v>1153</v>
      </c>
      <c r="C234">
        <v>28.85</v>
      </c>
    </row>
    <row r="235" spans="1:3">
      <c r="A235" s="26" t="s">
        <v>241</v>
      </c>
      <c r="B235" t="s">
        <v>1154</v>
      </c>
      <c r="C235">
        <v>49.5</v>
      </c>
    </row>
    <row r="236" spans="1:3">
      <c r="A236" s="26" t="s">
        <v>242</v>
      </c>
      <c r="B236" t="s">
        <v>1155</v>
      </c>
      <c r="C236">
        <v>40.4</v>
      </c>
    </row>
    <row r="237" spans="1:3">
      <c r="A237" s="26" t="s">
        <v>243</v>
      </c>
      <c r="B237" t="s">
        <v>1156</v>
      </c>
      <c r="C237">
        <v>69</v>
      </c>
    </row>
    <row r="238" spans="1:3">
      <c r="A238" s="26" t="s">
        <v>244</v>
      </c>
      <c r="B238" t="s">
        <v>1157</v>
      </c>
      <c r="C238">
        <v>584</v>
      </c>
    </row>
    <row r="239" spans="1:3">
      <c r="A239" s="26" t="s">
        <v>245</v>
      </c>
      <c r="B239" t="s">
        <v>1158</v>
      </c>
      <c r="C239">
        <v>279</v>
      </c>
    </row>
    <row r="240" spans="1:3">
      <c r="A240" s="26" t="s">
        <v>246</v>
      </c>
      <c r="B240" t="s">
        <v>1159</v>
      </c>
      <c r="C240">
        <v>219</v>
      </c>
    </row>
    <row r="241" spans="1:3">
      <c r="A241" s="26" t="s">
        <v>247</v>
      </c>
      <c r="B241" t="s">
        <v>1160</v>
      </c>
      <c r="C241">
        <v>65.8</v>
      </c>
    </row>
    <row r="242" spans="1:3">
      <c r="A242" s="26" t="s">
        <v>248</v>
      </c>
      <c r="B242" t="s">
        <v>1161</v>
      </c>
      <c r="C242">
        <v>51.8</v>
      </c>
    </row>
    <row r="243" spans="1:3">
      <c r="A243" s="26" t="s">
        <v>249</v>
      </c>
      <c r="B243" t="s">
        <v>1162</v>
      </c>
      <c r="C243">
        <v>283.5</v>
      </c>
    </row>
    <row r="244" spans="1:3">
      <c r="A244" s="26" t="s">
        <v>250</v>
      </c>
      <c r="B244" t="s">
        <v>1163</v>
      </c>
      <c r="C244">
        <v>38.700000000000003</v>
      </c>
    </row>
    <row r="245" spans="1:3">
      <c r="A245" s="26" t="s">
        <v>251</v>
      </c>
      <c r="B245" t="s">
        <v>1164</v>
      </c>
      <c r="C245">
        <v>110</v>
      </c>
    </row>
    <row r="246" spans="1:3">
      <c r="A246" s="26" t="s">
        <v>252</v>
      </c>
      <c r="B246" t="s">
        <v>1165</v>
      </c>
      <c r="C246">
        <v>23.9</v>
      </c>
    </row>
    <row r="247" spans="1:3">
      <c r="A247" s="26" t="s">
        <v>253</v>
      </c>
      <c r="B247" t="s">
        <v>1166</v>
      </c>
      <c r="C247">
        <v>490.5</v>
      </c>
    </row>
    <row r="248" spans="1:3">
      <c r="A248" s="26" t="s">
        <v>254</v>
      </c>
      <c r="B248" t="s">
        <v>1167</v>
      </c>
      <c r="C248">
        <v>585</v>
      </c>
    </row>
    <row r="249" spans="1:3">
      <c r="A249" s="26" t="s">
        <v>255</v>
      </c>
      <c r="B249" t="s">
        <v>1168</v>
      </c>
      <c r="C249">
        <v>42</v>
      </c>
    </row>
    <row r="250" spans="1:3">
      <c r="A250" s="26" t="s">
        <v>256</v>
      </c>
      <c r="B250" t="s">
        <v>1169</v>
      </c>
      <c r="C250">
        <v>31.4</v>
      </c>
    </row>
    <row r="251" spans="1:3">
      <c r="A251" s="26" t="s">
        <v>257</v>
      </c>
      <c r="B251" t="s">
        <v>1170</v>
      </c>
      <c r="C251">
        <v>291</v>
      </c>
    </row>
    <row r="252" spans="1:3">
      <c r="A252" s="26" t="s">
        <v>258</v>
      </c>
      <c r="B252" t="s">
        <v>1171</v>
      </c>
      <c r="C252">
        <v>55</v>
      </c>
    </row>
    <row r="253" spans="1:3">
      <c r="A253" s="26" t="s">
        <v>259</v>
      </c>
      <c r="B253" t="s">
        <v>1172</v>
      </c>
      <c r="C253">
        <v>32.799999999999997</v>
      </c>
    </row>
    <row r="254" spans="1:3">
      <c r="A254" s="26" t="s">
        <v>260</v>
      </c>
      <c r="B254" t="s">
        <v>1173</v>
      </c>
      <c r="C254">
        <v>31.85</v>
      </c>
    </row>
    <row r="255" spans="1:3">
      <c r="A255" s="26" t="s">
        <v>261</v>
      </c>
      <c r="B255" t="s">
        <v>1174</v>
      </c>
      <c r="C255">
        <v>63.6</v>
      </c>
    </row>
    <row r="256" spans="1:3">
      <c r="A256" s="26" t="s">
        <v>262</v>
      </c>
      <c r="B256" t="s">
        <v>1175</v>
      </c>
      <c r="C256">
        <v>26.7</v>
      </c>
    </row>
    <row r="257" spans="1:3">
      <c r="A257" s="26" t="s">
        <v>263</v>
      </c>
      <c r="B257" t="s">
        <v>1176</v>
      </c>
      <c r="C257">
        <v>380.5</v>
      </c>
    </row>
    <row r="258" spans="1:3">
      <c r="A258" s="26" t="s">
        <v>264</v>
      </c>
      <c r="B258" t="s">
        <v>1177</v>
      </c>
      <c r="C258">
        <v>179</v>
      </c>
    </row>
    <row r="259" spans="1:3">
      <c r="A259" s="26" t="s">
        <v>265</v>
      </c>
      <c r="B259" t="s">
        <v>1178</v>
      </c>
      <c r="C259">
        <v>24.55</v>
      </c>
    </row>
    <row r="260" spans="1:3">
      <c r="A260" s="26" t="s">
        <v>266</v>
      </c>
      <c r="B260" t="s">
        <v>1179</v>
      </c>
      <c r="C260">
        <v>123.5</v>
      </c>
    </row>
    <row r="261" spans="1:3">
      <c r="A261" s="26" t="s">
        <v>267</v>
      </c>
      <c r="B261" t="s">
        <v>1180</v>
      </c>
      <c r="C261">
        <v>194</v>
      </c>
    </row>
    <row r="262" spans="1:3">
      <c r="A262" s="26" t="s">
        <v>268</v>
      </c>
      <c r="B262" t="s">
        <v>1181</v>
      </c>
      <c r="C262">
        <v>499</v>
      </c>
    </row>
    <row r="263" spans="1:3">
      <c r="A263" s="26" t="s">
        <v>269</v>
      </c>
      <c r="B263" t="s">
        <v>1182</v>
      </c>
      <c r="C263">
        <v>94.1</v>
      </c>
    </row>
    <row r="264" spans="1:3">
      <c r="A264" s="26" t="s">
        <v>270</v>
      </c>
      <c r="B264" t="s">
        <v>1183</v>
      </c>
      <c r="C264">
        <v>165</v>
      </c>
    </row>
    <row r="265" spans="1:3">
      <c r="A265" s="26" t="s">
        <v>271</v>
      </c>
      <c r="B265" t="s">
        <v>1184</v>
      </c>
      <c r="C265">
        <v>80.7</v>
      </c>
    </row>
    <row r="266" spans="1:3">
      <c r="A266" s="26" t="s">
        <v>272</v>
      </c>
      <c r="B266" t="s">
        <v>1185</v>
      </c>
      <c r="C266">
        <v>343</v>
      </c>
    </row>
    <row r="267" spans="1:3">
      <c r="A267" s="26" t="s">
        <v>273</v>
      </c>
      <c r="B267" t="s">
        <v>1186</v>
      </c>
      <c r="C267">
        <v>82.7</v>
      </c>
    </row>
    <row r="268" spans="1:3">
      <c r="A268" s="26" t="s">
        <v>274</v>
      </c>
      <c r="B268" t="s">
        <v>1187</v>
      </c>
      <c r="C268">
        <v>27</v>
      </c>
    </row>
    <row r="269" spans="1:3">
      <c r="A269" s="26" t="s">
        <v>275</v>
      </c>
      <c r="B269" t="s">
        <v>1188</v>
      </c>
      <c r="C269">
        <v>112</v>
      </c>
    </row>
    <row r="270" spans="1:3">
      <c r="A270" s="26" t="s">
        <v>276</v>
      </c>
      <c r="B270" t="s">
        <v>1189</v>
      </c>
      <c r="C270">
        <v>105.5</v>
      </c>
    </row>
    <row r="271" spans="1:3">
      <c r="A271" s="26" t="s">
        <v>277</v>
      </c>
      <c r="B271" t="s">
        <v>1190</v>
      </c>
      <c r="C271">
        <v>68.900000000000006</v>
      </c>
    </row>
    <row r="272" spans="1:3">
      <c r="A272" s="26" t="s">
        <v>278</v>
      </c>
      <c r="B272" t="s">
        <v>1191</v>
      </c>
    </row>
    <row r="273" spans="1:3">
      <c r="A273" s="26" t="s">
        <v>279</v>
      </c>
      <c r="B273" t="s">
        <v>1192</v>
      </c>
      <c r="C273">
        <v>46.5</v>
      </c>
    </row>
    <row r="274" spans="1:3">
      <c r="A274" s="26" t="s">
        <v>280</v>
      </c>
      <c r="B274" t="s">
        <v>1193</v>
      </c>
      <c r="C274">
        <v>74.099999999999994</v>
      </c>
    </row>
    <row r="275" spans="1:3">
      <c r="A275" s="26" t="s">
        <v>281</v>
      </c>
      <c r="B275" t="s">
        <v>1194</v>
      </c>
      <c r="C275">
        <v>1005</v>
      </c>
    </row>
    <row r="276" spans="1:3">
      <c r="A276" s="26" t="s">
        <v>282</v>
      </c>
      <c r="B276" t="s">
        <v>1195</v>
      </c>
      <c r="C276">
        <v>191.5</v>
      </c>
    </row>
    <row r="277" spans="1:3">
      <c r="A277" s="26" t="s">
        <v>283</v>
      </c>
      <c r="B277" t="s">
        <v>1196</v>
      </c>
      <c r="C277">
        <v>214</v>
      </c>
    </row>
    <row r="278" spans="1:3">
      <c r="A278" s="26" t="s">
        <v>284</v>
      </c>
      <c r="B278" t="s">
        <v>1197</v>
      </c>
      <c r="C278">
        <v>39.450000000000003</v>
      </c>
    </row>
    <row r="279" spans="1:3">
      <c r="A279" s="26" t="s">
        <v>285</v>
      </c>
      <c r="B279" t="s">
        <v>1198</v>
      </c>
      <c r="C279">
        <v>20.6</v>
      </c>
    </row>
    <row r="280" spans="1:3">
      <c r="A280" s="26" t="s">
        <v>286</v>
      </c>
      <c r="B280" t="s">
        <v>1199</v>
      </c>
      <c r="C280">
        <v>45.2</v>
      </c>
    </row>
    <row r="281" spans="1:3">
      <c r="A281" s="26" t="s">
        <v>287</v>
      </c>
      <c r="B281" t="s">
        <v>1200</v>
      </c>
      <c r="C281">
        <v>79.900000000000006</v>
      </c>
    </row>
    <row r="282" spans="1:3">
      <c r="A282" s="26" t="s">
        <v>288</v>
      </c>
      <c r="B282" t="s">
        <v>1201</v>
      </c>
      <c r="C282">
        <v>61.9</v>
      </c>
    </row>
    <row r="283" spans="1:3">
      <c r="A283" s="26" t="s">
        <v>289</v>
      </c>
      <c r="B283" t="s">
        <v>1202</v>
      </c>
      <c r="C283">
        <v>18.45</v>
      </c>
    </row>
    <row r="284" spans="1:3">
      <c r="A284" s="26" t="s">
        <v>290</v>
      </c>
      <c r="B284" t="s">
        <v>1203</v>
      </c>
      <c r="C284">
        <v>92.5</v>
      </c>
    </row>
    <row r="285" spans="1:3">
      <c r="A285" s="26" t="s">
        <v>291</v>
      </c>
      <c r="B285" t="s">
        <v>1204</v>
      </c>
      <c r="C285">
        <v>16.8</v>
      </c>
    </row>
    <row r="286" spans="1:3">
      <c r="A286" s="26" t="s">
        <v>292</v>
      </c>
      <c r="B286" t="s">
        <v>1205</v>
      </c>
      <c r="C286">
        <v>30.55</v>
      </c>
    </row>
    <row r="287" spans="1:3">
      <c r="A287" s="26" t="s">
        <v>293</v>
      </c>
      <c r="B287" t="s">
        <v>1206</v>
      </c>
      <c r="C287">
        <v>167.5</v>
      </c>
    </row>
    <row r="288" spans="1:3">
      <c r="A288" s="26" t="s">
        <v>294</v>
      </c>
      <c r="B288" t="s">
        <v>1207</v>
      </c>
      <c r="C288">
        <v>17.600000000000001</v>
      </c>
    </row>
    <row r="289" spans="1:3">
      <c r="A289" s="26" t="s">
        <v>295</v>
      </c>
      <c r="B289" t="s">
        <v>1208</v>
      </c>
      <c r="C289">
        <v>42.55</v>
      </c>
    </row>
    <row r="290" spans="1:3">
      <c r="A290" s="26" t="s">
        <v>296</v>
      </c>
      <c r="B290" t="s">
        <v>1209</v>
      </c>
      <c r="C290">
        <v>11.8</v>
      </c>
    </row>
    <row r="291" spans="1:3">
      <c r="A291" s="26" t="s">
        <v>297</v>
      </c>
      <c r="B291" t="s">
        <v>1210</v>
      </c>
      <c r="C291">
        <v>25.65</v>
      </c>
    </row>
    <row r="292" spans="1:3">
      <c r="A292" s="26" t="s">
        <v>298</v>
      </c>
      <c r="B292" t="s">
        <v>1211</v>
      </c>
      <c r="C292">
        <v>9.9</v>
      </c>
    </row>
    <row r="293" spans="1:3">
      <c r="A293" s="26" t="s">
        <v>299</v>
      </c>
      <c r="B293" t="s">
        <v>1212</v>
      </c>
      <c r="C293">
        <v>10.9</v>
      </c>
    </row>
    <row r="294" spans="1:3">
      <c r="A294" s="26" t="s">
        <v>300</v>
      </c>
      <c r="B294" t="s">
        <v>1213</v>
      </c>
      <c r="C294">
        <v>10.050000000000001</v>
      </c>
    </row>
    <row r="295" spans="1:3">
      <c r="A295" s="26" t="s">
        <v>301</v>
      </c>
      <c r="B295" t="s">
        <v>1214</v>
      </c>
      <c r="C295">
        <v>18.600000000000001</v>
      </c>
    </row>
    <row r="296" spans="1:3">
      <c r="A296" s="26" t="s">
        <v>302</v>
      </c>
      <c r="B296" t="s">
        <v>1215</v>
      </c>
      <c r="C296">
        <v>69.5</v>
      </c>
    </row>
    <row r="297" spans="1:3">
      <c r="A297" s="26" t="s">
        <v>303</v>
      </c>
      <c r="B297" t="s">
        <v>1216</v>
      </c>
      <c r="C297">
        <v>53.6</v>
      </c>
    </row>
    <row r="298" spans="1:3">
      <c r="A298" s="26" t="s">
        <v>304</v>
      </c>
      <c r="B298" t="s">
        <v>1217</v>
      </c>
      <c r="C298">
        <v>12.6</v>
      </c>
    </row>
    <row r="299" spans="1:3">
      <c r="A299" s="26" t="s">
        <v>305</v>
      </c>
      <c r="B299" t="s">
        <v>1218</v>
      </c>
      <c r="C299">
        <v>26.3</v>
      </c>
    </row>
    <row r="300" spans="1:3">
      <c r="A300" s="26" t="s">
        <v>306</v>
      </c>
      <c r="B300" t="s">
        <v>1219</v>
      </c>
      <c r="C300">
        <v>25.3</v>
      </c>
    </row>
    <row r="301" spans="1:3">
      <c r="A301" s="26" t="s">
        <v>307</v>
      </c>
      <c r="B301" t="s">
        <v>1220</v>
      </c>
      <c r="C301">
        <v>32.049999999999997</v>
      </c>
    </row>
    <row r="302" spans="1:3">
      <c r="A302" s="26" t="s">
        <v>308</v>
      </c>
      <c r="B302" t="s">
        <v>1221</v>
      </c>
      <c r="C302">
        <v>14.55</v>
      </c>
    </row>
    <row r="303" spans="1:3">
      <c r="A303" s="26" t="s">
        <v>309</v>
      </c>
      <c r="B303" t="s">
        <v>1222</v>
      </c>
      <c r="C303">
        <v>9.85</v>
      </c>
    </row>
    <row r="304" spans="1:3">
      <c r="A304" s="26" t="s">
        <v>310</v>
      </c>
      <c r="B304" t="s">
        <v>1223</v>
      </c>
      <c r="C304">
        <v>17.350000000000001</v>
      </c>
    </row>
    <row r="305" spans="1:3">
      <c r="A305" s="26" t="s">
        <v>311</v>
      </c>
      <c r="B305" t="s">
        <v>1224</v>
      </c>
      <c r="C305">
        <v>13.25</v>
      </c>
    </row>
    <row r="306" spans="1:3">
      <c r="A306" s="26" t="s">
        <v>312</v>
      </c>
      <c r="B306" t="s">
        <v>1225</v>
      </c>
      <c r="C306">
        <v>22.5</v>
      </c>
    </row>
    <row r="307" spans="1:3">
      <c r="A307" s="26" t="s">
        <v>313</v>
      </c>
      <c r="B307" t="s">
        <v>1226</v>
      </c>
      <c r="C307">
        <v>22.2</v>
      </c>
    </row>
    <row r="308" spans="1:3">
      <c r="A308" s="26" t="s">
        <v>314</v>
      </c>
      <c r="B308" t="s">
        <v>1227</v>
      </c>
      <c r="C308">
        <v>267.5</v>
      </c>
    </row>
    <row r="309" spans="1:3">
      <c r="A309" s="26" t="s">
        <v>315</v>
      </c>
      <c r="B309" t="s">
        <v>1228</v>
      </c>
      <c r="C309">
        <v>84.9</v>
      </c>
    </row>
    <row r="310" spans="1:3">
      <c r="A310" s="26" t="s">
        <v>316</v>
      </c>
      <c r="B310" t="s">
        <v>1229</v>
      </c>
      <c r="C310">
        <v>55</v>
      </c>
    </row>
    <row r="311" spans="1:3">
      <c r="A311" s="26" t="s">
        <v>317</v>
      </c>
      <c r="B311" t="s">
        <v>1230</v>
      </c>
      <c r="C311">
        <v>3010</v>
      </c>
    </row>
    <row r="312" spans="1:3">
      <c r="A312" s="26" t="s">
        <v>318</v>
      </c>
      <c r="B312" t="s">
        <v>1231</v>
      </c>
      <c r="C312">
        <v>533</v>
      </c>
    </row>
    <row r="313" spans="1:3">
      <c r="A313" s="26" t="s">
        <v>319</v>
      </c>
      <c r="B313" t="s">
        <v>1232</v>
      </c>
      <c r="C313">
        <v>99</v>
      </c>
    </row>
    <row r="314" spans="1:3">
      <c r="A314" s="26" t="s">
        <v>320</v>
      </c>
      <c r="B314" t="s">
        <v>1233</v>
      </c>
      <c r="C314">
        <v>134</v>
      </c>
    </row>
    <row r="315" spans="1:3">
      <c r="A315" s="26" t="s">
        <v>321</v>
      </c>
      <c r="B315" t="s">
        <v>1234</v>
      </c>
      <c r="C315">
        <v>99</v>
      </c>
    </row>
    <row r="316" spans="1:3">
      <c r="A316" s="26" t="s">
        <v>322</v>
      </c>
      <c r="B316" t="s">
        <v>1235</v>
      </c>
      <c r="C316">
        <v>30.8</v>
      </c>
    </row>
    <row r="317" spans="1:3">
      <c r="A317" s="26" t="s">
        <v>323</v>
      </c>
      <c r="B317" t="s">
        <v>1236</v>
      </c>
      <c r="C317">
        <v>477</v>
      </c>
    </row>
    <row r="318" spans="1:3">
      <c r="A318" s="26" t="s">
        <v>324</v>
      </c>
      <c r="B318" t="s">
        <v>1237</v>
      </c>
      <c r="C318">
        <v>360</v>
      </c>
    </row>
    <row r="319" spans="1:3">
      <c r="A319" s="26" t="s">
        <v>325</v>
      </c>
      <c r="B319" t="s">
        <v>1238</v>
      </c>
      <c r="C319">
        <v>25.3</v>
      </c>
    </row>
    <row r="320" spans="1:3">
      <c r="A320" s="26" t="s">
        <v>326</v>
      </c>
      <c r="B320" t="s">
        <v>1239</v>
      </c>
      <c r="C320">
        <v>171</v>
      </c>
    </row>
    <row r="321" spans="1:3">
      <c r="A321" s="26" t="s">
        <v>327</v>
      </c>
      <c r="B321" t="s">
        <v>1240</v>
      </c>
      <c r="C321">
        <v>9.4499999999999993</v>
      </c>
    </row>
    <row r="322" spans="1:3">
      <c r="A322" s="26" t="s">
        <v>328</v>
      </c>
      <c r="B322" t="s">
        <v>1241</v>
      </c>
      <c r="C322">
        <v>50</v>
      </c>
    </row>
    <row r="323" spans="1:3">
      <c r="A323" s="26" t="s">
        <v>329</v>
      </c>
      <c r="B323" t="s">
        <v>1242</v>
      </c>
      <c r="C323">
        <v>28.8</v>
      </c>
    </row>
    <row r="324" spans="1:3">
      <c r="A324" s="26" t="s">
        <v>330</v>
      </c>
      <c r="B324" t="s">
        <v>1243</v>
      </c>
      <c r="C324">
        <v>106.5</v>
      </c>
    </row>
    <row r="325" spans="1:3">
      <c r="A325" s="26" t="s">
        <v>331</v>
      </c>
      <c r="B325" t="s">
        <v>1244</v>
      </c>
      <c r="C325">
        <v>64.3</v>
      </c>
    </row>
    <row r="326" spans="1:3">
      <c r="A326" s="26" t="s">
        <v>332</v>
      </c>
      <c r="B326" t="s">
        <v>1245</v>
      </c>
      <c r="C326">
        <v>70.8</v>
      </c>
    </row>
    <row r="327" spans="1:3">
      <c r="A327" s="26" t="s">
        <v>333</v>
      </c>
      <c r="B327" t="s">
        <v>1246</v>
      </c>
      <c r="C327">
        <v>98.4</v>
      </c>
    </row>
    <row r="328" spans="1:3">
      <c r="A328" s="26" t="s">
        <v>334</v>
      </c>
      <c r="B328" t="s">
        <v>1247</v>
      </c>
      <c r="C328">
        <v>1015</v>
      </c>
    </row>
    <row r="329" spans="1:3">
      <c r="A329" s="26" t="s">
        <v>335</v>
      </c>
      <c r="B329" t="s">
        <v>1248</v>
      </c>
      <c r="C329">
        <v>56.2</v>
      </c>
    </row>
    <row r="330" spans="1:3">
      <c r="A330" s="26" t="s">
        <v>336</v>
      </c>
      <c r="B330" t="s">
        <v>1249</v>
      </c>
      <c r="C330">
        <v>81.099999999999994</v>
      </c>
    </row>
    <row r="331" spans="1:3">
      <c r="A331" s="26" t="s">
        <v>337</v>
      </c>
      <c r="B331" t="s">
        <v>1250</v>
      </c>
      <c r="C331">
        <v>198</v>
      </c>
    </row>
    <row r="332" spans="1:3">
      <c r="A332" s="26" t="s">
        <v>338</v>
      </c>
      <c r="B332" t="s">
        <v>1251</v>
      </c>
      <c r="C332">
        <v>42.45</v>
      </c>
    </row>
    <row r="333" spans="1:3">
      <c r="A333" s="26" t="s">
        <v>339</v>
      </c>
      <c r="B333" t="s">
        <v>1252</v>
      </c>
      <c r="C333">
        <v>21.05</v>
      </c>
    </row>
    <row r="334" spans="1:3">
      <c r="A334" s="26" t="s">
        <v>340</v>
      </c>
      <c r="B334" t="s">
        <v>1253</v>
      </c>
      <c r="C334">
        <v>125</v>
      </c>
    </row>
    <row r="335" spans="1:3">
      <c r="A335" s="26" t="s">
        <v>341</v>
      </c>
      <c r="B335" t="s">
        <v>1254</v>
      </c>
      <c r="C335">
        <v>102.5</v>
      </c>
    </row>
    <row r="336" spans="1:3">
      <c r="A336" s="26" t="s">
        <v>342</v>
      </c>
      <c r="B336" t="s">
        <v>1255</v>
      </c>
      <c r="C336">
        <v>112</v>
      </c>
    </row>
    <row r="337" spans="1:3">
      <c r="A337" s="26" t="s">
        <v>343</v>
      </c>
      <c r="B337" t="s">
        <v>1256</v>
      </c>
      <c r="C337">
        <v>70.099999999999994</v>
      </c>
    </row>
    <row r="338" spans="1:3">
      <c r="A338" s="26" t="s">
        <v>344</v>
      </c>
      <c r="B338" t="s">
        <v>1257</v>
      </c>
      <c r="C338">
        <v>1215</v>
      </c>
    </row>
    <row r="339" spans="1:3">
      <c r="A339" s="26" t="s">
        <v>345</v>
      </c>
      <c r="B339" t="s">
        <v>1258</v>
      </c>
      <c r="C339">
        <v>2995</v>
      </c>
    </row>
    <row r="340" spans="1:3">
      <c r="A340" s="26" t="s">
        <v>346</v>
      </c>
      <c r="B340" t="s">
        <v>1259</v>
      </c>
      <c r="C340">
        <v>116.5</v>
      </c>
    </row>
    <row r="341" spans="1:3">
      <c r="A341" s="26" t="s">
        <v>347</v>
      </c>
      <c r="B341" t="s">
        <v>1260</v>
      </c>
      <c r="C341">
        <v>104</v>
      </c>
    </row>
    <row r="342" spans="1:3">
      <c r="A342" s="26" t="s">
        <v>348</v>
      </c>
      <c r="B342" t="s">
        <v>1261</v>
      </c>
      <c r="C342">
        <v>931</v>
      </c>
    </row>
    <row r="343" spans="1:3">
      <c r="A343" s="26" t="s">
        <v>349</v>
      </c>
      <c r="B343" t="s">
        <v>1262</v>
      </c>
      <c r="C343">
        <v>223.5</v>
      </c>
    </row>
    <row r="344" spans="1:3">
      <c r="A344" s="26" t="s">
        <v>350</v>
      </c>
      <c r="B344" t="s">
        <v>1263</v>
      </c>
      <c r="C344">
        <v>997</v>
      </c>
    </row>
    <row r="345" spans="1:3">
      <c r="A345" s="26" t="s">
        <v>351</v>
      </c>
      <c r="B345" t="s">
        <v>1264</v>
      </c>
      <c r="C345">
        <v>447</v>
      </c>
    </row>
    <row r="346" spans="1:3">
      <c r="A346" s="26" t="s">
        <v>352</v>
      </c>
      <c r="B346" t="s">
        <v>1265</v>
      </c>
      <c r="C346">
        <v>33.450000000000003</v>
      </c>
    </row>
    <row r="347" spans="1:3">
      <c r="A347" s="26" t="s">
        <v>353</v>
      </c>
      <c r="B347" t="s">
        <v>1266</v>
      </c>
      <c r="C347">
        <v>201.5</v>
      </c>
    </row>
    <row r="348" spans="1:3">
      <c r="A348" s="26" t="s">
        <v>354</v>
      </c>
      <c r="B348" t="s">
        <v>1267</v>
      </c>
      <c r="C348">
        <v>314</v>
      </c>
    </row>
    <row r="349" spans="1:3">
      <c r="A349" s="26" t="s">
        <v>355</v>
      </c>
      <c r="B349" t="s">
        <v>1268</v>
      </c>
      <c r="C349">
        <v>93.8</v>
      </c>
    </row>
    <row r="350" spans="1:3">
      <c r="A350" s="26" t="s">
        <v>356</v>
      </c>
      <c r="B350" t="s">
        <v>1269</v>
      </c>
      <c r="C350">
        <v>340.5</v>
      </c>
    </row>
    <row r="351" spans="1:3">
      <c r="A351" s="26" t="s">
        <v>357</v>
      </c>
      <c r="B351" t="s">
        <v>1270</v>
      </c>
      <c r="C351">
        <v>38.299999999999997</v>
      </c>
    </row>
    <row r="352" spans="1:3">
      <c r="A352" s="26" t="s">
        <v>358</v>
      </c>
      <c r="B352" t="s">
        <v>1271</v>
      </c>
      <c r="C352">
        <v>131</v>
      </c>
    </row>
    <row r="353" spans="1:3">
      <c r="A353" s="26" t="s">
        <v>359</v>
      </c>
      <c r="B353" t="s">
        <v>1272</v>
      </c>
      <c r="C353">
        <v>52.5</v>
      </c>
    </row>
    <row r="354" spans="1:3">
      <c r="A354" s="26" t="s">
        <v>429</v>
      </c>
      <c r="B354" t="s">
        <v>1273</v>
      </c>
      <c r="C354">
        <v>326</v>
      </c>
    </row>
    <row r="355" spans="1:3">
      <c r="A355" s="26" t="s">
        <v>430</v>
      </c>
      <c r="B355" t="s">
        <v>1274</v>
      </c>
      <c r="C355">
        <v>769</v>
      </c>
    </row>
    <row r="356" spans="1:3">
      <c r="A356" s="26" t="s">
        <v>431</v>
      </c>
      <c r="B356" t="s">
        <v>1275</v>
      </c>
      <c r="C356">
        <v>110.5</v>
      </c>
    </row>
    <row r="357" spans="1:3">
      <c r="A357" s="26" t="s">
        <v>432</v>
      </c>
      <c r="B357" t="s">
        <v>1276</v>
      </c>
      <c r="C357">
        <v>533</v>
      </c>
    </row>
    <row r="358" spans="1:3">
      <c r="A358" s="26" t="s">
        <v>433</v>
      </c>
      <c r="B358" t="s">
        <v>1277</v>
      </c>
      <c r="C358">
        <v>67.7</v>
      </c>
    </row>
  </sheetData>
  <phoneticPr fontId="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6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AG97"/>
  <sheetViews>
    <sheetView workbookViewId="0">
      <pane xSplit="12" ySplit="2" topLeftCell="M3" activePane="bottomRight" state="frozen"/>
      <selection pane="topRight" activeCell="M1" sqref="M1"/>
      <selection pane="bottomLeft" activeCell="A3" sqref="A3"/>
      <selection pane="bottomRight" activeCell="H14" sqref="H14"/>
    </sheetView>
  </sheetViews>
  <sheetFormatPr defaultColWidth="9" defaultRowHeight="13.5"/>
  <cols>
    <col min="1" max="1" width="7.375" style="50" customWidth="1"/>
    <col min="2" max="2" width="9.875" style="50" customWidth="1"/>
    <col min="3" max="3" width="7.5" style="50" customWidth="1"/>
    <col min="4" max="4" width="13.5" style="50" bestFit="1" customWidth="1"/>
    <col min="5" max="9" width="7.5" style="50" customWidth="1"/>
    <col min="10" max="10" width="7.25" style="50" customWidth="1"/>
    <col min="11" max="11" width="8.125" style="50" customWidth="1"/>
    <col min="12" max="12" width="8.375" style="50" customWidth="1"/>
    <col min="13" max="15" width="7.25" style="50" customWidth="1"/>
    <col min="16" max="16" width="7.25" style="50" hidden="1" customWidth="1"/>
    <col min="17" max="18" width="7.25" style="50" customWidth="1"/>
    <col min="19" max="19" width="7.25" style="50" hidden="1" customWidth="1"/>
    <col min="20" max="21" width="7.75" style="50" customWidth="1"/>
    <col min="22" max="22" width="7.125" style="50" customWidth="1"/>
    <col min="23" max="23" width="8.25" style="50" customWidth="1"/>
    <col min="24" max="24" width="9" style="53"/>
    <col min="25" max="25" width="9" style="50"/>
    <col min="26" max="26" width="6.875" style="50" customWidth="1"/>
    <col min="27" max="28" width="9" style="50"/>
    <col min="29" max="29" width="7.25" style="50" customWidth="1"/>
    <col min="30" max="30" width="8" style="50" customWidth="1"/>
    <col min="31" max="31" width="8.75" style="50" customWidth="1"/>
    <col min="32" max="32" width="6.875" style="50" customWidth="1"/>
    <col min="33" max="16384" width="9" style="50"/>
  </cols>
  <sheetData>
    <row r="1" spans="1:31">
      <c r="H1" s="51">
        <v>0.01</v>
      </c>
      <c r="I1" s="51">
        <v>0.02</v>
      </c>
      <c r="J1" s="51">
        <v>0.03</v>
      </c>
      <c r="K1" s="51">
        <v>0.03</v>
      </c>
      <c r="L1" s="52"/>
      <c r="M1" s="52"/>
      <c r="N1" s="52"/>
      <c r="O1" s="52"/>
      <c r="P1" s="52"/>
      <c r="Q1" s="52"/>
      <c r="R1" s="52"/>
      <c r="S1" s="52"/>
    </row>
    <row r="2" spans="1:31" ht="27.75" thickBot="1">
      <c r="A2" s="54" t="s">
        <v>1653</v>
      </c>
      <c r="B2" s="54" t="s">
        <v>1654</v>
      </c>
      <c r="C2" s="54" t="s">
        <v>1655</v>
      </c>
      <c r="D2" s="54" t="s">
        <v>1656</v>
      </c>
      <c r="E2" s="55" t="s">
        <v>1657</v>
      </c>
      <c r="F2" s="56" t="s">
        <v>1658</v>
      </c>
      <c r="G2" s="55" t="s">
        <v>2703</v>
      </c>
      <c r="H2" s="55" t="s">
        <v>2704</v>
      </c>
      <c r="I2" s="55" t="s">
        <v>2707</v>
      </c>
      <c r="J2" s="55" t="s">
        <v>2708</v>
      </c>
      <c r="K2" s="55" t="s">
        <v>2709</v>
      </c>
      <c r="L2" s="55" t="s">
        <v>1659</v>
      </c>
      <c r="M2" s="55" t="s">
        <v>1660</v>
      </c>
      <c r="N2" s="55" t="s">
        <v>1661</v>
      </c>
      <c r="O2" s="55" t="s">
        <v>1662</v>
      </c>
      <c r="P2" s="55" t="s">
        <v>2710</v>
      </c>
      <c r="Q2" s="55" t="s">
        <v>1663</v>
      </c>
      <c r="R2" s="55" t="s">
        <v>1664</v>
      </c>
      <c r="S2" s="55" t="s">
        <v>2711</v>
      </c>
      <c r="T2" s="55" t="s">
        <v>1665</v>
      </c>
      <c r="U2" s="56" t="s">
        <v>1666</v>
      </c>
      <c r="V2" s="55" t="s">
        <v>2705</v>
      </c>
      <c r="W2" s="55" t="s">
        <v>2706</v>
      </c>
      <c r="X2" s="57" t="s">
        <v>1667</v>
      </c>
      <c r="Y2" s="57" t="s">
        <v>1668</v>
      </c>
      <c r="Z2" s="57" t="s">
        <v>1669</v>
      </c>
      <c r="AA2" s="57" t="s">
        <v>1670</v>
      </c>
      <c r="AB2" s="57" t="s">
        <v>1671</v>
      </c>
      <c r="AC2" s="58" t="s">
        <v>1672</v>
      </c>
      <c r="AD2" s="58" t="s">
        <v>1673</v>
      </c>
      <c r="AE2" s="50" t="s">
        <v>1674</v>
      </c>
    </row>
    <row r="3" spans="1:31">
      <c r="A3" s="59" t="s">
        <v>1675</v>
      </c>
      <c r="B3" s="139" t="s">
        <v>1676</v>
      </c>
      <c r="C3" s="139" t="s">
        <v>113</v>
      </c>
      <c r="D3" s="140" t="str">
        <f>VLOOKUP($C3,ETF!$A:$V,2,FALSE)</f>
        <v>期街口S&amp;P布蘭特油正2</v>
      </c>
      <c r="E3" s="140">
        <f>VLOOKUP($C3,ETF!$A:$V,22,FALSE)</f>
        <v>7.18</v>
      </c>
      <c r="F3" s="141">
        <f>VLOOKUP($C3,ETF!$A:$V,12,FALSE)</f>
        <v>7.2366940909535984</v>
      </c>
      <c r="G3" s="142">
        <f>($E3-$F3)*1000</f>
        <v>-56.694090953598675</v>
      </c>
      <c r="H3" s="143">
        <f>$E3/$F3-1</f>
        <v>-7.8342528012163015E-3</v>
      </c>
      <c r="I3" s="143">
        <f t="shared" ref="I3:I64" si="0">H3-W3</f>
        <v>8.702175483161767E-4</v>
      </c>
      <c r="J3" s="143">
        <f t="shared" ref="J3:K42" si="1">E3/T3-1</f>
        <v>2.7932960893854997E-3</v>
      </c>
      <c r="K3" s="143">
        <f t="shared" si="1"/>
        <v>1.9137572360692356E-3</v>
      </c>
      <c r="L3" s="143">
        <f>Q3/N3-1</f>
        <v>1.3947001394700731E-3</v>
      </c>
      <c r="M3" s="64">
        <f>VLOOKUP($C3,ETF!$A:$V,22,FALSE)</f>
        <v>7.18</v>
      </c>
      <c r="N3" s="63">
        <f>VLOOKUP($C3,ETF!$A:$V,20,FALSE)</f>
        <v>7.17</v>
      </c>
      <c r="O3" s="64">
        <f>VLOOKUP($C3,ETF!$A:$V,9,FALSE)</f>
        <v>7.2366940909535984</v>
      </c>
      <c r="P3" s="62">
        <f>IF($O3&lt;&gt;"",$N3/$O3-1,0)</f>
        <v>-9.2160992457828161E-3</v>
      </c>
      <c r="Q3" s="63">
        <f>VLOOKUP($C3,ETF!$A:$V,21,FALSE)</f>
        <v>7.18</v>
      </c>
      <c r="R3" s="64">
        <f>VLOOKUP($C3,ETF!$A:$V,10,FALSE)</f>
        <v>7.2389117321940128</v>
      </c>
      <c r="S3" s="62">
        <f>IF($R3&lt;&gt;"",$Q3/$R3-1,0)</f>
        <v>-8.1382028643907089E-3</v>
      </c>
      <c r="T3" s="123">
        <f>VLOOKUP($C3,資料上傳!$E:$I,5,FALSE)</f>
        <v>7.16</v>
      </c>
      <c r="U3" s="123">
        <f>VLOOKUP($C3,資料上傳!$E:$I,4,FALSE)</f>
        <v>7.2228712687977401</v>
      </c>
      <c r="V3" s="132">
        <f>(T3-U3)*1000</f>
        <v>-62.871268797739965</v>
      </c>
      <c r="W3" s="62">
        <f>T3/U3-1</f>
        <v>-8.7044703495324782E-3</v>
      </c>
      <c r="X3" s="65"/>
      <c r="Y3" s="65"/>
      <c r="Z3" s="65"/>
      <c r="AA3" s="65"/>
      <c r="AB3" s="66"/>
      <c r="AC3" s="50">
        <f t="shared" ref="AC3:AC55" si="2">(AA3+AB3)</f>
        <v>0</v>
      </c>
    </row>
    <row r="4" spans="1:31">
      <c r="A4" s="67"/>
      <c r="B4" s="68" t="s">
        <v>1677</v>
      </c>
      <c r="C4" s="68" t="s">
        <v>1678</v>
      </c>
      <c r="D4" s="69" t="str">
        <f>VLOOKUP($C4,ETF!$A:$V,2,FALSE)</f>
        <v>期元大S&amp;P石油</v>
      </c>
      <c r="E4" s="69">
        <f>VLOOKUP($C4,ETF!$A:$V,22,FALSE)</f>
        <v>10.87</v>
      </c>
      <c r="F4" s="107">
        <f>VLOOKUP($C4,ETF!$A:$V,12,FALSE)</f>
        <v>10.91518321777497</v>
      </c>
      <c r="G4" s="127">
        <f t="shared" ref="G4:G68" si="3">($E4-$F4)*1000</f>
        <v>-45.183217774971141</v>
      </c>
      <c r="H4" s="70">
        <f t="shared" ref="H4:H79" si="4">$E4/$F4-1</f>
        <v>-4.1394832201617771E-3</v>
      </c>
      <c r="I4" s="70">
        <f t="shared" si="0"/>
        <v>-8.7369419005722815E-4</v>
      </c>
      <c r="J4" s="70">
        <f t="shared" si="1"/>
        <v>0</v>
      </c>
      <c r="K4" s="70">
        <f t="shared" si="1"/>
        <v>8.7732586575706151E-4</v>
      </c>
      <c r="L4" s="70">
        <f t="shared" ref="L4:L79" si="5">Q4/N4-1</f>
        <v>9.1996320147202937E-4</v>
      </c>
      <c r="M4" s="72">
        <f>VLOOKUP($C4,ETF!$A:$V,22,FALSE)</f>
        <v>10.87</v>
      </c>
      <c r="N4" s="72">
        <f>VLOOKUP($C4,ETF!$A:$V,20,FALSE)</f>
        <v>10.87</v>
      </c>
      <c r="O4" s="72">
        <f>VLOOKUP($C4,ETF!$A:$V,9,FALSE)</f>
        <v>10.91518321777497</v>
      </c>
      <c r="P4" s="70">
        <f t="shared" ref="P4:P65" si="6">IF($O4&lt;&gt;"",$N4/$O4-1,0)</f>
        <v>-4.1394832201617771E-3</v>
      </c>
      <c r="Q4" s="71">
        <f>VLOOKUP($C4,ETF!$A:$V,21,FALSE)</f>
        <v>10.88</v>
      </c>
      <c r="R4" s="72">
        <f>VLOOKUP($C4,ETF!$A:$V,10,FALSE)</f>
        <v>10.916892998234506</v>
      </c>
      <c r="S4" s="70">
        <f t="shared" ref="S4:S65" si="7">IF($R4&lt;&gt;"",$Q4/$R4-1,0)</f>
        <v>-3.379441223841928E-3</v>
      </c>
      <c r="T4" s="121">
        <f>VLOOKUP($C4,資料上傳!$E:$I,5,FALSE)</f>
        <v>10.87</v>
      </c>
      <c r="U4" s="121">
        <f>VLOOKUP($C4,資料上傳!$E:$I,4,FALSE)</f>
        <v>10.9056154392681</v>
      </c>
      <c r="V4" s="131">
        <f t="shared" ref="V4:V68" si="8">(T4-U4)*1000</f>
        <v>-35.615439268100957</v>
      </c>
      <c r="W4" s="70">
        <f t="shared" ref="W4:W68" si="9">T4/U4-1</f>
        <v>-3.2657890301045489E-3</v>
      </c>
      <c r="X4" s="73"/>
      <c r="Y4" s="73"/>
      <c r="Z4" s="73"/>
      <c r="AA4" s="73"/>
      <c r="AB4" s="74"/>
      <c r="AC4" s="50">
        <f t="shared" si="2"/>
        <v>0</v>
      </c>
    </row>
    <row r="5" spans="1:31" s="69" customFormat="1" ht="14.25" thickBot="1">
      <c r="A5" s="75"/>
      <c r="B5" s="76" t="s">
        <v>1677</v>
      </c>
      <c r="C5" s="76" t="s">
        <v>1679</v>
      </c>
      <c r="D5" s="77" t="str">
        <f>VLOOKUP($C5,ETF!$A:$V,2,FALSE)</f>
        <v>期元大S&amp;P原油反1</v>
      </c>
      <c r="E5" s="77">
        <f>VLOOKUP($C5,ETF!$A:$V,22,FALSE)</f>
        <v>17.739999999999998</v>
      </c>
      <c r="F5" s="119">
        <f>VLOOKUP($C5,ETF!$A:$V,12,FALSE)</f>
        <v>17.751176906536106</v>
      </c>
      <c r="G5" s="128">
        <f t="shared" si="3"/>
        <v>-11.176906536107367</v>
      </c>
      <c r="H5" s="78">
        <f t="shared" si="4"/>
        <v>-6.2964312704205661E-4</v>
      </c>
      <c r="I5" s="78">
        <f t="shared" si="0"/>
        <v>9.3178075026167928E-4</v>
      </c>
      <c r="J5" s="78">
        <f t="shared" si="1"/>
        <v>0</v>
      </c>
      <c r="K5" s="78">
        <f t="shared" si="1"/>
        <v>-9.3236780924466078E-4</v>
      </c>
      <c r="L5" s="78">
        <f t="shared" si="5"/>
        <v>5.6401579244202971E-4</v>
      </c>
      <c r="M5" s="80">
        <f>VLOOKUP($C5,ETF!$A:$V,22,FALSE)</f>
        <v>17.739999999999998</v>
      </c>
      <c r="N5" s="80">
        <f>VLOOKUP($C5,ETF!$A:$V,20,FALSE)</f>
        <v>17.73</v>
      </c>
      <c r="O5" s="80">
        <f>VLOOKUP($C5,ETF!$A:$V,9,FALSE)</f>
        <v>17.74857393054295</v>
      </c>
      <c r="P5" s="78">
        <f t="shared" si="6"/>
        <v>-1.0465027001964611E-3</v>
      </c>
      <c r="Q5" s="79">
        <f>VLOOKUP($C5,ETF!$A:$V,21,FALSE)</f>
        <v>17.739999999999998</v>
      </c>
      <c r="R5" s="80">
        <f>VLOOKUP($C5,ETF!$A:$V,10,FALSE)</f>
        <v>17.751176906536106</v>
      </c>
      <c r="S5" s="78">
        <f t="shared" si="7"/>
        <v>-6.2964312704205661E-4</v>
      </c>
      <c r="T5" s="122">
        <f>VLOOKUP($C5,資料上傳!$E:$I,5,FALSE)</f>
        <v>17.739999999999998</v>
      </c>
      <c r="U5" s="122">
        <f>VLOOKUP($C5,資料上傳!$E:$I,4,FALSE)</f>
        <v>17.767742978131849</v>
      </c>
      <c r="V5" s="133">
        <f t="shared" si="8"/>
        <v>-27.742978131851004</v>
      </c>
      <c r="W5" s="78">
        <f t="shared" si="9"/>
        <v>-1.5614238773037359E-3</v>
      </c>
      <c r="X5" s="81"/>
      <c r="Y5" s="81"/>
      <c r="Z5" s="81"/>
      <c r="AA5" s="81"/>
      <c r="AB5" s="82"/>
      <c r="AC5" s="69">
        <f t="shared" si="2"/>
        <v>0</v>
      </c>
    </row>
    <row r="6" spans="1:31" ht="14.25" thickBot="1">
      <c r="A6" s="95" t="s">
        <v>1703</v>
      </c>
      <c r="B6" s="145" t="s">
        <v>1704</v>
      </c>
      <c r="C6" s="145" t="s">
        <v>1705</v>
      </c>
      <c r="D6" s="146" t="str">
        <f>VLOOKUP($C6,ETF!$A:$V,2,FALSE)</f>
        <v>期街口S&amp;P黃豆</v>
      </c>
      <c r="E6" s="146">
        <f>VLOOKUP($C6,ETF!$A:$V,22,FALSE)</f>
        <v>24.18</v>
      </c>
      <c r="F6" s="147">
        <f>VLOOKUP($C6,ETF!$A:$V,12,FALSE)</f>
        <v>24.319134515733737</v>
      </c>
      <c r="G6" s="148">
        <f t="shared" ref="G6:G11" si="10">($E6-$F6)*1000</f>
        <v>-139.13451573373692</v>
      </c>
      <c r="H6" s="150">
        <f t="shared" ref="H6:H11" si="11">$E6/$F6-1</f>
        <v>-5.7211952030497004E-3</v>
      </c>
      <c r="I6" s="149">
        <f t="shared" ref="I6:I11" si="12">H6-W6</f>
        <v>-2.7350127816910819E-3</v>
      </c>
      <c r="J6" s="149">
        <f t="shared" ref="J6:K11" si="13">E6/T6-1</f>
        <v>0</v>
      </c>
      <c r="K6" s="149">
        <f t="shared" si="13"/>
        <v>2.7507503614638829E-3</v>
      </c>
      <c r="L6" s="149">
        <f t="shared" ref="L6:L11" si="14">Q6/N6-1</f>
        <v>4.1356492969413239E-4</v>
      </c>
      <c r="M6" s="100">
        <f>VLOOKUP($C6,ETF!$A:$V,22,FALSE)</f>
        <v>24.18</v>
      </c>
      <c r="N6" s="100">
        <f>VLOOKUP($C6,ETF!$A:$V,20,FALSE)</f>
        <v>24.18</v>
      </c>
      <c r="O6" s="100">
        <f>VLOOKUP($C6,ETF!$A:$V,9,FALSE)</f>
        <v>24.315322771439504</v>
      </c>
      <c r="P6" s="101">
        <f t="shared" ref="P6:P11" si="15">IF($O6&lt;&gt;"",$N6/$O6-1,0)</f>
        <v>-5.5653290195453176E-3</v>
      </c>
      <c r="Q6" s="99">
        <f>VLOOKUP($C6,ETF!$A:$V,21,FALSE)</f>
        <v>24.19</v>
      </c>
      <c r="R6" s="100">
        <f>VLOOKUP($C6,ETF!$A:$V,10,FALSE)</f>
        <v>24.322946260027965</v>
      </c>
      <c r="S6" s="101">
        <f t="shared" ref="S6:S11" si="16">IF($R6&lt;&gt;"",$Q6/$R6-1,0)</f>
        <v>-5.4658781303335013E-3</v>
      </c>
      <c r="T6" s="124">
        <f>VLOOKUP($C6,資料上傳!$E:$I,5,FALSE)</f>
        <v>24.18</v>
      </c>
      <c r="U6" s="124">
        <f>VLOOKUP($C6,資料上傳!$E:$I,4,FALSE)</f>
        <v>24.252422156719764</v>
      </c>
      <c r="V6" s="134">
        <f t="shared" ref="V6:V11" si="17">(T6-U6)*1000</f>
        <v>-72.422156719763819</v>
      </c>
      <c r="W6" s="101">
        <f t="shared" ref="W6:W11" si="18">T6/U6-1</f>
        <v>-2.9861824213586186E-3</v>
      </c>
      <c r="X6" s="102"/>
      <c r="Y6" s="102"/>
      <c r="Z6" s="102"/>
      <c r="AA6" s="102"/>
      <c r="AB6" s="103"/>
      <c r="AC6" s="50">
        <f t="shared" ref="AC6:AC11" si="19">(AA6+AB6)</f>
        <v>0</v>
      </c>
    </row>
    <row r="7" spans="1:31">
      <c r="A7" s="83" t="s">
        <v>1692</v>
      </c>
      <c r="B7" s="60" t="s">
        <v>1693</v>
      </c>
      <c r="C7" s="94" t="s">
        <v>1694</v>
      </c>
      <c r="D7" s="61" t="str">
        <f>VLOOKUP($C7,ETF!$A:$V,2,FALSE)</f>
        <v>期元大S&amp;P黃金</v>
      </c>
      <c r="E7" s="61">
        <f>VLOOKUP($C7,ETF!$A:$V,22,FALSE)</f>
        <v>24.46</v>
      </c>
      <c r="F7" s="64">
        <f>VLOOKUP($C7,ETF!$A:$V,12,FALSE)</f>
        <v>24.627037927906816</v>
      </c>
      <c r="G7" s="126">
        <f t="shared" si="10"/>
        <v>-167.03792790681504</v>
      </c>
      <c r="H7" s="62">
        <f t="shared" si="11"/>
        <v>-6.7827047814601471E-3</v>
      </c>
      <c r="I7" s="62">
        <f t="shared" si="12"/>
        <v>-5.412975884739768E-3</v>
      </c>
      <c r="J7" s="62">
        <f t="shared" si="13"/>
        <v>0</v>
      </c>
      <c r="K7" s="62">
        <f t="shared" si="13"/>
        <v>5.4499412271600267E-3</v>
      </c>
      <c r="L7" s="62">
        <f t="shared" si="14"/>
        <v>4.0899795501037062E-4</v>
      </c>
      <c r="M7" s="86">
        <f>VLOOKUP($C7,ETF!$A:$V,22,FALSE)</f>
        <v>24.46</v>
      </c>
      <c r="N7" s="86">
        <f>VLOOKUP($C7,ETF!$A:$V,20,FALSE)</f>
        <v>24.45</v>
      </c>
      <c r="O7" s="86">
        <f>VLOOKUP($C7,ETF!$A:$V,9,FALSE)</f>
        <v>24.625697144722967</v>
      </c>
      <c r="P7" s="87">
        <f t="shared" si="15"/>
        <v>-7.1347074436273195E-3</v>
      </c>
      <c r="Q7" s="85">
        <f>VLOOKUP($C7,ETF!$A:$V,21,FALSE)</f>
        <v>24.46</v>
      </c>
      <c r="R7" s="86">
        <f>VLOOKUP($C7,ETF!$A:$V,10,FALSE)</f>
        <v>24.628378711090665</v>
      </c>
      <c r="S7" s="87">
        <f t="shared" si="16"/>
        <v>-6.836776105559883E-3</v>
      </c>
      <c r="T7" s="123">
        <f>VLOOKUP($C7,資料上傳!$E:$I,5,FALSE)</f>
        <v>24.46</v>
      </c>
      <c r="U7" s="123">
        <f>VLOOKUP($C7,資料上傳!$E:$I,4,FALSE)</f>
        <v>24.493549522564308</v>
      </c>
      <c r="V7" s="132">
        <f t="shared" si="17"/>
        <v>-33.54952256430721</v>
      </c>
      <c r="W7" s="62">
        <f t="shared" si="18"/>
        <v>-1.3697288967203791E-3</v>
      </c>
      <c r="X7" s="65"/>
      <c r="Y7" s="65"/>
      <c r="Z7" s="65"/>
      <c r="AA7" s="65"/>
      <c r="AB7" s="66"/>
      <c r="AC7" s="50">
        <f t="shared" si="19"/>
        <v>0</v>
      </c>
    </row>
    <row r="8" spans="1:31" s="69" customFormat="1">
      <c r="A8" s="67"/>
      <c r="B8" s="68" t="s">
        <v>1693</v>
      </c>
      <c r="C8" s="91" t="s">
        <v>1695</v>
      </c>
      <c r="D8" s="69" t="str">
        <f>VLOOKUP($C8,ETF!$A:$V,2,FALSE)</f>
        <v>期元大S&amp;P黃金反1</v>
      </c>
      <c r="E8" s="69">
        <f>VLOOKUP($C8,ETF!$A:$V,22,FALSE)</f>
        <v>13.14</v>
      </c>
      <c r="F8" s="107">
        <f>VLOOKUP($C8,ETF!$A:$V,12,FALSE)</f>
        <v>13.060195481591904</v>
      </c>
      <c r="G8" s="127">
        <f t="shared" si="10"/>
        <v>79.804518408096214</v>
      </c>
      <c r="H8" s="70">
        <f t="shared" si="11"/>
        <v>6.1105148480036231E-3</v>
      </c>
      <c r="I8" s="70">
        <f t="shared" si="12"/>
        <v>5.5596592641615761E-3</v>
      </c>
      <c r="J8" s="70">
        <f t="shared" si="13"/>
        <v>0</v>
      </c>
      <c r="K8" s="70">
        <f t="shared" si="13"/>
        <v>-5.5258932116433179E-3</v>
      </c>
      <c r="L8" s="70">
        <f t="shared" si="14"/>
        <v>7.6161462300072813E-4</v>
      </c>
      <c r="M8" s="72">
        <f>VLOOKUP($C8,ETF!$A:$V,22,FALSE)</f>
        <v>13.14</v>
      </c>
      <c r="N8" s="72">
        <f>VLOOKUP($C8,ETF!$A:$V,20,FALSE)</f>
        <v>13.13</v>
      </c>
      <c r="O8" s="72">
        <f>VLOOKUP($C8,ETF!$A:$V,9,FALSE)</f>
        <v>13.059473949220733</v>
      </c>
      <c r="P8" s="90">
        <f t="shared" si="15"/>
        <v>5.4003745521062907E-3</v>
      </c>
      <c r="Q8" s="71">
        <f>VLOOKUP($C8,ETF!$A:$V,21,FALSE)</f>
        <v>13.14</v>
      </c>
      <c r="R8" s="72">
        <f>VLOOKUP($C8,ETF!$A:$V,10,FALSE)</f>
        <v>13.060917013963076</v>
      </c>
      <c r="S8" s="90">
        <f t="shared" si="16"/>
        <v>6.0549336583624047E-3</v>
      </c>
      <c r="T8" s="121">
        <f>VLOOKUP($C8,資料上傳!$E:$I,5,FALSE)</f>
        <v>13.14</v>
      </c>
      <c r="U8" s="121">
        <f>VLOOKUP($C8,資料上傳!$E:$I,4,FALSE)</f>
        <v>13.132765742659368</v>
      </c>
      <c r="V8" s="131">
        <f t="shared" si="17"/>
        <v>7.2342573406327659</v>
      </c>
      <c r="W8" s="70">
        <f t="shared" si="18"/>
        <v>5.5085558384204703E-4</v>
      </c>
      <c r="X8" s="73"/>
      <c r="Y8" s="73"/>
      <c r="Z8" s="73"/>
      <c r="AA8" s="73"/>
      <c r="AB8" s="74"/>
      <c r="AC8" s="69">
        <f t="shared" si="19"/>
        <v>0</v>
      </c>
    </row>
    <row r="9" spans="1:31" s="69" customFormat="1">
      <c r="A9" s="67"/>
      <c r="B9" s="68" t="s">
        <v>1693</v>
      </c>
      <c r="C9" s="91" t="s">
        <v>1696</v>
      </c>
      <c r="D9" s="69" t="str">
        <f>VLOOKUP($C9,ETF!$A:$V,2,FALSE)</f>
        <v>期元大S&amp;P黃金正2</v>
      </c>
      <c r="E9" s="69">
        <f>VLOOKUP($C9,ETF!$A:$V,22,FALSE)</f>
        <v>27.32</v>
      </c>
      <c r="F9" s="107">
        <f>VLOOKUP($C9,ETF!$A:$V,12,FALSE)</f>
        <v>27.67947757238333</v>
      </c>
      <c r="G9" s="127">
        <f t="shared" si="10"/>
        <v>-359.47757238333008</v>
      </c>
      <c r="H9" s="70">
        <f t="shared" si="11"/>
        <v>-1.2987151634031968E-2</v>
      </c>
      <c r="I9" s="70">
        <f t="shared" si="12"/>
        <v>-1.0770117793245215E-2</v>
      </c>
      <c r="J9" s="70">
        <f t="shared" si="13"/>
        <v>0</v>
      </c>
      <c r="K9" s="70">
        <f t="shared" si="13"/>
        <v>1.0911831402271588E-2</v>
      </c>
      <c r="L9" s="70">
        <f t="shared" si="14"/>
        <v>3.6616623947272053E-4</v>
      </c>
      <c r="M9" s="72">
        <f>VLOOKUP($C9,ETF!$A:$V,22,FALSE)</f>
        <v>27.32</v>
      </c>
      <c r="N9" s="72">
        <f>VLOOKUP($C9,ETF!$A:$V,20,FALSE)</f>
        <v>27.31</v>
      </c>
      <c r="O9" s="72">
        <f>VLOOKUP($C9,ETF!$A:$V,9,FALSE)</f>
        <v>27.67647713570166</v>
      </c>
      <c r="P9" s="90">
        <f t="shared" si="15"/>
        <v>-1.3241466170162197E-2</v>
      </c>
      <c r="Q9" s="71">
        <f>VLOOKUP($C9,ETF!$A:$V,21,FALSE)</f>
        <v>27.32</v>
      </c>
      <c r="R9" s="72">
        <f>VLOOKUP($C9,ETF!$A:$V,10,FALSE)</f>
        <v>27.682478009065008</v>
      </c>
      <c r="S9" s="90">
        <f t="shared" si="16"/>
        <v>-1.3094131563883504E-2</v>
      </c>
      <c r="T9" s="121">
        <f>VLOOKUP($C9,資料上傳!$E:$I,5,FALSE)</f>
        <v>27.32</v>
      </c>
      <c r="U9" s="121">
        <f>VLOOKUP($C9,資料上傳!$E:$I,4,FALSE)</f>
        <v>27.380703947235585</v>
      </c>
      <c r="V9" s="131">
        <f t="shared" si="17"/>
        <v>-60.703947235584366</v>
      </c>
      <c r="W9" s="70">
        <f t="shared" si="18"/>
        <v>-2.2170338407867529E-3</v>
      </c>
      <c r="X9" s="73"/>
      <c r="Y9" s="73"/>
      <c r="Z9" s="73"/>
      <c r="AA9" s="73"/>
      <c r="AB9" s="74"/>
      <c r="AC9" s="69">
        <f t="shared" si="19"/>
        <v>0</v>
      </c>
    </row>
    <row r="10" spans="1:31" s="69" customFormat="1">
      <c r="A10" s="67"/>
      <c r="B10" s="68" t="s">
        <v>1697</v>
      </c>
      <c r="C10" s="91" t="s">
        <v>1698</v>
      </c>
      <c r="D10" s="69" t="str">
        <f>VLOOKUP($C10,ETF!$A:$V,2,FALSE)</f>
        <v>期元大道瓊白銀</v>
      </c>
      <c r="E10" s="69">
        <f>VLOOKUP($C10,ETF!$A:$V,22,FALSE)</f>
        <v>27.91</v>
      </c>
      <c r="F10" s="107">
        <f>VLOOKUP($C10,ETF!$A:$V,12,FALSE)</f>
        <v>28.241490924961614</v>
      </c>
      <c r="G10" s="127">
        <f t="shared" si="10"/>
        <v>-331.49092496161359</v>
      </c>
      <c r="H10" s="70">
        <f t="shared" si="11"/>
        <v>-1.1737727510293006E-2</v>
      </c>
      <c r="I10" s="70">
        <f t="shared" si="12"/>
        <v>-1.0726320887951113E-2</v>
      </c>
      <c r="J10" s="70">
        <f t="shared" si="13"/>
        <v>0</v>
      </c>
      <c r="K10" s="70">
        <f t="shared" si="13"/>
        <v>1.0853718882669172E-2</v>
      </c>
      <c r="L10" s="70">
        <f t="shared" si="14"/>
        <v>7.1658903618776471E-4</v>
      </c>
      <c r="M10" s="72">
        <f>VLOOKUP($C10,ETF!$A:$V,22,FALSE)</f>
        <v>27.91</v>
      </c>
      <c r="N10" s="72">
        <f>VLOOKUP($C10,ETF!$A:$V,20,FALSE)</f>
        <v>27.91</v>
      </c>
      <c r="O10" s="72">
        <f>VLOOKUP($C10,ETF!$A:$V,9,FALSE)</f>
        <v>28.231156733073682</v>
      </c>
      <c r="P10" s="90">
        <f t="shared" si="15"/>
        <v>-1.1375967910568718E-2</v>
      </c>
      <c r="Q10" s="71">
        <f>VLOOKUP($C10,ETF!$A:$V,21,FALSE)</f>
        <v>27.93</v>
      </c>
      <c r="R10" s="72">
        <f>VLOOKUP($C10,ETF!$A:$V,10,FALSE)</f>
        <v>28.241490924961614</v>
      </c>
      <c r="S10" s="90">
        <f t="shared" si="16"/>
        <v>-1.1029549600948929E-2</v>
      </c>
      <c r="T10" s="121">
        <f>VLOOKUP($C10,資料上傳!$E:$I,5,FALSE)</f>
        <v>27.91</v>
      </c>
      <c r="U10" s="121">
        <f>VLOOKUP($C10,資料上傳!$E:$I,4,FALSE)</f>
        <v>27.938256938083867</v>
      </c>
      <c r="V10" s="131">
        <f t="shared" si="17"/>
        <v>-28.256938083867311</v>
      </c>
      <c r="W10" s="70">
        <f t="shared" si="18"/>
        <v>-1.0114066223418927E-3</v>
      </c>
      <c r="X10" s="73"/>
      <c r="Y10" s="73"/>
      <c r="Z10" s="73"/>
      <c r="AA10" s="73"/>
      <c r="AB10" s="74"/>
      <c r="AC10" s="69">
        <f t="shared" si="19"/>
        <v>0</v>
      </c>
    </row>
    <row r="11" spans="1:31" ht="14.25" thickBot="1">
      <c r="A11" s="75"/>
      <c r="B11" s="76" t="s">
        <v>1699</v>
      </c>
      <c r="C11" s="92" t="s">
        <v>1700</v>
      </c>
      <c r="D11" s="77" t="str">
        <f>VLOOKUP($C11,ETF!$A:$V,2,FALSE)</f>
        <v>期街口道瓊銅</v>
      </c>
      <c r="E11" s="77">
        <f>VLOOKUP($C11,ETF!$A:$V,22,FALSE)</f>
        <v>30.24</v>
      </c>
      <c r="F11" s="119">
        <f>VLOOKUP($C11,ETF!$A:$V,12,FALSE)</f>
        <v>30.280971958180018</v>
      </c>
      <c r="G11" s="128">
        <f t="shared" si="10"/>
        <v>-40.971958180019641</v>
      </c>
      <c r="H11" s="78">
        <f t="shared" si="11"/>
        <v>-1.3530595463251416E-3</v>
      </c>
      <c r="I11" s="78">
        <f t="shared" si="12"/>
        <v>-3.7470227242095699E-3</v>
      </c>
      <c r="J11" s="78">
        <f t="shared" si="13"/>
        <v>0</v>
      </c>
      <c r="K11" s="78">
        <f t="shared" si="13"/>
        <v>3.7520995383084621E-3</v>
      </c>
      <c r="L11" s="78">
        <f t="shared" si="14"/>
        <v>3.3079722130335831E-4</v>
      </c>
      <c r="M11" s="80">
        <f>VLOOKUP($C11,ETF!$A:$V,22,FALSE)</f>
        <v>30.24</v>
      </c>
      <c r="N11" s="80">
        <f>VLOOKUP($C11,ETF!$A:$V,20,FALSE)</f>
        <v>30.23</v>
      </c>
      <c r="O11" s="80">
        <f>VLOOKUP($C11,ETF!$A:$V,9,FALSE)</f>
        <v>30.274522300516168</v>
      </c>
      <c r="P11" s="93">
        <f t="shared" si="15"/>
        <v>-1.470619422966335E-3</v>
      </c>
      <c r="Q11" s="79">
        <f>VLOOKUP($C11,ETF!$A:$V,21,FALSE)</f>
        <v>30.24</v>
      </c>
      <c r="R11" s="80">
        <f>VLOOKUP($C11,ETF!$A:$V,10,FALSE)</f>
        <v>30.284196787011947</v>
      </c>
      <c r="S11" s="93">
        <f t="shared" si="16"/>
        <v>-1.459400997912641E-3</v>
      </c>
      <c r="T11" s="122">
        <f>VLOOKUP($C11,資料上傳!$E:$I,5,FALSE)</f>
        <v>30.24</v>
      </c>
      <c r="U11" s="122">
        <f>VLOOKUP($C11,資料上傳!$E:$I,4,FALSE)</f>
        <v>30.167779446845714</v>
      </c>
      <c r="V11" s="133">
        <f t="shared" si="17"/>
        <v>72.220553154284772</v>
      </c>
      <c r="W11" s="78">
        <f t="shared" si="18"/>
        <v>2.3939631778844284E-3</v>
      </c>
      <c r="X11" s="81"/>
      <c r="Y11" s="81"/>
      <c r="Z11" s="81"/>
      <c r="AA11" s="81"/>
      <c r="AB11" s="82"/>
      <c r="AC11" s="50">
        <f t="shared" si="19"/>
        <v>0</v>
      </c>
    </row>
    <row r="12" spans="1:31">
      <c r="A12" s="83" t="s">
        <v>1680</v>
      </c>
      <c r="B12" s="60" t="s">
        <v>1681</v>
      </c>
      <c r="C12" s="84" t="s">
        <v>1682</v>
      </c>
      <c r="D12" s="61" t="str">
        <f>VLOOKUP($C12,ETF!$A:$V,2,FALSE)</f>
        <v>國泰美國道瓊</v>
      </c>
      <c r="E12" s="61">
        <f>VLOOKUP($C12,ETF!$A:$V,22,FALSE)</f>
        <v>34.549999999999997</v>
      </c>
      <c r="F12" s="64">
        <f>VLOOKUP($C12,ETF!$A:$V,12,FALSE)</f>
        <v>34.44</v>
      </c>
      <c r="G12" s="126">
        <f t="shared" si="3"/>
        <v>109.99999999999943</v>
      </c>
      <c r="H12" s="62">
        <f t="shared" si="4"/>
        <v>3.1939605110336E-3</v>
      </c>
      <c r="I12" s="62">
        <f t="shared" si="0"/>
        <v>0</v>
      </c>
      <c r="J12" s="62">
        <f t="shared" si="1"/>
        <v>0</v>
      </c>
      <c r="K12" s="62">
        <f t="shared" si="1"/>
        <v>0</v>
      </c>
      <c r="L12" s="62">
        <f t="shared" si="5"/>
        <v>2.6117237376668268E-3</v>
      </c>
      <c r="M12" s="86">
        <f>VLOOKUP($C12,ETF!$A:$V,22,FALSE)</f>
        <v>34.549999999999997</v>
      </c>
      <c r="N12" s="86">
        <f>VLOOKUP($C12,ETF!$A:$V,20,FALSE)</f>
        <v>34.46</v>
      </c>
      <c r="O12" s="86"/>
      <c r="P12" s="87"/>
      <c r="Q12" s="85">
        <f>VLOOKUP($C12,ETF!$A:$V,21,FALSE)</f>
        <v>34.549999999999997</v>
      </c>
      <c r="R12" s="86"/>
      <c r="S12" s="87"/>
      <c r="T12" s="123">
        <f>VLOOKUP($C12,資料上傳!$E:$I,5,FALSE)</f>
        <v>34.549999999999997</v>
      </c>
      <c r="U12" s="123">
        <f>VLOOKUP($C12,資料上傳!$E:$I,4,FALSE)</f>
        <v>34.44</v>
      </c>
      <c r="V12" s="132">
        <f t="shared" si="8"/>
        <v>109.99999999999943</v>
      </c>
      <c r="W12" s="62">
        <f t="shared" si="9"/>
        <v>3.1939605110336E-3</v>
      </c>
      <c r="X12" s="65"/>
      <c r="Y12" s="65"/>
      <c r="Z12" s="65"/>
      <c r="AA12" s="65"/>
      <c r="AB12" s="66"/>
      <c r="AC12" s="50">
        <f t="shared" si="2"/>
        <v>0</v>
      </c>
    </row>
    <row r="13" spans="1:31">
      <c r="A13" s="88"/>
      <c r="B13" s="68" t="s">
        <v>1681</v>
      </c>
      <c r="C13" s="89" t="s">
        <v>440</v>
      </c>
      <c r="D13" s="69" t="str">
        <f>VLOOKUP($C13,ETF!$A:$V,2,FALSE)</f>
        <v>國泰美國道瓊正2</v>
      </c>
      <c r="E13" s="69">
        <f>VLOOKUP($C13,ETF!$A:$V,22,FALSE)</f>
        <v>20.36</v>
      </c>
      <c r="F13" s="107">
        <f>VLOOKUP($C13,ETF!$A:$V,12,FALSE)</f>
        <v>20.424777460553393</v>
      </c>
      <c r="G13" s="127">
        <f t="shared" si="3"/>
        <v>-64.777460553393951</v>
      </c>
      <c r="H13" s="70">
        <f>$E13/$F13-1</f>
        <v>-3.1715136519112619E-3</v>
      </c>
      <c r="I13" s="70">
        <f>H13-W13</f>
        <v>-4.0454030649073047E-4</v>
      </c>
      <c r="J13" s="70">
        <f>E13/T13-1</f>
        <v>0</v>
      </c>
      <c r="K13" s="70">
        <f>F13/U13-1</f>
        <v>4.0582739360983666E-4</v>
      </c>
      <c r="L13" s="70">
        <f>Q13/N13-1</f>
        <v>1.9646365422396617E-3</v>
      </c>
      <c r="M13" s="72">
        <f>VLOOKUP($C13,ETF!$A:$V,22,FALSE)</f>
        <v>20.36</v>
      </c>
      <c r="N13" s="72">
        <f>VLOOKUP($C13,ETF!$A:$V,20,FALSE)</f>
        <v>20.36</v>
      </c>
      <c r="O13" s="72">
        <f>VLOOKUP($C13,ETF!$A:$V,9,FALSE)</f>
        <v>20.423593807454836</v>
      </c>
      <c r="P13" s="90">
        <f t="shared" si="6"/>
        <v>-3.113742275447362E-3</v>
      </c>
      <c r="Q13" s="71">
        <f>VLOOKUP($C13,ETF!$A:$V,21,FALSE)</f>
        <v>20.399999999999999</v>
      </c>
      <c r="R13" s="72">
        <f>VLOOKUP($C13,ETF!$A:$V,10,FALSE)</f>
        <v>20.425961113651958</v>
      </c>
      <c r="S13" s="90">
        <f t="shared" si="7"/>
        <v>-1.270986148828368E-3</v>
      </c>
      <c r="T13" s="121">
        <f>VLOOKUP($C13,資料上傳!$E:$I,5,FALSE)</f>
        <v>20.36</v>
      </c>
      <c r="U13" s="121">
        <f>VLOOKUP($C13,資料上傳!$E:$I,4,FALSE)</f>
        <v>20.416491888863479</v>
      </c>
      <c r="V13" s="131">
        <f t="shared" si="8"/>
        <v>-56.49188886348</v>
      </c>
      <c r="W13" s="70">
        <f t="shared" si="9"/>
        <v>-2.7669733454205314E-3</v>
      </c>
      <c r="X13" s="73"/>
      <c r="Y13" s="73"/>
      <c r="Z13" s="73"/>
      <c r="AA13" s="73"/>
      <c r="AB13" s="74"/>
      <c r="AC13" s="50">
        <f t="shared" si="2"/>
        <v>0</v>
      </c>
    </row>
    <row r="14" spans="1:31">
      <c r="A14" s="88"/>
      <c r="B14" s="68" t="s">
        <v>1681</v>
      </c>
      <c r="C14" s="89" t="s">
        <v>1683</v>
      </c>
      <c r="D14" s="69" t="str">
        <f>VLOOKUP($C14,ETF!$A:$V,2,FALSE)</f>
        <v>國泰美國道瓊反1</v>
      </c>
      <c r="E14" s="69">
        <f>VLOOKUP($C14,ETF!$A:$V,22,FALSE)</f>
        <v>8.17</v>
      </c>
      <c r="F14" s="107">
        <f>VLOOKUP($C14,ETF!$A:$V,12,FALSE)</f>
        <v>8.1643330170814679</v>
      </c>
      <c r="G14" s="127">
        <f t="shared" si="3"/>
        <v>5.6669829185320708</v>
      </c>
      <c r="H14" s="70">
        <f t="shared" si="4"/>
        <v>6.9411462108126543E-4</v>
      </c>
      <c r="I14" s="70">
        <f t="shared" si="0"/>
        <v>2.4465952509622468E-4</v>
      </c>
      <c r="J14" s="70">
        <f t="shared" si="1"/>
        <v>0</v>
      </c>
      <c r="K14" s="70">
        <f t="shared" si="1"/>
        <v>-2.4448982113656204E-4</v>
      </c>
      <c r="L14" s="70">
        <f t="shared" si="5"/>
        <v>1.223990208078396E-3</v>
      </c>
      <c r="M14" s="72">
        <f>VLOOKUP($C14,ETF!$A:$V,22,FALSE)</f>
        <v>8.17</v>
      </c>
      <c r="N14" s="72">
        <f>VLOOKUP($C14,ETF!$A:$V,20,FALSE)</f>
        <v>8.17</v>
      </c>
      <c r="O14" s="72">
        <f>VLOOKUP($C14,ETF!$A:$V,9,FALSE)</f>
        <v>8.1640865432952552</v>
      </c>
      <c r="P14" s="90">
        <f t="shared" si="6"/>
        <v>7.2432557805268694E-4</v>
      </c>
      <c r="Q14" s="71">
        <f>VLOOKUP($C14,ETF!$A:$V,21,FALSE)</f>
        <v>8.18</v>
      </c>
      <c r="R14" s="72">
        <f>VLOOKUP($C14,ETF!$A:$V,10,FALSE)</f>
        <v>8.1645794908676805</v>
      </c>
      <c r="S14" s="90">
        <f t="shared" si="7"/>
        <v>1.8887083100320723E-3</v>
      </c>
      <c r="T14" s="121">
        <f>VLOOKUP($C14,資料上傳!$E:$I,5,FALSE)</f>
        <v>8.17</v>
      </c>
      <c r="U14" s="121">
        <f>VLOOKUP($C14,資料上傳!$E:$I,4,FALSE)</f>
        <v>8.1663296015450921</v>
      </c>
      <c r="V14" s="131">
        <f t="shared" si="8"/>
        <v>3.6703984549077973</v>
      </c>
      <c r="W14" s="70">
        <f t="shared" si="9"/>
        <v>4.4945509598504074E-4</v>
      </c>
      <c r="X14" s="73"/>
      <c r="Y14" s="73"/>
      <c r="Z14" s="73"/>
      <c r="AA14" s="73"/>
      <c r="AB14" s="74"/>
      <c r="AC14" s="50">
        <f t="shared" si="2"/>
        <v>0</v>
      </c>
    </row>
    <row r="15" spans="1:31">
      <c r="A15" s="67"/>
      <c r="B15" s="68" t="s">
        <v>1684</v>
      </c>
      <c r="C15" s="91" t="s">
        <v>72</v>
      </c>
      <c r="D15" s="69" t="str">
        <f>VLOOKUP($C15,ETF!$A:$V,2,FALSE)</f>
        <v>富邦NASDAQ正2</v>
      </c>
      <c r="E15" s="69">
        <f>VLOOKUP($C15,ETF!$A:$V,22,FALSE)</f>
        <v>84.05</v>
      </c>
      <c r="F15" s="107">
        <f>VLOOKUP($C15,ETF!$A:$V,12,FALSE)</f>
        <v>84.142946529031718</v>
      </c>
      <c r="G15" s="127">
        <f t="shared" si="3"/>
        <v>-92.94652903172107</v>
      </c>
      <c r="H15" s="70">
        <f>$E15/$F15-1</f>
        <v>-1.1046265060333793E-3</v>
      </c>
      <c r="I15" s="70">
        <f>H15-W15</f>
        <v>-1.4434035271632117E-3</v>
      </c>
      <c r="J15" s="70">
        <f t="shared" si="1"/>
        <v>0</v>
      </c>
      <c r="K15" s="70">
        <f t="shared" si="1"/>
        <v>1.4449997121466218E-3</v>
      </c>
      <c r="L15" s="70">
        <f>Q15/N15-1</f>
        <v>5.9523809523809312E-4</v>
      </c>
      <c r="M15" s="72">
        <f>VLOOKUP($C15,ETF!$A:$V,22,FALSE)</f>
        <v>84.05</v>
      </c>
      <c r="N15" s="72">
        <f>VLOOKUP($C15,ETF!$A:$V,20,FALSE)</f>
        <v>84</v>
      </c>
      <c r="O15" s="72">
        <f>VLOOKUP($C15,ETF!$A:$V,9,FALSE)</f>
        <v>84.142946529031704</v>
      </c>
      <c r="P15" s="90">
        <f t="shared" si="6"/>
        <v>-1.6988533790218696E-3</v>
      </c>
      <c r="Q15" s="71">
        <f>VLOOKUP($C15,ETF!$A:$V,21,FALSE)</f>
        <v>84.05</v>
      </c>
      <c r="R15" s="72">
        <f>VLOOKUP($C15,ETF!$A:$V,10,FALSE)</f>
        <v>84.158695685519007</v>
      </c>
      <c r="S15" s="90">
        <f t="shared" si="7"/>
        <v>-1.2915562038315898E-3</v>
      </c>
      <c r="T15" s="121">
        <f>VLOOKUP($C15,資料上傳!$E:$I,5,FALSE)</f>
        <v>84.05</v>
      </c>
      <c r="U15" s="121">
        <f>VLOOKUP($C15,資料上傳!$E:$I,4,FALSE)</f>
        <v>84.021535434514732</v>
      </c>
      <c r="V15" s="131">
        <f t="shared" si="8"/>
        <v>28.464565485265325</v>
      </c>
      <c r="W15" s="70">
        <f t="shared" si="9"/>
        <v>3.3877702112983243E-4</v>
      </c>
      <c r="X15" s="73"/>
      <c r="Y15" s="73"/>
      <c r="Z15" s="73"/>
      <c r="AA15" s="73"/>
      <c r="AB15" s="74"/>
      <c r="AC15" s="50">
        <f t="shared" si="2"/>
        <v>0</v>
      </c>
    </row>
    <row r="16" spans="1:31">
      <c r="A16" s="67"/>
      <c r="B16" s="68" t="s">
        <v>1684</v>
      </c>
      <c r="C16" s="91" t="s">
        <v>73</v>
      </c>
      <c r="D16" s="69" t="str">
        <f>VLOOKUP($C16,ETF!$A:$V,2,FALSE)</f>
        <v>富邦NASDAQ反1</v>
      </c>
      <c r="E16" s="69">
        <f>VLOOKUP($C16,ETF!$A:$V,22,FALSE)</f>
        <v>6.17</v>
      </c>
      <c r="F16" s="107">
        <f>VLOOKUP($C16,ETF!$A:$V,12,FALSE)</f>
        <v>6.16222799730975</v>
      </c>
      <c r="G16" s="127">
        <f t="shared" si="3"/>
        <v>7.7720026902499129</v>
      </c>
      <c r="H16" s="70">
        <f>$E16/$F16-1</f>
        <v>1.2612325758869503E-3</v>
      </c>
      <c r="I16" s="70">
        <f>H16-W16</f>
        <v>8.093894911094246E-4</v>
      </c>
      <c r="J16" s="70">
        <f t="shared" si="1"/>
        <v>0</v>
      </c>
      <c r="K16" s="70">
        <f t="shared" si="1"/>
        <v>-8.0836994859700972E-4</v>
      </c>
      <c r="L16" s="70">
        <f>Q16/N16-1</f>
        <v>1.6233766233766378E-3</v>
      </c>
      <c r="M16" s="72">
        <f>VLOOKUP($C16,ETF!$A:$V,22,FALSE)</f>
        <v>6.17</v>
      </c>
      <c r="N16" s="72">
        <f>VLOOKUP($C16,ETF!$A:$V,20,FALSE)</f>
        <v>6.16</v>
      </c>
      <c r="O16" s="72">
        <f>VLOOKUP($C16,ETF!$A:$V,9,FALSE)</f>
        <v>6.161624158060401</v>
      </c>
      <c r="P16" s="90">
        <f t="shared" si="6"/>
        <v>-2.6359252345442563E-4</v>
      </c>
      <c r="Q16" s="71">
        <f>VLOOKUP($C16,ETF!$A:$V,21,FALSE)</f>
        <v>6.17</v>
      </c>
      <c r="R16" s="72">
        <f>VLOOKUP($C16,ETF!$A:$V,10,FALSE)</f>
        <v>6.16222799730975</v>
      </c>
      <c r="S16" s="90">
        <f t="shared" si="7"/>
        <v>1.2612325758869503E-3</v>
      </c>
      <c r="T16" s="121">
        <f>VLOOKUP($C16,資料上傳!$E:$I,5,FALSE)</f>
        <v>6.17</v>
      </c>
      <c r="U16" s="121">
        <f>VLOOKUP($C16,資料上傳!$E:$I,4,FALSE)</f>
        <v>6.1672133872786112</v>
      </c>
      <c r="V16" s="131">
        <f t="shared" si="8"/>
        <v>2.7866127213886926</v>
      </c>
      <c r="W16" s="70">
        <f t="shared" si="9"/>
        <v>4.5184308477752566E-4</v>
      </c>
      <c r="X16" s="73"/>
      <c r="Y16" s="73"/>
      <c r="Z16" s="73"/>
      <c r="AA16" s="73"/>
      <c r="AB16" s="74"/>
      <c r="AC16" s="50">
        <f t="shared" si="2"/>
        <v>0</v>
      </c>
    </row>
    <row r="17" spans="1:29">
      <c r="A17" s="67"/>
      <c r="B17" s="68" t="s">
        <v>1684</v>
      </c>
      <c r="C17" s="91" t="s">
        <v>1685</v>
      </c>
      <c r="D17" s="69" t="str">
        <f>VLOOKUP($C17,ETF!$A:$V,2,FALSE)</f>
        <v>元大全球未來通訊</v>
      </c>
      <c r="E17" s="69">
        <f>VLOOKUP($C17,ETF!$A:$V,22,FALSE)</f>
        <v>27.61</v>
      </c>
      <c r="F17" s="107">
        <f>VLOOKUP($C17,ETF!$A:$V,12,FALSE)</f>
        <v>27.59</v>
      </c>
      <c r="G17" s="127">
        <f t="shared" si="3"/>
        <v>19.999999999999574</v>
      </c>
      <c r="H17" s="70">
        <f>$E17/$F17-1</f>
        <v>7.2490032620509126E-4</v>
      </c>
      <c r="I17" s="70">
        <f>H17-W17</f>
        <v>0</v>
      </c>
      <c r="J17" s="70">
        <f t="shared" si="1"/>
        <v>0</v>
      </c>
      <c r="K17" s="70">
        <f t="shared" si="1"/>
        <v>0</v>
      </c>
      <c r="L17" s="70">
        <f>Q17/N17-1</f>
        <v>3.621876131836288E-4</v>
      </c>
      <c r="M17" s="72">
        <f>VLOOKUP($C17,ETF!$A:$V,22,FALSE)</f>
        <v>27.61</v>
      </c>
      <c r="N17" s="72">
        <f>VLOOKUP($C17,ETF!$A:$V,20,FALSE)</f>
        <v>27.61</v>
      </c>
      <c r="O17" s="72"/>
      <c r="P17" s="90"/>
      <c r="Q17" s="71">
        <f>VLOOKUP($C17,ETF!$A:$V,21,FALSE)</f>
        <v>27.62</v>
      </c>
      <c r="R17" s="72"/>
      <c r="S17" s="90"/>
      <c r="T17" s="121">
        <f>VLOOKUP($C17,資料上傳!$E:$I,5,FALSE)</f>
        <v>27.61</v>
      </c>
      <c r="U17" s="121">
        <f>VLOOKUP($C17,資料上傳!$E:$I,4,FALSE)</f>
        <v>27.59</v>
      </c>
      <c r="V17" s="131">
        <f t="shared" si="8"/>
        <v>19.999999999999574</v>
      </c>
      <c r="W17" s="70">
        <f t="shared" si="9"/>
        <v>7.2490032620509126E-4</v>
      </c>
      <c r="X17" s="73"/>
      <c r="Y17" s="73"/>
      <c r="Z17" s="73"/>
      <c r="AA17" s="73"/>
      <c r="AB17" s="74"/>
      <c r="AC17" s="50">
        <f t="shared" si="2"/>
        <v>0</v>
      </c>
    </row>
    <row r="18" spans="1:29">
      <c r="A18" s="88"/>
      <c r="B18" s="68" t="s">
        <v>1684</v>
      </c>
      <c r="C18" s="91" t="s">
        <v>1686</v>
      </c>
      <c r="D18" s="69" t="str">
        <f>VLOOKUP($C18,ETF!$A:$V,2,FALSE)</f>
        <v>國泰網路資安</v>
      </c>
      <c r="E18" s="69">
        <f>VLOOKUP($C18,ETF!$A:$V,22,FALSE)</f>
        <v>29.48</v>
      </c>
      <c r="F18" s="107">
        <f>VLOOKUP($C18,ETF!$A:$V,12,FALSE)</f>
        <v>29.37</v>
      </c>
      <c r="G18" s="127">
        <f t="shared" si="3"/>
        <v>109.99999999999943</v>
      </c>
      <c r="H18" s="70">
        <f t="shared" si="4"/>
        <v>3.7453183520599342E-3</v>
      </c>
      <c r="I18" s="70">
        <f t="shared" si="0"/>
        <v>0</v>
      </c>
      <c r="J18" s="70">
        <f t="shared" si="1"/>
        <v>0</v>
      </c>
      <c r="K18" s="70">
        <f t="shared" si="1"/>
        <v>0</v>
      </c>
      <c r="L18" s="70">
        <f t="shared" si="5"/>
        <v>1.0186757215620013E-3</v>
      </c>
      <c r="M18" s="72">
        <f>VLOOKUP($C18,ETF!$A:$V,22,FALSE)</f>
        <v>29.48</v>
      </c>
      <c r="N18" s="72">
        <f>VLOOKUP($C18,ETF!$A:$V,20,FALSE)</f>
        <v>29.45</v>
      </c>
      <c r="O18" s="72"/>
      <c r="P18" s="90"/>
      <c r="Q18" s="71">
        <f>VLOOKUP($C18,ETF!$A:$V,21,FALSE)</f>
        <v>29.48</v>
      </c>
      <c r="R18" s="72"/>
      <c r="S18" s="90"/>
      <c r="T18" s="121">
        <f>VLOOKUP($C18,資料上傳!$E:$I,5,FALSE)</f>
        <v>29.48</v>
      </c>
      <c r="U18" s="121">
        <f>VLOOKUP($C18,資料上傳!$E:$I,4,FALSE)</f>
        <v>29.37</v>
      </c>
      <c r="V18" s="131">
        <f t="shared" si="8"/>
        <v>109.99999999999943</v>
      </c>
      <c r="W18" s="70">
        <f t="shared" si="9"/>
        <v>3.7453183520599342E-3</v>
      </c>
      <c r="X18" s="73"/>
      <c r="Y18" s="73"/>
      <c r="Z18" s="73"/>
      <c r="AA18" s="73"/>
      <c r="AB18" s="74"/>
      <c r="AC18" s="50">
        <f t="shared" si="2"/>
        <v>0</v>
      </c>
    </row>
    <row r="19" spans="1:29">
      <c r="A19" s="67"/>
      <c r="B19" s="68" t="s">
        <v>1687</v>
      </c>
      <c r="C19" s="91" t="s">
        <v>48</v>
      </c>
      <c r="D19" s="69" t="str">
        <f>VLOOKUP($C19,ETF!$A:$V,2,FALSE)</f>
        <v>元大S&amp;P500正2</v>
      </c>
      <c r="E19" s="69">
        <f>VLOOKUP($C19,ETF!$A:$V,22,FALSE)</f>
        <v>60.35</v>
      </c>
      <c r="F19" s="107">
        <f>VLOOKUP($C19,ETF!$A:$V,12,FALSE)</f>
        <v>60.416474351059613</v>
      </c>
      <c r="G19" s="127">
        <f t="shared" si="3"/>
        <v>-66.474351059611081</v>
      </c>
      <c r="H19" s="70">
        <f t="shared" si="4"/>
        <v>-1.1002686233121395E-3</v>
      </c>
      <c r="I19" s="70">
        <f t="shared" si="0"/>
        <v>-2.2766084504644013E-4</v>
      </c>
      <c r="J19" s="70">
        <f t="shared" si="1"/>
        <v>0</v>
      </c>
      <c r="K19" s="70">
        <f t="shared" si="1"/>
        <v>2.2791160903867791E-4</v>
      </c>
      <c r="L19" s="70">
        <f t="shared" si="5"/>
        <v>8.2850041425008847E-4</v>
      </c>
      <c r="M19" s="72">
        <f>VLOOKUP($C19,ETF!$A:$V,22,FALSE)</f>
        <v>60.35</v>
      </c>
      <c r="N19" s="72">
        <f>VLOOKUP($C19,ETF!$A:$V,20,FALSE)</f>
        <v>60.35</v>
      </c>
      <c r="O19" s="72">
        <f>VLOOKUP($C19,ETF!$A:$V,9,FALSE)</f>
        <v>60.416474351059613</v>
      </c>
      <c r="P19" s="90">
        <f t="shared" si="6"/>
        <v>-1.1002686233121395E-3</v>
      </c>
      <c r="Q19" s="71">
        <f>VLOOKUP($C19,ETF!$A:$V,21,FALSE)</f>
        <v>60.4</v>
      </c>
      <c r="R19" s="72">
        <f>VLOOKUP($C19,ETF!$A:$V,10,FALSE)</f>
        <v>60.43089895383175</v>
      </c>
      <c r="S19" s="90">
        <f t="shared" si="7"/>
        <v>-5.1131051112374148E-4</v>
      </c>
      <c r="T19" s="121">
        <f>VLOOKUP($C19,資料上傳!$E:$I,5,FALSE)</f>
        <v>60.35</v>
      </c>
      <c r="U19" s="121">
        <f>VLOOKUP($C19,資料上傳!$E:$I,4,FALSE)</f>
        <v>60.402707872718047</v>
      </c>
      <c r="V19" s="131">
        <f t="shared" si="8"/>
        <v>-52.707872718045223</v>
      </c>
      <c r="W19" s="70">
        <f t="shared" si="9"/>
        <v>-8.7260777826569935E-4</v>
      </c>
      <c r="X19" s="73"/>
      <c r="Y19" s="73"/>
      <c r="Z19" s="73"/>
      <c r="AA19" s="73"/>
      <c r="AB19" s="74"/>
      <c r="AC19" s="50">
        <f t="shared" si="2"/>
        <v>0</v>
      </c>
    </row>
    <row r="20" spans="1:29" ht="14.25" thickBot="1">
      <c r="A20" s="75"/>
      <c r="B20" s="76" t="s">
        <v>1687</v>
      </c>
      <c r="C20" s="92" t="s">
        <v>49</v>
      </c>
      <c r="D20" s="77" t="str">
        <f>VLOOKUP($C20,ETF!$A:$V,2,FALSE)</f>
        <v>元大S&amp;P500反1</v>
      </c>
      <c r="E20" s="77">
        <f>VLOOKUP($C20,ETF!$A:$V,22,FALSE)</f>
        <v>7.5</v>
      </c>
      <c r="F20" s="119">
        <f>VLOOKUP($C20,ETF!$A:$V,12,FALSE)</f>
        <v>7.4842955843688852</v>
      </c>
      <c r="G20" s="128">
        <f t="shared" si="3"/>
        <v>15.704415631114799</v>
      </c>
      <c r="H20" s="78">
        <f t="shared" si="4"/>
        <v>2.0983157939291619E-3</v>
      </c>
      <c r="I20" s="78">
        <f t="shared" si="0"/>
        <v>2.3235497309936903E-4</v>
      </c>
      <c r="J20" s="78">
        <f t="shared" si="1"/>
        <v>0</v>
      </c>
      <c r="K20" s="78">
        <f t="shared" si="1"/>
        <v>-2.3186843988975969E-4</v>
      </c>
      <c r="L20" s="78">
        <f t="shared" si="5"/>
        <v>1.3333333333334085E-3</v>
      </c>
      <c r="M20" s="80">
        <f>VLOOKUP($C20,ETF!$A:$V,22,FALSE)</f>
        <v>7.5</v>
      </c>
      <c r="N20" s="80">
        <f>VLOOKUP($C20,ETF!$A:$V,20,FALSE)</f>
        <v>7.5</v>
      </c>
      <c r="O20" s="80">
        <f>VLOOKUP($C20,ETF!$A:$V,9,FALSE)</f>
        <v>7.4833576597957281</v>
      </c>
      <c r="P20" s="93">
        <f t="shared" si="6"/>
        <v>2.2239135105999175E-3</v>
      </c>
      <c r="Q20" s="79">
        <f>VLOOKUP($C20,ETF!$A:$V,21,FALSE)</f>
        <v>7.51</v>
      </c>
      <c r="R20" s="80">
        <f>VLOOKUP($C20,ETF!$A:$V,10,FALSE)</f>
        <v>7.4842955843688852</v>
      </c>
      <c r="S20" s="93">
        <f t="shared" si="7"/>
        <v>3.434446881654285E-3</v>
      </c>
      <c r="T20" s="122">
        <f>VLOOKUP($C20,資料上傳!$E:$I,5,FALSE)</f>
        <v>7.5</v>
      </c>
      <c r="U20" s="122">
        <f>VLOOKUP($C20,資料上傳!$E:$I,4,FALSE)</f>
        <v>7.4860313587810117</v>
      </c>
      <c r="V20" s="133">
        <f t="shared" si="8"/>
        <v>13.968641218988331</v>
      </c>
      <c r="W20" s="78">
        <f t="shared" si="9"/>
        <v>1.8659608208297929E-3</v>
      </c>
      <c r="X20" s="81"/>
      <c r="Y20" s="81"/>
      <c r="Z20" s="81"/>
      <c r="AA20" s="81"/>
      <c r="AB20" s="82"/>
      <c r="AC20" s="50">
        <f t="shared" si="2"/>
        <v>0</v>
      </c>
    </row>
    <row r="21" spans="1:29">
      <c r="A21" s="83" t="s">
        <v>1688</v>
      </c>
      <c r="B21" s="60" t="s">
        <v>1689</v>
      </c>
      <c r="C21" s="84" t="s">
        <v>46</v>
      </c>
      <c r="D21" s="61" t="str">
        <f>VLOOKUP($C21,ETF!$A:$V,2,FALSE)</f>
        <v>富邦日本</v>
      </c>
      <c r="E21" s="61">
        <f>VLOOKUP($C21,ETF!$A:$V,22,FALSE)</f>
        <v>24.56</v>
      </c>
      <c r="F21" s="64">
        <f>VLOOKUP($C21,ETF!$A:$V,12,FALSE)</f>
        <v>24.68</v>
      </c>
      <c r="G21" s="126">
        <f t="shared" si="3"/>
        <v>-120.00000000000099</v>
      </c>
      <c r="H21" s="62">
        <f t="shared" si="4"/>
        <v>-4.8622366288493257E-3</v>
      </c>
      <c r="I21" s="62">
        <f t="shared" si="0"/>
        <v>0</v>
      </c>
      <c r="J21" s="62">
        <f t="shared" si="1"/>
        <v>0</v>
      </c>
      <c r="K21" s="62">
        <f t="shared" si="1"/>
        <v>0</v>
      </c>
      <c r="L21" s="62">
        <f t="shared" si="5"/>
        <v>1.2210012210012167E-3</v>
      </c>
      <c r="M21" s="86">
        <f>VLOOKUP($C21,ETF!$A:$V,22,FALSE)</f>
        <v>24.56</v>
      </c>
      <c r="N21" s="86">
        <f>VLOOKUP($C21,ETF!$A:$V,20,FALSE)</f>
        <v>24.57</v>
      </c>
      <c r="O21" s="86"/>
      <c r="P21" s="87"/>
      <c r="Q21" s="85">
        <f>VLOOKUP($C21,ETF!$A:$V,21,FALSE)</f>
        <v>24.6</v>
      </c>
      <c r="R21" s="86"/>
      <c r="S21" s="87"/>
      <c r="T21" s="123">
        <f>VLOOKUP($C21,資料上傳!$E:$I,5,FALSE)</f>
        <v>24.56</v>
      </c>
      <c r="U21" s="123">
        <f>VLOOKUP($C21,資料上傳!$E:$I,4,FALSE)</f>
        <v>24.68</v>
      </c>
      <c r="V21" s="132">
        <f t="shared" si="8"/>
        <v>-120.00000000000099</v>
      </c>
      <c r="W21" s="62">
        <f t="shared" si="9"/>
        <v>-4.8622366288493257E-3</v>
      </c>
      <c r="X21" s="65"/>
      <c r="Y21" s="65"/>
      <c r="Z21" s="65"/>
      <c r="AA21" s="65"/>
      <c r="AB21" s="66"/>
      <c r="AC21" s="50">
        <f t="shared" si="2"/>
        <v>0</v>
      </c>
    </row>
    <row r="22" spans="1:29">
      <c r="A22" s="88"/>
      <c r="B22" s="68" t="s">
        <v>1690</v>
      </c>
      <c r="C22" s="89" t="s">
        <v>41</v>
      </c>
      <c r="D22" s="69" t="str">
        <f>VLOOKUP($C22,ETF!$A:$V,2,FALSE)</f>
        <v>富邦日本正2</v>
      </c>
      <c r="E22" s="69">
        <f>VLOOKUP($C22,ETF!$A:$V,22,FALSE)</f>
        <v>26.95</v>
      </c>
      <c r="F22" s="107">
        <f>VLOOKUP($C22,ETF!$A:$V,12,FALSE)</f>
        <v>26.847061626761306</v>
      </c>
      <c r="G22" s="127">
        <f t="shared" si="3"/>
        <v>102.93837323869326</v>
      </c>
      <c r="H22" s="70">
        <f>$E22/$F22-1</f>
        <v>3.8342510130078278E-3</v>
      </c>
      <c r="I22" s="70">
        <f>H22-W22</f>
        <v>6.1899050937092026E-3</v>
      </c>
      <c r="J22" s="70">
        <f>E22/T22-1</f>
        <v>0</v>
      </c>
      <c r="K22" s="70">
        <f>F22/U22-1</f>
        <v>-6.1662620970172055E-3</v>
      </c>
      <c r="L22" s="70">
        <f>Q22/N22-1</f>
        <v>1.8552875695732052E-3</v>
      </c>
      <c r="M22" s="72">
        <f>VLOOKUP($C22,ETF!$A:$V,22,FALSE)</f>
        <v>26.95</v>
      </c>
      <c r="N22" s="72">
        <f>VLOOKUP($C22,ETF!$A:$V,20,FALSE)</f>
        <v>26.95</v>
      </c>
      <c r="O22" s="72">
        <f>VLOOKUP($C22,ETF!$A:$V,9,FALSE)</f>
        <v>26.742263546331323</v>
      </c>
      <c r="P22" s="90">
        <f t="shared" si="6"/>
        <v>7.7680953711629641E-3</v>
      </c>
      <c r="Q22" s="71">
        <f>VLOOKUP($C22,ETF!$A:$V,21,FALSE)</f>
        <v>27</v>
      </c>
      <c r="R22" s="72">
        <f>VLOOKUP($C22,ETF!$A:$V,10,FALSE)</f>
        <v>26.990857307728771</v>
      </c>
      <c r="S22" s="90">
        <f t="shared" si="7"/>
        <v>3.3873293341479815E-4</v>
      </c>
      <c r="T22" s="121">
        <f>VLOOKUP($C22,資料上傳!$E:$I,5,FALSE)</f>
        <v>26.95</v>
      </c>
      <c r="U22" s="121">
        <f>VLOOKUP($C22,資料上傳!$E:$I,4,FALSE)</f>
        <v>27.01363477900173</v>
      </c>
      <c r="V22" s="131">
        <f t="shared" si="8"/>
        <v>-63.63477900173109</v>
      </c>
      <c r="W22" s="70">
        <f t="shared" si="9"/>
        <v>-2.3556540807013748E-3</v>
      </c>
      <c r="X22" s="73"/>
      <c r="Y22" s="73"/>
      <c r="Z22" s="73"/>
      <c r="AA22" s="73"/>
      <c r="AB22" s="74"/>
      <c r="AC22" s="50">
        <f t="shared" si="2"/>
        <v>0</v>
      </c>
    </row>
    <row r="23" spans="1:29">
      <c r="A23" s="88"/>
      <c r="B23" s="68" t="s">
        <v>1690</v>
      </c>
      <c r="C23" s="89" t="s">
        <v>42</v>
      </c>
      <c r="D23" s="69" t="str">
        <f>VLOOKUP($C23,ETF!$A:$V,2,FALSE)</f>
        <v>富邦日本反1</v>
      </c>
      <c r="E23" s="69">
        <f>VLOOKUP($C23,ETF!$A:$V,22,FALSE)</f>
        <v>11.02</v>
      </c>
      <c r="F23" s="107">
        <f>VLOOKUP($C23,ETF!$A:$V,12,FALSE)</f>
        <v>11.049647815340487</v>
      </c>
      <c r="G23" s="127">
        <f t="shared" si="3"/>
        <v>-29.647815340487327</v>
      </c>
      <c r="H23" s="70">
        <f t="shared" si="4"/>
        <v>-2.6831457288011284E-3</v>
      </c>
      <c r="I23" s="70">
        <f t="shared" ref="I23" si="20">H23-W23</f>
        <v>-3.8826722536245972E-3</v>
      </c>
      <c r="J23" s="70">
        <f t="shared" ref="J23:K27" si="21">E23/T23-1</f>
        <v>0</v>
      </c>
      <c r="K23" s="70">
        <f t="shared" si="21"/>
        <v>3.8931180567103318E-3</v>
      </c>
      <c r="L23" s="70">
        <f t="shared" ref="L23" si="22">Q23/N23-1</f>
        <v>1.8181818181817189E-3</v>
      </c>
      <c r="M23" s="72">
        <f>VLOOKUP($C23,ETF!$A:$V,22,FALSE)</f>
        <v>11.02</v>
      </c>
      <c r="N23" s="72">
        <f>VLOOKUP($C23,ETF!$A:$V,20,FALSE)</f>
        <v>11</v>
      </c>
      <c r="O23" s="72">
        <f>VLOOKUP($C23,ETF!$A:$V,9,FALSE)</f>
        <v>11.01803209441734</v>
      </c>
      <c r="P23" s="90">
        <f t="shared" si="6"/>
        <v>-1.6365984653898824E-3</v>
      </c>
      <c r="Q23" s="71">
        <f>VLOOKUP($C23,ETF!$A:$V,21,FALSE)</f>
        <v>11.02</v>
      </c>
      <c r="R23" s="72">
        <f>VLOOKUP($C23,ETF!$A:$V,10,FALSE)</f>
        <v>11.073245408454966</v>
      </c>
      <c r="S23" s="90">
        <f t="shared" si="7"/>
        <v>-4.8084736218625412E-3</v>
      </c>
      <c r="T23" s="121">
        <f>VLOOKUP($C23,資料上傳!$E:$I,5,FALSE)</f>
        <v>11.02</v>
      </c>
      <c r="U23" s="121">
        <f>VLOOKUP($C23,資料上傳!$E:$I,4,FALSE)</f>
        <v>11.006797054979202</v>
      </c>
      <c r="V23" s="131">
        <f t="shared" si="8"/>
        <v>13.20294502079733</v>
      </c>
      <c r="W23" s="70">
        <f t="shared" si="9"/>
        <v>1.1995265248234688E-3</v>
      </c>
      <c r="X23" s="73"/>
      <c r="Y23" s="73"/>
      <c r="Z23" s="73"/>
      <c r="AA23" s="73"/>
      <c r="AB23" s="74"/>
      <c r="AC23" s="50">
        <f t="shared" si="2"/>
        <v>0</v>
      </c>
    </row>
    <row r="24" spans="1:29">
      <c r="A24" s="67"/>
      <c r="B24" s="68" t="s">
        <v>1690</v>
      </c>
      <c r="C24" s="91" t="s">
        <v>58</v>
      </c>
      <c r="D24" s="69" t="str">
        <f>VLOOKUP($C24,ETF!$A:$V,2,FALSE)</f>
        <v>國泰日經225</v>
      </c>
      <c r="E24" s="69">
        <f>VLOOKUP($C24,ETF!$A:$V,22,FALSE)</f>
        <v>34.380000000000003</v>
      </c>
      <c r="F24" s="107">
        <f>VLOOKUP($C24,ETF!$A:$V,12,FALSE)</f>
        <v>34.409999999999997</v>
      </c>
      <c r="G24" s="127">
        <f t="shared" si="3"/>
        <v>-29.999999999994031</v>
      </c>
      <c r="H24" s="70">
        <f>$E24/$F24-1</f>
        <v>-8.7183958151682006E-4</v>
      </c>
      <c r="I24" s="70">
        <f>H24-W24</f>
        <v>0</v>
      </c>
      <c r="J24" s="70">
        <f t="shared" si="21"/>
        <v>0</v>
      </c>
      <c r="K24" s="70">
        <f t="shared" si="21"/>
        <v>0</v>
      </c>
      <c r="L24" s="70">
        <f>Q24/N24-1</f>
        <v>2.3269342641070168E-3</v>
      </c>
      <c r="M24" s="72">
        <f>VLOOKUP($C24,ETF!$A:$V,22,FALSE)</f>
        <v>34.380000000000003</v>
      </c>
      <c r="N24" s="72">
        <f>VLOOKUP($C24,ETF!$A:$V,20,FALSE)</f>
        <v>34.380000000000003</v>
      </c>
      <c r="O24" s="72"/>
      <c r="P24" s="90"/>
      <c r="Q24" s="71">
        <f>VLOOKUP($C24,ETF!$A:$V,21,FALSE)</f>
        <v>34.46</v>
      </c>
      <c r="R24" s="72"/>
      <c r="S24" s="90"/>
      <c r="T24" s="121">
        <f>VLOOKUP($C24,資料上傳!$E:$I,5,FALSE)</f>
        <v>34.380000000000003</v>
      </c>
      <c r="U24" s="121">
        <f>VLOOKUP($C24,資料上傳!$E:$I,4,FALSE)</f>
        <v>34.409999999999997</v>
      </c>
      <c r="V24" s="131">
        <f t="shared" si="8"/>
        <v>-29.999999999994031</v>
      </c>
      <c r="W24" s="70">
        <f t="shared" si="9"/>
        <v>-8.7183958151682006E-4</v>
      </c>
      <c r="X24" s="73"/>
      <c r="Y24" s="73"/>
      <c r="Z24" s="73"/>
      <c r="AA24" s="73"/>
      <c r="AB24" s="74"/>
      <c r="AC24" s="50">
        <f t="shared" si="2"/>
        <v>0</v>
      </c>
    </row>
    <row r="25" spans="1:29">
      <c r="A25" s="67"/>
      <c r="B25" s="68" t="s">
        <v>1690</v>
      </c>
      <c r="C25" s="91" t="s">
        <v>59</v>
      </c>
      <c r="D25" s="69" t="str">
        <f>VLOOKUP($C25,ETF!$A:$V,2,FALSE)</f>
        <v>國泰日經225+U</v>
      </c>
      <c r="E25" s="69">
        <f>VLOOKUP($C25,ETF!$A:$V,22,FALSE)</f>
        <v>12.3</v>
      </c>
      <c r="F25" s="107">
        <f>VLOOKUP($C25,ETF!$A:$V,12,FALSE)</f>
        <v>12.3</v>
      </c>
      <c r="G25" s="127">
        <f t="shared" si="3"/>
        <v>0</v>
      </c>
      <c r="H25" s="70">
        <f>$E25/$F25-1</f>
        <v>0</v>
      </c>
      <c r="I25" s="70">
        <f>H25-W25</f>
        <v>0</v>
      </c>
      <c r="J25" s="70">
        <f t="shared" si="21"/>
        <v>0</v>
      </c>
      <c r="K25" s="70">
        <f t="shared" si="21"/>
        <v>0</v>
      </c>
      <c r="L25" s="70">
        <f>Q25/N25-1</f>
        <v>5.7096247960848334E-3</v>
      </c>
      <c r="M25" s="72">
        <f>VLOOKUP($C25,ETF!$A:$V,22,FALSE)</f>
        <v>12.3</v>
      </c>
      <c r="N25" s="72">
        <f>VLOOKUP($C25,ETF!$A:$V,20,FALSE)</f>
        <v>12.26</v>
      </c>
      <c r="O25" s="72"/>
      <c r="P25" s="90"/>
      <c r="Q25" s="71">
        <f>VLOOKUP($C25,ETF!$A:$V,21,FALSE)</f>
        <v>12.33</v>
      </c>
      <c r="R25" s="72"/>
      <c r="S25" s="90"/>
      <c r="T25" s="121">
        <f>VLOOKUP($C25,資料上傳!$E:$I,5,FALSE)</f>
        <v>12.3</v>
      </c>
      <c r="U25" s="121">
        <f>VLOOKUP($C25,資料上傳!$E:$I,4,FALSE)</f>
        <v>12.3</v>
      </c>
      <c r="V25" s="131">
        <f t="shared" si="8"/>
        <v>0</v>
      </c>
      <c r="W25" s="70">
        <f t="shared" si="9"/>
        <v>0</v>
      </c>
      <c r="X25" s="73"/>
      <c r="Y25" s="73"/>
      <c r="Z25" s="73"/>
      <c r="AA25" s="73"/>
      <c r="AB25" s="74"/>
      <c r="AC25" s="50">
        <f t="shared" si="2"/>
        <v>0</v>
      </c>
    </row>
    <row r="26" spans="1:29">
      <c r="A26" s="67"/>
      <c r="B26" s="68" t="s">
        <v>1691</v>
      </c>
      <c r="C26" s="91" t="s">
        <v>104</v>
      </c>
      <c r="D26" s="69" t="str">
        <f>VLOOKUP($C26,ETF!$A:$V,2,FALSE)</f>
        <v>期元大S&amp;P日圓正2</v>
      </c>
      <c r="E26" s="69">
        <f>VLOOKUP($C26,ETF!$A:$V,22,FALSE)</f>
        <v>16.16</v>
      </c>
      <c r="F26" s="107">
        <f>VLOOKUP($C26,ETF!$A:$V,12,FALSE)</f>
        <v>16.209201415179521</v>
      </c>
      <c r="G26" s="127">
        <f t="shared" si="3"/>
        <v>-49.201415179521035</v>
      </c>
      <c r="H26" s="70">
        <f>$E26/$F26-1</f>
        <v>-3.0354003210451008E-3</v>
      </c>
      <c r="I26" s="70">
        <f>H26-W26</f>
        <v>-2.4982201038513674E-3</v>
      </c>
      <c r="J26" s="70">
        <f t="shared" si="21"/>
        <v>0</v>
      </c>
      <c r="K26" s="70">
        <f t="shared" si="21"/>
        <v>2.5058262897759143E-3</v>
      </c>
      <c r="L26" s="70">
        <f>Q26/N26-1</f>
        <v>2.4813895781636841E-3</v>
      </c>
      <c r="M26" s="72">
        <f>VLOOKUP($C26,ETF!$A:$V,22,FALSE)</f>
        <v>16.16</v>
      </c>
      <c r="N26" s="72">
        <f>VLOOKUP($C26,ETF!$A:$V,20,FALSE)</f>
        <v>16.12</v>
      </c>
      <c r="O26" s="72">
        <f>VLOOKUP($C26,ETF!$A:$V,9,FALSE)</f>
        <v>16.207421918482982</v>
      </c>
      <c r="P26" s="90">
        <f t="shared" si="6"/>
        <v>-5.3939435230772048E-3</v>
      </c>
      <c r="Q26" s="71">
        <f>VLOOKUP($C26,ETF!$A:$V,21,FALSE)</f>
        <v>16.16</v>
      </c>
      <c r="R26" s="72">
        <f>VLOOKUP($C26,ETF!$A:$V,10,FALSE)</f>
        <v>16.209201415179521</v>
      </c>
      <c r="S26" s="90">
        <f t="shared" si="7"/>
        <v>-3.0354003210451008E-3</v>
      </c>
      <c r="T26" s="121">
        <f>VLOOKUP($C26,資料上傳!$E:$I,5,FALSE)</f>
        <v>16.16</v>
      </c>
      <c r="U26" s="121">
        <f>VLOOKUP($C26,資料上傳!$E:$I,4,FALSE)</f>
        <v>16.168685497987546</v>
      </c>
      <c r="V26" s="131">
        <f t="shared" si="8"/>
        <v>-8.6854979875461424</v>
      </c>
      <c r="W26" s="70">
        <f t="shared" si="9"/>
        <v>-5.3718021719373343E-4</v>
      </c>
      <c r="X26" s="73"/>
      <c r="Y26" s="73"/>
      <c r="Z26" s="73"/>
      <c r="AA26" s="73"/>
      <c r="AB26" s="74"/>
      <c r="AC26" s="50">
        <f t="shared" si="2"/>
        <v>0</v>
      </c>
    </row>
    <row r="27" spans="1:29" ht="14.25" thickBot="1">
      <c r="A27" s="88"/>
      <c r="B27" s="68" t="s">
        <v>1691</v>
      </c>
      <c r="C27" s="91" t="s">
        <v>105</v>
      </c>
      <c r="D27" s="69" t="str">
        <f>VLOOKUP($C27,ETF!$A:$V,2,FALSE)</f>
        <v>期元大S&amp;P日圓反1</v>
      </c>
      <c r="E27" s="69">
        <f>VLOOKUP($C27,ETF!$A:$V,22,FALSE)</f>
        <v>19.73</v>
      </c>
      <c r="F27" s="107">
        <f>VLOOKUP($C27,ETF!$A:$V,12,FALSE)</f>
        <v>19.801912823522596</v>
      </c>
      <c r="G27" s="127">
        <f t="shared" si="3"/>
        <v>-71.912823522595204</v>
      </c>
      <c r="H27" s="70">
        <f t="shared" si="4"/>
        <v>-3.6316099441247029E-3</v>
      </c>
      <c r="I27" s="70">
        <f t="shared" ref="I27" si="23">H27-W27</f>
        <v>1.2806674974188414E-3</v>
      </c>
      <c r="J27" s="70">
        <f t="shared" si="21"/>
        <v>0</v>
      </c>
      <c r="K27" s="70">
        <f t="shared" si="21"/>
        <v>-1.2853353339993268E-3</v>
      </c>
      <c r="L27" s="70">
        <f t="shared" ref="L27" si="24">Q27/N27-1</f>
        <v>2.0294266869609334E-3</v>
      </c>
      <c r="M27" s="72">
        <f>VLOOKUP($C27,ETF!$A:$V,22,FALSE)</f>
        <v>19.73</v>
      </c>
      <c r="N27" s="72">
        <f>VLOOKUP($C27,ETF!$A:$V,20,FALSE)</f>
        <v>19.71</v>
      </c>
      <c r="O27" s="72">
        <f>VLOOKUP($C27,ETF!$A:$V,9,FALSE)</f>
        <v>19.801912823522596</v>
      </c>
      <c r="P27" s="90">
        <f t="shared" si="6"/>
        <v>-4.6416133805725623E-3</v>
      </c>
      <c r="Q27" s="71">
        <f>VLOOKUP($C27,ETF!$A:$V,21,FALSE)</f>
        <v>19.75</v>
      </c>
      <c r="R27" s="72">
        <f>VLOOKUP($C27,ETF!$A:$V,10,FALSE)</f>
        <v>19.803001500565397</v>
      </c>
      <c r="S27" s="90">
        <f t="shared" si="7"/>
        <v>-2.676437739192461E-3</v>
      </c>
      <c r="T27" s="121">
        <f>VLOOKUP($C27,資料上傳!$E:$I,5,FALSE)</f>
        <v>19.73</v>
      </c>
      <c r="U27" s="121">
        <f>VLOOKUP($C27,資料上傳!$E:$I,4,FALSE)</f>
        <v>19.827397678339821</v>
      </c>
      <c r="V27" s="131">
        <f t="shared" si="8"/>
        <v>-97.397678339820715</v>
      </c>
      <c r="W27" s="70">
        <f t="shared" si="9"/>
        <v>-4.9122774415435444E-3</v>
      </c>
      <c r="X27" s="73"/>
      <c r="Y27" s="73"/>
      <c r="Z27" s="73"/>
      <c r="AA27" s="73"/>
      <c r="AB27" s="74"/>
      <c r="AC27" s="50">
        <f t="shared" si="2"/>
        <v>0</v>
      </c>
    </row>
    <row r="28" spans="1:29" ht="14.25" thickBot="1">
      <c r="A28" s="95" t="s">
        <v>1701</v>
      </c>
      <c r="B28" s="96" t="s">
        <v>1701</v>
      </c>
      <c r="C28" s="96" t="s">
        <v>1702</v>
      </c>
      <c r="D28" s="97" t="str">
        <f>VLOOKUP($C28,ETF!$A:$V,2,FALSE)</f>
        <v>期富邦VIX</v>
      </c>
      <c r="E28" s="97">
        <f>VLOOKUP($C28,ETF!$A:$V,22,FALSE)</f>
        <v>1.83</v>
      </c>
      <c r="F28" s="120">
        <f>VLOOKUP($C28,ETF!$A:$V,12,FALSE)</f>
        <v>1.8268649347808852</v>
      </c>
      <c r="G28" s="129">
        <f t="shared" si="3"/>
        <v>3.1350652191148853</v>
      </c>
      <c r="H28" s="98">
        <f t="shared" si="4"/>
        <v>1.7160903137543038E-3</v>
      </c>
      <c r="I28" s="98">
        <f t="shared" si="0"/>
        <v>2.6872438812503008E-3</v>
      </c>
      <c r="J28" s="98">
        <f t="shared" si="1"/>
        <v>0</v>
      </c>
      <c r="K28" s="98">
        <f t="shared" si="1"/>
        <v>-2.6826402283391948E-3</v>
      </c>
      <c r="L28" s="98">
        <f t="shared" si="5"/>
        <v>5.464480874316946E-3</v>
      </c>
      <c r="M28" s="100">
        <f>VLOOKUP($C28,ETF!$A:$V,22,FALSE)</f>
        <v>1.83</v>
      </c>
      <c r="N28" s="100">
        <f>VLOOKUP($C28,ETF!$A:$V,20,FALSE)</f>
        <v>1.83</v>
      </c>
      <c r="O28" s="100">
        <f>VLOOKUP($C28,ETF!$A:$V,9,FALSE)</f>
        <v>1.8235553083042897</v>
      </c>
      <c r="P28" s="101">
        <f t="shared" si="6"/>
        <v>3.5341355791962403E-3</v>
      </c>
      <c r="Q28" s="99">
        <f>VLOOKUP($C28,ETF!$A:$V,21,FALSE)</f>
        <v>1.84</v>
      </c>
      <c r="R28" s="100">
        <f>VLOOKUP($C28,ETF!$A:$V,10,FALSE)</f>
        <v>1.8274985172193499</v>
      </c>
      <c r="S28" s="101">
        <f t="shared" si="7"/>
        <v>6.840762201915318E-3</v>
      </c>
      <c r="T28" s="124">
        <f>VLOOKUP($C28,資料上傳!$E:$I,5,FALSE)</f>
        <v>1.83</v>
      </c>
      <c r="U28" s="124">
        <f>VLOOKUP($C28,資料上傳!$E:$I,4,FALSE)</f>
        <v>1.8317789386511352</v>
      </c>
      <c r="V28" s="134">
        <f t="shared" si="8"/>
        <v>-1.778938651135098</v>
      </c>
      <c r="W28" s="98">
        <f t="shared" si="9"/>
        <v>-9.7115356749599702E-4</v>
      </c>
      <c r="X28" s="102"/>
      <c r="Y28" s="102"/>
      <c r="Z28" s="102"/>
      <c r="AA28" s="102"/>
      <c r="AB28" s="103"/>
      <c r="AC28" s="50">
        <f t="shared" si="2"/>
        <v>0</v>
      </c>
    </row>
    <row r="29" spans="1:29">
      <c r="A29" s="83" t="s">
        <v>1706</v>
      </c>
      <c r="B29" s="60" t="s">
        <v>1706</v>
      </c>
      <c r="C29" s="60" t="s">
        <v>1707</v>
      </c>
      <c r="D29" s="61" t="str">
        <f>VLOOKUP($C29,ETF!$A:$V,2,FALSE)</f>
        <v>元大寶滬深</v>
      </c>
      <c r="E29" s="61">
        <f>VLOOKUP($C29,ETF!$A:$V,22,FALSE)</f>
        <v>23.37</v>
      </c>
      <c r="F29" s="64">
        <f>VLOOKUP($C29,ETF!$A:$V,12,FALSE)</f>
        <v>23.05</v>
      </c>
      <c r="G29" s="126">
        <f t="shared" si="3"/>
        <v>320.00000000000028</v>
      </c>
      <c r="H29" s="62">
        <f t="shared" si="4"/>
        <v>1.38828633405641E-2</v>
      </c>
      <c r="I29" s="62">
        <f t="shared" si="0"/>
        <v>0</v>
      </c>
      <c r="J29" s="62">
        <f t="shared" si="1"/>
        <v>0</v>
      </c>
      <c r="K29" s="62">
        <f t="shared" si="1"/>
        <v>0</v>
      </c>
      <c r="L29" s="62">
        <f t="shared" si="5"/>
        <v>8.565310492505418E-4</v>
      </c>
      <c r="M29" s="86">
        <f>VLOOKUP($C29,ETF!$A:$V,22,FALSE)</f>
        <v>23.37</v>
      </c>
      <c r="N29" s="86">
        <f>VLOOKUP($C29,ETF!$A:$V,20,FALSE)</f>
        <v>23.35</v>
      </c>
      <c r="O29" s="86"/>
      <c r="P29" s="87"/>
      <c r="Q29" s="85">
        <f>VLOOKUP($C29,ETF!$A:$V,21,FALSE)</f>
        <v>23.37</v>
      </c>
      <c r="R29" s="86"/>
      <c r="S29" s="87"/>
      <c r="T29" s="123">
        <f>VLOOKUP($C29,資料上傳!$E:$I,5,FALSE)</f>
        <v>23.37</v>
      </c>
      <c r="U29" s="123">
        <f>VLOOKUP($C29,資料上傳!$E:$I,4,FALSE)</f>
        <v>23.05</v>
      </c>
      <c r="V29" s="132">
        <f t="shared" si="8"/>
        <v>320.00000000000028</v>
      </c>
      <c r="W29" s="62">
        <f t="shared" si="9"/>
        <v>1.38828633405641E-2</v>
      </c>
      <c r="X29" s="65"/>
      <c r="Y29" s="65"/>
      <c r="Z29" s="65"/>
      <c r="AA29" s="65"/>
      <c r="AB29" s="66"/>
      <c r="AC29" s="50">
        <f t="shared" si="2"/>
        <v>0</v>
      </c>
    </row>
    <row r="30" spans="1:29">
      <c r="A30" s="67"/>
      <c r="B30" s="68" t="s">
        <v>1706</v>
      </c>
      <c r="C30" s="68" t="s">
        <v>1708</v>
      </c>
      <c r="D30" s="69" t="str">
        <f>VLOOKUP($C30,ETF!$A:$V,2,FALSE)</f>
        <v>富邦上証</v>
      </c>
      <c r="E30" s="69">
        <f>VLOOKUP($C30,ETF!$A:$V,22,FALSE)</f>
        <v>37.950000000000003</v>
      </c>
      <c r="F30" s="107">
        <f>VLOOKUP($C30,ETF!$A:$V,12,FALSE)</f>
        <v>38.200000000000003</v>
      </c>
      <c r="G30" s="127">
        <f t="shared" si="3"/>
        <v>-250</v>
      </c>
      <c r="H30" s="70">
        <f t="shared" si="4"/>
        <v>-6.5445026178010401E-3</v>
      </c>
      <c r="I30" s="70">
        <f t="shared" si="0"/>
        <v>-6.0177709875667285E-3</v>
      </c>
      <c r="J30" s="70">
        <f t="shared" si="1"/>
        <v>0</v>
      </c>
      <c r="K30" s="70">
        <f t="shared" si="1"/>
        <v>6.0574137476956391E-3</v>
      </c>
      <c r="L30" s="70">
        <f t="shared" si="5"/>
        <v>2.6350461133062275E-4</v>
      </c>
      <c r="M30" s="72">
        <f>VLOOKUP($C30,ETF!$A:$V,22,FALSE)</f>
        <v>37.950000000000003</v>
      </c>
      <c r="N30" s="72">
        <f>VLOOKUP($C30,ETF!$A:$V,20,FALSE)</f>
        <v>37.950000000000003</v>
      </c>
      <c r="O30" s="72"/>
      <c r="P30" s="90"/>
      <c r="Q30" s="71">
        <f>VLOOKUP($C30,ETF!$A:$V,21,FALSE)</f>
        <v>37.96</v>
      </c>
      <c r="R30" s="72"/>
      <c r="S30" s="90"/>
      <c r="T30" s="121">
        <f>VLOOKUP($C30,資料上傳!$E:$I,5,FALSE)</f>
        <v>37.950000000000003</v>
      </c>
      <c r="U30" s="121">
        <f>VLOOKUP($C30,資料上傳!$E:$I,4,FALSE)</f>
        <v>37.97</v>
      </c>
      <c r="V30" s="131">
        <f t="shared" si="8"/>
        <v>-19.999999999996021</v>
      </c>
      <c r="W30" s="70">
        <f t="shared" si="9"/>
        <v>-5.2673163023431169E-4</v>
      </c>
      <c r="X30" s="73"/>
      <c r="Y30" s="73"/>
      <c r="Z30" s="73"/>
      <c r="AA30" s="73"/>
      <c r="AB30" s="74"/>
      <c r="AC30" s="50">
        <f t="shared" si="2"/>
        <v>0</v>
      </c>
    </row>
    <row r="31" spans="1:29">
      <c r="A31" s="104"/>
      <c r="B31" s="68" t="s">
        <v>1706</v>
      </c>
      <c r="C31" s="68" t="s">
        <v>1709</v>
      </c>
      <c r="D31" s="69" t="str">
        <f>VLOOKUP($C31,ETF!$A:$V,2,FALSE)</f>
        <v>元大上證50</v>
      </c>
      <c r="E31" s="69">
        <f>VLOOKUP($C31,ETF!$A:$V,22,FALSE)</f>
        <v>38.049999999999997</v>
      </c>
      <c r="F31" s="107">
        <f>VLOOKUP($C31,ETF!$A:$V,12,FALSE)</f>
        <v>38.47</v>
      </c>
      <c r="G31" s="127">
        <f t="shared" si="3"/>
        <v>-420.00000000000171</v>
      </c>
      <c r="H31" s="70">
        <f t="shared" si="4"/>
        <v>-1.0917598128411754E-2</v>
      </c>
      <c r="I31" s="70">
        <f t="shared" si="0"/>
        <v>-7.5126740844095874E-3</v>
      </c>
      <c r="J31" s="70">
        <f t="shared" si="1"/>
        <v>0</v>
      </c>
      <c r="K31" s="70">
        <f t="shared" si="1"/>
        <v>7.5955997904662009E-3</v>
      </c>
      <c r="L31" s="70">
        <f t="shared" si="5"/>
        <v>2.6281208935619027E-4</v>
      </c>
      <c r="M31" s="72">
        <f>VLOOKUP($C31,ETF!$A:$V,22,FALSE)</f>
        <v>38.049999999999997</v>
      </c>
      <c r="N31" s="72">
        <f>VLOOKUP($C31,ETF!$A:$V,20,FALSE)</f>
        <v>38.049999999999997</v>
      </c>
      <c r="O31" s="72"/>
      <c r="P31" s="90"/>
      <c r="Q31" s="71">
        <f>VLOOKUP($C31,ETF!$A:$V,21,FALSE)</f>
        <v>38.06</v>
      </c>
      <c r="R31" s="72"/>
      <c r="S31" s="90"/>
      <c r="T31" s="121">
        <f>VLOOKUP($C31,資料上傳!$E:$I,5,FALSE)</f>
        <v>38.049999999999997</v>
      </c>
      <c r="U31" s="121">
        <f>VLOOKUP($C31,資料上傳!$E:$I,4,FALSE)</f>
        <v>38.18</v>
      </c>
      <c r="V31" s="131">
        <f t="shared" si="8"/>
        <v>-130.00000000000256</v>
      </c>
      <c r="W31" s="70">
        <f t="shared" si="9"/>
        <v>-3.4049240440021666E-3</v>
      </c>
      <c r="X31" s="73"/>
      <c r="Y31" s="73"/>
      <c r="Z31" s="73"/>
      <c r="AA31" s="73"/>
      <c r="AB31" s="74"/>
      <c r="AC31" s="50">
        <f t="shared" si="2"/>
        <v>0</v>
      </c>
    </row>
    <row r="32" spans="1:29" ht="12.75" customHeight="1">
      <c r="A32" s="88"/>
      <c r="B32" s="68" t="s">
        <v>1706</v>
      </c>
      <c r="C32" s="68" t="s">
        <v>1710</v>
      </c>
      <c r="D32" s="69" t="str">
        <f>VLOOKUP($C32,ETF!$A:$V,2,FALSE)</f>
        <v>FH滬深</v>
      </c>
      <c r="E32" s="69">
        <f>VLOOKUP($C32,ETF!$A:$V,22,FALSE)</f>
        <v>30.62</v>
      </c>
      <c r="F32" s="107">
        <f>VLOOKUP($C32,ETF!$A:$V,12,FALSE)</f>
        <v>30.94</v>
      </c>
      <c r="G32" s="127">
        <f t="shared" si="3"/>
        <v>-320.00000000000028</v>
      </c>
      <c r="H32" s="70">
        <f t="shared" si="4"/>
        <v>-1.0342598577892659E-2</v>
      </c>
      <c r="I32" s="70">
        <f t="shared" si="0"/>
        <v>-6.1149563014699648E-3</v>
      </c>
      <c r="J32" s="70">
        <f t="shared" si="1"/>
        <v>0</v>
      </c>
      <c r="K32" s="70">
        <f t="shared" si="1"/>
        <v>6.1788617886178177E-3</v>
      </c>
      <c r="L32" s="70">
        <f t="shared" si="5"/>
        <v>9.8007187193727141E-4</v>
      </c>
      <c r="M32" s="72">
        <f>VLOOKUP($C32,ETF!$A:$V,22,FALSE)</f>
        <v>30.62</v>
      </c>
      <c r="N32" s="72">
        <f>VLOOKUP($C32,ETF!$A:$V,20,FALSE)</f>
        <v>30.61</v>
      </c>
      <c r="O32" s="72"/>
      <c r="P32" s="90"/>
      <c r="Q32" s="71">
        <f>VLOOKUP($C32,ETF!$A:$V,21,FALSE)</f>
        <v>30.64</v>
      </c>
      <c r="R32" s="72"/>
      <c r="S32" s="90"/>
      <c r="T32" s="121">
        <f>VLOOKUP($C32,資料上傳!$E:$I,5,FALSE)</f>
        <v>30.62</v>
      </c>
      <c r="U32" s="121">
        <f>VLOOKUP($C32,資料上傳!$E:$I,4,FALSE)</f>
        <v>30.75</v>
      </c>
      <c r="V32" s="131">
        <f t="shared" si="8"/>
        <v>-129.99999999999901</v>
      </c>
      <c r="W32" s="70">
        <f t="shared" si="9"/>
        <v>-4.227642276422694E-3</v>
      </c>
      <c r="X32" s="73"/>
      <c r="Y32" s="73"/>
      <c r="Z32" s="73"/>
      <c r="AA32" s="73"/>
      <c r="AB32" s="74"/>
      <c r="AC32" s="50">
        <f t="shared" si="2"/>
        <v>0</v>
      </c>
    </row>
    <row r="33" spans="1:29">
      <c r="A33" s="104"/>
      <c r="B33" s="106" t="s">
        <v>1706</v>
      </c>
      <c r="C33" s="106" t="s">
        <v>1711</v>
      </c>
      <c r="D33" s="135" t="str">
        <f>VLOOKUP($C33,ETF!$A:$V,2,FALSE)</f>
        <v>富邦上証正2</v>
      </c>
      <c r="E33" s="135">
        <f>VLOOKUP($C33,ETF!$A:$V,22,FALSE)</f>
        <v>66.5</v>
      </c>
      <c r="F33" s="136">
        <f>VLOOKUP($C33,ETF!$A:$V,12,FALSE)</f>
        <v>66.951831531163378</v>
      </c>
      <c r="G33" s="137">
        <f t="shared" si="3"/>
        <v>-451.83153116337849</v>
      </c>
      <c r="H33" s="138">
        <f t="shared" si="4"/>
        <v>-6.7486059877700511E-3</v>
      </c>
      <c r="I33" s="138">
        <f t="shared" si="0"/>
        <v>-3.6876233291418536E-3</v>
      </c>
      <c r="J33" s="138">
        <f t="shared" si="1"/>
        <v>0</v>
      </c>
      <c r="K33" s="138">
        <f t="shared" si="1"/>
        <v>3.712678735084074E-3</v>
      </c>
      <c r="L33" s="138">
        <f t="shared" si="5"/>
        <v>7.5244544770503019E-4</v>
      </c>
      <c r="M33" s="72">
        <f>VLOOKUP($C33,ETF!$A:$V,22,FALSE)</f>
        <v>66.5</v>
      </c>
      <c r="N33" s="72">
        <f>VLOOKUP($C33,ETF!$A:$V,20,FALSE)</f>
        <v>66.45</v>
      </c>
      <c r="O33" s="72">
        <f>VLOOKUP($C33,ETF!$A:$V,9,FALSE)</f>
        <v>66.947388959650667</v>
      </c>
      <c r="P33" s="90">
        <f t="shared" si="6"/>
        <v>-7.429549790962553E-3</v>
      </c>
      <c r="Q33" s="71">
        <f>VLOOKUP($C33,ETF!$A:$V,21,FALSE)</f>
        <v>66.5</v>
      </c>
      <c r="R33" s="72">
        <f>VLOOKUP($C33,ETF!$A:$V,10,FALSE)</f>
        <v>66.960328429999677</v>
      </c>
      <c r="S33" s="90">
        <f t="shared" si="7"/>
        <v>-6.8746441481526421E-3</v>
      </c>
      <c r="T33" s="121">
        <f>VLOOKUP($C33,資料上傳!$E:$I,5,FALSE)</f>
        <v>66.5</v>
      </c>
      <c r="U33" s="121">
        <f>VLOOKUP($C33,資料上傳!$E:$I,4,FALSE)</f>
        <v>66.704180339276533</v>
      </c>
      <c r="V33" s="131">
        <f t="shared" si="8"/>
        <v>-204.18033927653312</v>
      </c>
      <c r="W33" s="70">
        <f t="shared" si="9"/>
        <v>-3.0609826586281974E-3</v>
      </c>
      <c r="X33" s="73"/>
      <c r="Y33" s="73"/>
      <c r="Z33" s="73"/>
      <c r="AA33" s="73"/>
      <c r="AB33" s="74"/>
      <c r="AC33" s="50">
        <f t="shared" si="2"/>
        <v>0</v>
      </c>
    </row>
    <row r="34" spans="1:29">
      <c r="A34" s="88"/>
      <c r="B34" s="68" t="s">
        <v>1706</v>
      </c>
      <c r="C34" s="68" t="s">
        <v>1712</v>
      </c>
      <c r="D34" s="69" t="str">
        <f>VLOOKUP($C34,ETF!$A:$V,2,FALSE)</f>
        <v>富邦上証反1</v>
      </c>
      <c r="E34" s="69">
        <f>VLOOKUP($C34,ETF!$A:$V,22,FALSE)</f>
        <v>3.9</v>
      </c>
      <c r="F34" s="107">
        <f>VLOOKUP($C34,ETF!$A:$V,12,FALSE)</f>
        <v>3.8924388345433751</v>
      </c>
      <c r="G34" s="127">
        <f t="shared" si="3"/>
        <v>7.5611654566247744</v>
      </c>
      <c r="H34" s="70">
        <f t="shared" si="4"/>
        <v>1.9425264668317954E-3</v>
      </c>
      <c r="I34" s="70">
        <f t="shared" si="0"/>
        <v>3.299712206288774E-3</v>
      </c>
      <c r="J34" s="70">
        <f t="shared" si="1"/>
        <v>0</v>
      </c>
      <c r="K34" s="70">
        <f t="shared" si="1"/>
        <v>-3.2933148550193803E-3</v>
      </c>
      <c r="L34" s="70">
        <f t="shared" si="5"/>
        <v>2.5706940874035134E-3</v>
      </c>
      <c r="M34" s="72">
        <f>VLOOKUP($C34,ETF!$A:$V,22,FALSE)</f>
        <v>3.9</v>
      </c>
      <c r="N34" s="72">
        <f>VLOOKUP($C34,ETF!$A:$V,20,FALSE)</f>
        <v>3.89</v>
      </c>
      <c r="O34" s="72">
        <f>VLOOKUP($C34,ETF!$A:$V,9,FALSE)</f>
        <v>3.8919250750074568</v>
      </c>
      <c r="P34" s="90">
        <f t="shared" si="6"/>
        <v>-4.9463311095554463E-4</v>
      </c>
      <c r="Q34" s="71">
        <f>VLOOKUP($C34,ETF!$A:$V,21,FALSE)</f>
        <v>3.9</v>
      </c>
      <c r="R34" s="72">
        <f>VLOOKUP($C34,ETF!$A:$V,10,FALSE)</f>
        <v>3.8949111097429232</v>
      </c>
      <c r="S34" s="90">
        <f t="shared" si="7"/>
        <v>1.3065484971781505E-3</v>
      </c>
      <c r="T34" s="121">
        <f>VLOOKUP($C34,資料上傳!$E:$I,5,FALSE)</f>
        <v>3.9</v>
      </c>
      <c r="U34" s="121">
        <f>VLOOKUP($C34,資料上傳!$E:$I,4,FALSE)</f>
        <v>3.9053002177638474</v>
      </c>
      <c r="V34" s="131">
        <f t="shared" si="8"/>
        <v>-5.3002177638474812</v>
      </c>
      <c r="W34" s="70">
        <f t="shared" si="9"/>
        <v>-1.3571857394569786E-3</v>
      </c>
      <c r="X34" s="73"/>
      <c r="Y34" s="73"/>
      <c r="Z34" s="73"/>
      <c r="AA34" s="73"/>
      <c r="AB34" s="74"/>
      <c r="AC34" s="50">
        <f t="shared" si="2"/>
        <v>0</v>
      </c>
    </row>
    <row r="35" spans="1:29">
      <c r="A35" s="104"/>
      <c r="B35" s="68" t="s">
        <v>1706</v>
      </c>
      <c r="C35" s="68" t="s">
        <v>1713</v>
      </c>
      <c r="D35" s="69" t="str">
        <f>VLOOKUP($C35,ETF!$A:$V,2,FALSE)</f>
        <v>國泰中國A50</v>
      </c>
      <c r="E35" s="69">
        <f>VLOOKUP($C35,ETF!$A:$V,22,FALSE)</f>
        <v>27.11</v>
      </c>
      <c r="F35" s="107">
        <f>VLOOKUP($C35,ETF!$A:$V,12,FALSE)</f>
        <v>27.3</v>
      </c>
      <c r="G35" s="127">
        <f t="shared" si="3"/>
        <v>-190.00000000000128</v>
      </c>
      <c r="H35" s="70">
        <f t="shared" si="4"/>
        <v>-6.959706959707046E-3</v>
      </c>
      <c r="I35" s="70">
        <f t="shared" si="0"/>
        <v>-6.959706959707046E-3</v>
      </c>
      <c r="J35" s="70">
        <f t="shared" si="1"/>
        <v>0</v>
      </c>
      <c r="K35" s="70">
        <f t="shared" si="1"/>
        <v>7.0084839542605692E-3</v>
      </c>
      <c r="L35" s="70">
        <f t="shared" si="5"/>
        <v>3.6886757654008839E-4</v>
      </c>
      <c r="M35" s="72">
        <f>VLOOKUP($C35,ETF!$A:$V,22,FALSE)</f>
        <v>27.11</v>
      </c>
      <c r="N35" s="72">
        <f>VLOOKUP($C35,ETF!$A:$V,20,FALSE)</f>
        <v>27.11</v>
      </c>
      <c r="O35" s="72"/>
      <c r="P35" s="90"/>
      <c r="Q35" s="71">
        <f>VLOOKUP($C35,ETF!$A:$V,21,FALSE)</f>
        <v>27.12</v>
      </c>
      <c r="R35" s="72"/>
      <c r="S35" s="90"/>
      <c r="T35" s="121">
        <f>VLOOKUP($C35,資料上傳!$E:$I,5,FALSE)</f>
        <v>27.11</v>
      </c>
      <c r="U35" s="121">
        <f>VLOOKUP($C35,資料上傳!$E:$I,4,FALSE)</f>
        <v>27.11</v>
      </c>
      <c r="V35" s="131">
        <f t="shared" si="8"/>
        <v>0</v>
      </c>
      <c r="W35" s="70">
        <f t="shared" si="9"/>
        <v>0</v>
      </c>
      <c r="X35" s="73"/>
      <c r="Y35" s="73"/>
      <c r="Z35" s="73"/>
      <c r="AA35" s="73"/>
      <c r="AB35" s="74"/>
      <c r="AC35" s="50">
        <f t="shared" si="2"/>
        <v>0</v>
      </c>
    </row>
    <row r="36" spans="1:29">
      <c r="A36" s="104"/>
      <c r="B36" s="106" t="s">
        <v>1706</v>
      </c>
      <c r="C36" s="106" t="s">
        <v>1714</v>
      </c>
      <c r="D36" s="135" t="str">
        <f>VLOOKUP($C36,ETF!$A:$V,2,FALSE)</f>
        <v>元大滬深300正2</v>
      </c>
      <c r="E36" s="135">
        <f>VLOOKUP($C36,ETF!$A:$V,22,FALSE)</f>
        <v>26.26</v>
      </c>
      <c r="F36" s="136">
        <f>VLOOKUP($C36,ETF!$A:$V,12,FALSE)</f>
        <v>26.454259594079158</v>
      </c>
      <c r="G36" s="137">
        <f t="shared" si="3"/>
        <v>-194.25959407915627</v>
      </c>
      <c r="H36" s="138">
        <f t="shared" si="4"/>
        <v>-7.3432255167947824E-3</v>
      </c>
      <c r="I36" s="138">
        <f t="shared" si="0"/>
        <v>-3.7467405902380513E-3</v>
      </c>
      <c r="J36" s="138">
        <f t="shared" si="1"/>
        <v>0</v>
      </c>
      <c r="K36" s="138">
        <f t="shared" si="1"/>
        <v>3.7744572812579147E-3</v>
      </c>
      <c r="L36" s="138">
        <f t="shared" si="5"/>
        <v>3.8080731150036407E-4</v>
      </c>
      <c r="M36" s="72">
        <f>VLOOKUP($C36,ETF!$A:$V,22,FALSE)</f>
        <v>26.26</v>
      </c>
      <c r="N36" s="72">
        <f>VLOOKUP($C36,ETF!$A:$V,20,FALSE)</f>
        <v>26.26</v>
      </c>
      <c r="O36" s="72">
        <f>VLOOKUP($C36,ETF!$A:$V,9,FALSE)</f>
        <v>26.453603014696135</v>
      </c>
      <c r="P36" s="90">
        <f t="shared" si="6"/>
        <v>-7.3185877397713428E-3</v>
      </c>
      <c r="Q36" s="71">
        <f>VLOOKUP($C36,ETF!$A:$V,21,FALSE)</f>
        <v>26.27</v>
      </c>
      <c r="R36" s="72">
        <f>VLOOKUP($C36,ETF!$A:$V,10,FALSE)</f>
        <v>26.457166596169333</v>
      </c>
      <c r="S36" s="90">
        <f t="shared" si="7"/>
        <v>-7.0743250411566816E-3</v>
      </c>
      <c r="T36" s="121">
        <f>VLOOKUP($C36,資料上傳!$E:$I,5,FALSE)</f>
        <v>26.26</v>
      </c>
      <c r="U36" s="121">
        <f>VLOOKUP($C36,資料上傳!$E:$I,4,FALSE)</f>
        <v>26.354784585504419</v>
      </c>
      <c r="V36" s="131">
        <f t="shared" si="8"/>
        <v>-94.784585504417151</v>
      </c>
      <c r="W36" s="70">
        <f t="shared" si="9"/>
        <v>-3.5964849265567311E-3</v>
      </c>
      <c r="X36" s="73"/>
      <c r="Y36" s="73"/>
      <c r="Z36" s="73"/>
      <c r="AA36" s="73"/>
      <c r="AB36" s="74"/>
      <c r="AC36" s="50">
        <f t="shared" si="2"/>
        <v>0</v>
      </c>
    </row>
    <row r="37" spans="1:29">
      <c r="A37" s="88"/>
      <c r="B37" s="68" t="s">
        <v>1706</v>
      </c>
      <c r="C37" s="68" t="s">
        <v>1715</v>
      </c>
      <c r="D37" s="69" t="str">
        <f>VLOOKUP($C37,ETF!$A:$V,2,FALSE)</f>
        <v>元大滬深300反1</v>
      </c>
      <c r="E37" s="69">
        <f>VLOOKUP($C37,ETF!$A:$V,22,FALSE)</f>
        <v>7.87</v>
      </c>
      <c r="F37" s="107">
        <f>VLOOKUP($C37,ETF!$A:$V,12,FALSE)</f>
        <v>7.843024382842156</v>
      </c>
      <c r="G37" s="127">
        <f t="shared" si="3"/>
        <v>26.975617157844134</v>
      </c>
      <c r="H37" s="70">
        <f t="shared" si="4"/>
        <v>3.4394406852613635E-3</v>
      </c>
      <c r="I37" s="70">
        <f t="shared" si="0"/>
        <v>2.1633904937170545E-3</v>
      </c>
      <c r="J37" s="70">
        <f t="shared" si="1"/>
        <v>0</v>
      </c>
      <c r="K37" s="70">
        <f t="shared" si="1"/>
        <v>-2.1559751450866971E-3</v>
      </c>
      <c r="L37" s="70">
        <f t="shared" si="5"/>
        <v>1.2722646310432406E-3</v>
      </c>
      <c r="M37" s="72">
        <f>VLOOKUP($C37,ETF!$A:$V,22,FALSE)</f>
        <v>7.87</v>
      </c>
      <c r="N37" s="72">
        <f>VLOOKUP($C37,ETF!$A:$V,20,FALSE)</f>
        <v>7.86</v>
      </c>
      <c r="O37" s="72">
        <f>VLOOKUP($C37,ETF!$A:$V,9,FALSE)</f>
        <v>7.8425528643128652</v>
      </c>
      <c r="P37" s="90">
        <f t="shared" si="6"/>
        <v>2.224675560241085E-3</v>
      </c>
      <c r="Q37" s="71">
        <f>VLOOKUP($C37,ETF!$A:$V,21,FALSE)</f>
        <v>7.87</v>
      </c>
      <c r="R37" s="72">
        <f>VLOOKUP($C37,ETF!$A:$V,10,FALSE)</f>
        <v>7.843024382842156</v>
      </c>
      <c r="S37" s="90">
        <f t="shared" si="7"/>
        <v>3.4394406852613635E-3</v>
      </c>
      <c r="T37" s="121">
        <f>VLOOKUP($C37,資料上傳!$E:$I,5,FALSE)</f>
        <v>7.87</v>
      </c>
      <c r="U37" s="121">
        <f>VLOOKUP($C37,資料上傳!$E:$I,4,FALSE)</f>
        <v>7.8599702834143175</v>
      </c>
      <c r="V37" s="131">
        <f t="shared" si="8"/>
        <v>10.029716585682635</v>
      </c>
      <c r="W37" s="70">
        <f t="shared" si="9"/>
        <v>1.276050191544309E-3</v>
      </c>
      <c r="X37" s="73"/>
      <c r="Y37" s="73"/>
      <c r="Z37" s="73"/>
      <c r="AA37" s="73"/>
      <c r="AB37" s="74"/>
      <c r="AC37" s="50">
        <f t="shared" si="2"/>
        <v>0</v>
      </c>
    </row>
    <row r="38" spans="1:29">
      <c r="A38" s="104"/>
      <c r="B38" s="68" t="s">
        <v>1706</v>
      </c>
      <c r="C38" s="68" t="s">
        <v>1716</v>
      </c>
      <c r="D38" s="69" t="str">
        <f>VLOOKUP($C38,ETF!$A:$V,2,FALSE)</f>
        <v>富邦深100</v>
      </c>
      <c r="E38" s="69">
        <f>VLOOKUP($C38,ETF!$A:$V,22,FALSE)</f>
        <v>16.57</v>
      </c>
      <c r="F38" s="107">
        <f>VLOOKUP($C38,ETF!$A:$V,12,FALSE)</f>
        <v>16.72</v>
      </c>
      <c r="G38" s="127">
        <f t="shared" si="3"/>
        <v>-149.99999999999858</v>
      </c>
      <c r="H38" s="70">
        <f t="shared" si="4"/>
        <v>-8.97129186602863E-3</v>
      </c>
      <c r="I38" s="70">
        <f t="shared" si="0"/>
        <v>-4.1664870612239113E-3</v>
      </c>
      <c r="J38" s="70">
        <f t="shared" si="1"/>
        <v>0</v>
      </c>
      <c r="K38" s="70">
        <f t="shared" si="1"/>
        <v>4.2042042042043093E-3</v>
      </c>
      <c r="L38" s="70">
        <f t="shared" si="5"/>
        <v>6.0386473429963061E-4</v>
      </c>
      <c r="M38" s="72">
        <f>VLOOKUP($C38,ETF!$A:$V,22,FALSE)</f>
        <v>16.57</v>
      </c>
      <c r="N38" s="72">
        <f>VLOOKUP($C38,ETF!$A:$V,20,FALSE)</f>
        <v>16.559999999999999</v>
      </c>
      <c r="O38" s="72"/>
      <c r="P38" s="90"/>
      <c r="Q38" s="71">
        <f>VLOOKUP($C38,ETF!$A:$V,21,FALSE)</f>
        <v>16.57</v>
      </c>
      <c r="R38" s="72"/>
      <c r="S38" s="90"/>
      <c r="T38" s="121">
        <f>VLOOKUP($C38,資料上傳!$E:$I,5,FALSE)</f>
        <v>16.57</v>
      </c>
      <c r="U38" s="121">
        <f>VLOOKUP($C38,資料上傳!$E:$I,4,FALSE)</f>
        <v>16.649999999999999</v>
      </c>
      <c r="V38" s="131">
        <f t="shared" si="8"/>
        <v>-79.999999999998295</v>
      </c>
      <c r="W38" s="70">
        <f t="shared" si="9"/>
        <v>-4.8048048048047187E-3</v>
      </c>
      <c r="X38" s="73"/>
      <c r="Y38" s="73"/>
      <c r="Z38" s="73"/>
      <c r="AA38" s="73"/>
      <c r="AB38" s="74"/>
      <c r="AC38" s="50">
        <f t="shared" si="2"/>
        <v>0</v>
      </c>
    </row>
    <row r="39" spans="1:29">
      <c r="A39" s="88"/>
      <c r="B39" s="68" t="s">
        <v>1706</v>
      </c>
      <c r="C39" s="68" t="s">
        <v>1717</v>
      </c>
      <c r="D39" s="69" t="str">
        <f>VLOOKUP($C39,ETF!$A:$V,2,FALSE)</f>
        <v>群益深証中小</v>
      </c>
      <c r="E39" s="69">
        <f>VLOOKUP($C39,ETF!$A:$V,22,FALSE)</f>
        <v>17.21</v>
      </c>
      <c r="F39" s="107">
        <f>VLOOKUP($C39,ETF!$A:$V,12,FALSE)</f>
        <v>17.440000000000001</v>
      </c>
      <c r="G39" s="127">
        <f t="shared" si="3"/>
        <v>-230.00000000000043</v>
      </c>
      <c r="H39" s="70">
        <f t="shared" si="4"/>
        <v>-1.3188073394495459E-2</v>
      </c>
      <c r="I39" s="70">
        <f t="shared" si="0"/>
        <v>-5.1189091293657452E-3</v>
      </c>
      <c r="J39" s="70">
        <f t="shared" si="1"/>
        <v>0</v>
      </c>
      <c r="K39" s="70">
        <f t="shared" si="1"/>
        <v>5.1873198847263158E-3</v>
      </c>
      <c r="L39" s="70">
        <f t="shared" si="5"/>
        <v>5.8105752469472804E-4</v>
      </c>
      <c r="M39" s="72">
        <f>VLOOKUP($C39,ETF!$A:$V,22,FALSE)</f>
        <v>17.21</v>
      </c>
      <c r="N39" s="72">
        <f>VLOOKUP($C39,ETF!$A:$V,20,FALSE)</f>
        <v>17.21</v>
      </c>
      <c r="O39" s="72"/>
      <c r="P39" s="90"/>
      <c r="Q39" s="71">
        <f>VLOOKUP($C39,ETF!$A:$V,21,FALSE)</f>
        <v>17.22</v>
      </c>
      <c r="R39" s="72"/>
      <c r="S39" s="90"/>
      <c r="T39" s="121">
        <f>VLOOKUP($C39,資料上傳!$E:$I,5,FALSE)</f>
        <v>17.21</v>
      </c>
      <c r="U39" s="121">
        <f>VLOOKUP($C39,資料上傳!$E:$I,4,FALSE)</f>
        <v>17.350000000000001</v>
      </c>
      <c r="V39" s="131">
        <f t="shared" si="8"/>
        <v>-140.00000000000057</v>
      </c>
      <c r="W39" s="70">
        <f t="shared" si="9"/>
        <v>-8.0691642651297135E-3</v>
      </c>
      <c r="X39" s="73"/>
      <c r="Y39" s="73"/>
      <c r="Z39" s="73"/>
      <c r="AA39" s="73"/>
      <c r="AB39" s="74"/>
      <c r="AC39" s="50">
        <f t="shared" si="2"/>
        <v>0</v>
      </c>
    </row>
    <row r="40" spans="1:29">
      <c r="A40" s="104"/>
      <c r="B40" s="68" t="s">
        <v>1706</v>
      </c>
      <c r="C40" s="68" t="s">
        <v>1718</v>
      </c>
      <c r="D40" s="69" t="str">
        <f>VLOOKUP($C40,ETF!$A:$V,2,FALSE)</f>
        <v>國泰中國A50正2</v>
      </c>
      <c r="E40" s="69">
        <f>VLOOKUP($C40,ETF!$A:$V,22,FALSE)</f>
        <v>49.97</v>
      </c>
      <c r="F40" s="107">
        <f>VLOOKUP($C40,ETF!$A:$V,12,FALSE)</f>
        <v>50.269175012005675</v>
      </c>
      <c r="G40" s="127">
        <f t="shared" si="3"/>
        <v>-299.17501200567642</v>
      </c>
      <c r="H40" s="70">
        <f t="shared" si="4"/>
        <v>-5.9514605508091956E-3</v>
      </c>
      <c r="I40" s="70">
        <f t="shared" si="0"/>
        <v>-3.6732430154122753E-3</v>
      </c>
      <c r="J40" s="70">
        <f t="shared" si="1"/>
        <v>0</v>
      </c>
      <c r="K40" s="70">
        <f t="shared" si="1"/>
        <v>3.6952350611043627E-3</v>
      </c>
      <c r="L40" s="70">
        <f t="shared" si="5"/>
        <v>4.0024014408657216E-4</v>
      </c>
      <c r="M40" s="72">
        <f>VLOOKUP($C40,ETF!$A:$V,22,FALSE)</f>
        <v>49.97</v>
      </c>
      <c r="N40" s="72">
        <f>VLOOKUP($C40,ETF!$A:$V,20,FALSE)</f>
        <v>49.97</v>
      </c>
      <c r="O40" s="72">
        <f>VLOOKUP($C40,ETF!$A:$V,9,FALSE)</f>
        <v>50.269175012005675</v>
      </c>
      <c r="P40" s="90">
        <f t="shared" si="6"/>
        <v>-5.9514605508091956E-3</v>
      </c>
      <c r="Q40" s="71">
        <f>VLOOKUP($C40,ETF!$A:$V,21,FALSE)</f>
        <v>49.99</v>
      </c>
      <c r="R40" s="72">
        <f>VLOOKUP($C40,ETF!$A:$V,10,FALSE)</f>
        <v>50.274987170644877</v>
      </c>
      <c r="S40" s="90">
        <f t="shared" si="7"/>
        <v>-5.6685677447825267E-3</v>
      </c>
      <c r="T40" s="121">
        <f>VLOOKUP($C40,資料上傳!$E:$I,5,FALSE)</f>
        <v>49.97</v>
      </c>
      <c r="U40" s="121">
        <f>VLOOKUP($C40,資料上傳!$E:$I,4,FALSE)</f>
        <v>50.084102480515725</v>
      </c>
      <c r="V40" s="131">
        <f t="shared" si="8"/>
        <v>-114.1024805157258</v>
      </c>
      <c r="W40" s="70">
        <f t="shared" si="9"/>
        <v>-2.2782175353969203E-3</v>
      </c>
      <c r="X40" s="73"/>
      <c r="Y40" s="73"/>
      <c r="Z40" s="73"/>
      <c r="AA40" s="73"/>
      <c r="AB40" s="74"/>
      <c r="AC40" s="50">
        <f t="shared" si="2"/>
        <v>0</v>
      </c>
    </row>
    <row r="41" spans="1:29">
      <c r="A41" s="88"/>
      <c r="B41" s="68" t="s">
        <v>1706</v>
      </c>
      <c r="C41" s="68" t="s">
        <v>1719</v>
      </c>
      <c r="D41" s="69" t="str">
        <f>VLOOKUP($C41,ETF!$A:$V,2,FALSE)</f>
        <v>國泰中國A50反1</v>
      </c>
      <c r="E41" s="69">
        <f>VLOOKUP($C41,ETF!$A:$V,22,FALSE)</f>
        <v>7.19</v>
      </c>
      <c r="F41" s="107">
        <f>VLOOKUP($C41,ETF!$A:$V,12,FALSE)</f>
        <v>7.1793778987386059</v>
      </c>
      <c r="G41" s="127">
        <f t="shared" si="3"/>
        <v>10.622101261394512</v>
      </c>
      <c r="H41" s="70">
        <f t="shared" si="4"/>
        <v>1.4795294816922766E-3</v>
      </c>
      <c r="I41" s="70">
        <f t="shared" si="0"/>
        <v>2.1993353366003277E-3</v>
      </c>
      <c r="J41" s="70">
        <f t="shared" si="1"/>
        <v>0</v>
      </c>
      <c r="K41" s="70">
        <f t="shared" si="1"/>
        <v>-2.1960861623788741E-3</v>
      </c>
      <c r="L41" s="70">
        <f t="shared" si="5"/>
        <v>1.3908205841446364E-3</v>
      </c>
      <c r="M41" s="72">
        <f>VLOOKUP($C41,ETF!$A:$V,22,FALSE)</f>
        <v>7.19</v>
      </c>
      <c r="N41" s="72">
        <f>VLOOKUP($C41,ETF!$A:$V,20,FALSE)</f>
        <v>7.19</v>
      </c>
      <c r="O41" s="72">
        <f>VLOOKUP($C41,ETF!$A:$V,9,FALSE)</f>
        <v>7.1789385796373955</v>
      </c>
      <c r="P41" s="90">
        <f t="shared" si="6"/>
        <v>1.5408155732075102E-3</v>
      </c>
      <c r="Q41" s="71">
        <f>VLOOKUP($C41,ETF!$A:$V,21,FALSE)</f>
        <v>7.2</v>
      </c>
      <c r="R41" s="72">
        <f>VLOOKUP($C41,ETF!$A:$V,10,FALSE)</f>
        <v>7.1793778987386059</v>
      </c>
      <c r="S41" s="90">
        <f t="shared" si="7"/>
        <v>2.8724078258950403E-3</v>
      </c>
      <c r="T41" s="121">
        <f>VLOOKUP($C41,資料上傳!$E:$I,5,FALSE)</f>
        <v>7.19</v>
      </c>
      <c r="U41" s="121">
        <f>VLOOKUP($C41,資料上傳!$E:$I,4,FALSE)</f>
        <v>7.1951791320663743</v>
      </c>
      <c r="V41" s="131">
        <f t="shared" si="8"/>
        <v>-5.1791320663738816</v>
      </c>
      <c r="W41" s="70">
        <f t="shared" si="9"/>
        <v>-7.1980585490805105E-4</v>
      </c>
      <c r="X41" s="73"/>
      <c r="Y41" s="73"/>
      <c r="Z41" s="73"/>
      <c r="AA41" s="73"/>
      <c r="AB41" s="74"/>
      <c r="AC41" s="50">
        <f t="shared" si="2"/>
        <v>0</v>
      </c>
    </row>
    <row r="42" spans="1:29">
      <c r="A42" s="104"/>
      <c r="B42" s="68" t="s">
        <v>1706</v>
      </c>
      <c r="C42" s="68" t="s">
        <v>1720</v>
      </c>
      <c r="D42" s="69" t="str">
        <f>VLOOKUP($C42,ETF!$A:$V,2,FALSE)</f>
        <v>元大MSCI A股</v>
      </c>
      <c r="E42" s="69">
        <f>VLOOKUP($C42,ETF!$A:$V,22,FALSE)</f>
        <v>27.77</v>
      </c>
      <c r="F42" s="107">
        <f>VLOOKUP($C42,ETF!$A:$V,12,FALSE)</f>
        <v>27.96</v>
      </c>
      <c r="G42" s="127">
        <f t="shared" si="3"/>
        <v>-190.00000000000128</v>
      </c>
      <c r="H42" s="70">
        <f t="shared" si="4"/>
        <v>-6.7954220314735414E-3</v>
      </c>
      <c r="I42" s="70">
        <f t="shared" si="0"/>
        <v>0</v>
      </c>
      <c r="J42" s="70">
        <f t="shared" si="1"/>
        <v>0</v>
      </c>
      <c r="K42" s="70">
        <f t="shared" si="1"/>
        <v>0</v>
      </c>
      <c r="L42" s="70">
        <f t="shared" si="5"/>
        <v>3.6010082823190182E-4</v>
      </c>
      <c r="M42" s="72">
        <f>VLOOKUP($C42,ETF!$A:$V,22,FALSE)</f>
        <v>27.77</v>
      </c>
      <c r="N42" s="72">
        <f>VLOOKUP($C42,ETF!$A:$V,20,FALSE)</f>
        <v>27.77</v>
      </c>
      <c r="O42" s="72"/>
      <c r="P42" s="90"/>
      <c r="Q42" s="71">
        <f>VLOOKUP($C42,ETF!$A:$V,21,FALSE)</f>
        <v>27.78</v>
      </c>
      <c r="R42" s="72"/>
      <c r="S42" s="90"/>
      <c r="T42" s="121">
        <f>VLOOKUP($C42,資料上傳!$E:$I,5,FALSE)</f>
        <v>27.77</v>
      </c>
      <c r="U42" s="121">
        <f>VLOOKUP($C42,資料上傳!$E:$I,4,FALSE)</f>
        <v>27.96</v>
      </c>
      <c r="V42" s="131">
        <f t="shared" si="8"/>
        <v>-190.00000000000128</v>
      </c>
      <c r="W42" s="70">
        <f t="shared" si="9"/>
        <v>-6.7954220314735414E-3</v>
      </c>
      <c r="X42" s="73"/>
      <c r="Y42" s="73"/>
      <c r="Z42" s="73"/>
      <c r="AA42" s="73"/>
      <c r="AB42" s="74"/>
      <c r="AC42" s="50">
        <f t="shared" si="2"/>
        <v>0</v>
      </c>
    </row>
    <row r="43" spans="1:29">
      <c r="A43" s="88"/>
      <c r="B43" s="68" t="s">
        <v>1706</v>
      </c>
      <c r="C43" s="68" t="s">
        <v>1721</v>
      </c>
      <c r="D43" s="69" t="str">
        <f>VLOOKUP($C43,ETF!$A:$V,2,FALSE)</f>
        <v>國泰中國A150</v>
      </c>
      <c r="E43" s="69">
        <f>VLOOKUP($C43,ETF!$A:$V,22,FALSE)</f>
        <v>29.05</v>
      </c>
      <c r="F43" s="107">
        <f>VLOOKUP($C43,ETF!$A:$V,12,FALSE)</f>
        <v>29.17</v>
      </c>
      <c r="G43" s="127">
        <f t="shared" si="3"/>
        <v>-120.00000000000099</v>
      </c>
      <c r="H43" s="70">
        <f t="shared" si="4"/>
        <v>-4.1138155639355301E-3</v>
      </c>
      <c r="I43" s="70">
        <f t="shared" si="0"/>
        <v>0</v>
      </c>
      <c r="J43" s="70">
        <f t="shared" ref="J43:K79" si="25">E43/T43-1</f>
        <v>0</v>
      </c>
      <c r="K43" s="70">
        <f t="shared" si="25"/>
        <v>0</v>
      </c>
      <c r="L43" s="70">
        <f t="shared" si="5"/>
        <v>2.4096385542169418E-3</v>
      </c>
      <c r="M43" s="72">
        <f>VLOOKUP($C43,ETF!$A:$V,22,FALSE)</f>
        <v>29.05</v>
      </c>
      <c r="N43" s="72">
        <f>VLOOKUP($C43,ETF!$A:$V,20,FALSE)</f>
        <v>29.05</v>
      </c>
      <c r="O43" s="72"/>
      <c r="P43" s="90"/>
      <c r="Q43" s="71">
        <f>VLOOKUP($C43,ETF!$A:$V,21,FALSE)</f>
        <v>29.12</v>
      </c>
      <c r="R43" s="72"/>
      <c r="S43" s="90"/>
      <c r="T43" s="121">
        <f>VLOOKUP($C43,資料上傳!$E:$I,5,FALSE)</f>
        <v>29.05</v>
      </c>
      <c r="U43" s="121">
        <f>VLOOKUP($C43,資料上傳!$E:$I,4,FALSE)</f>
        <v>29.17</v>
      </c>
      <c r="V43" s="131">
        <f t="shared" si="8"/>
        <v>-120.00000000000099</v>
      </c>
      <c r="W43" s="70">
        <f t="shared" si="9"/>
        <v>-4.1138155639355301E-3</v>
      </c>
      <c r="X43" s="73"/>
      <c r="Y43" s="73"/>
      <c r="Z43" s="73"/>
      <c r="AA43" s="73"/>
      <c r="AB43" s="74"/>
      <c r="AC43" s="50">
        <f t="shared" si="2"/>
        <v>0</v>
      </c>
    </row>
    <row r="44" spans="1:29">
      <c r="A44" s="104"/>
      <c r="B44" s="68" t="s">
        <v>1706</v>
      </c>
      <c r="C44" s="68" t="s">
        <v>1722</v>
      </c>
      <c r="D44" s="69" t="str">
        <f>VLOOKUP($C44,ETF!$A:$V,2,FALSE)</f>
        <v>中信中國50</v>
      </c>
      <c r="E44" s="69">
        <f>VLOOKUP($C44,ETF!$A:$V,22,FALSE)</f>
        <v>27.52</v>
      </c>
      <c r="F44" s="107">
        <f>VLOOKUP($C44,ETF!$A:$V,12,FALSE)</f>
        <v>27.39</v>
      </c>
      <c r="G44" s="127">
        <f t="shared" si="3"/>
        <v>129.99999999999901</v>
      </c>
      <c r="H44" s="70">
        <f t="shared" si="4"/>
        <v>4.7462577583059495E-3</v>
      </c>
      <c r="I44" s="70">
        <f t="shared" si="0"/>
        <v>0</v>
      </c>
      <c r="J44" s="70">
        <f t="shared" si="25"/>
        <v>0</v>
      </c>
      <c r="K44" s="70">
        <f t="shared" si="25"/>
        <v>0</v>
      </c>
      <c r="L44" s="70">
        <f t="shared" si="5"/>
        <v>3.6350418029806875E-4</v>
      </c>
      <c r="M44" s="72">
        <f>VLOOKUP($C44,ETF!$A:$V,22,FALSE)</f>
        <v>27.52</v>
      </c>
      <c r="N44" s="72">
        <f>VLOOKUP($C44,ETF!$A:$V,20,FALSE)</f>
        <v>27.51</v>
      </c>
      <c r="O44" s="72"/>
      <c r="P44" s="90"/>
      <c r="Q44" s="71">
        <f>VLOOKUP($C44,ETF!$A:$V,21,FALSE)</f>
        <v>27.52</v>
      </c>
      <c r="R44" s="72"/>
      <c r="S44" s="90"/>
      <c r="T44" s="121">
        <f>VLOOKUP($C44,資料上傳!$E:$I,5,FALSE)</f>
        <v>27.52</v>
      </c>
      <c r="U44" s="121">
        <f>VLOOKUP($C44,資料上傳!$E:$I,4,FALSE)</f>
        <v>27.39</v>
      </c>
      <c r="V44" s="131">
        <f t="shared" si="8"/>
        <v>129.99999999999901</v>
      </c>
      <c r="W44" s="70">
        <f t="shared" si="9"/>
        <v>4.7462577583059495E-3</v>
      </c>
      <c r="X44" s="73"/>
      <c r="Y44" s="73"/>
      <c r="Z44" s="73"/>
      <c r="AA44" s="73"/>
      <c r="AB44" s="74"/>
      <c r="AC44" s="50">
        <f t="shared" si="2"/>
        <v>0</v>
      </c>
    </row>
    <row r="45" spans="1:29">
      <c r="A45" s="88"/>
      <c r="B45" s="68" t="s">
        <v>1706</v>
      </c>
      <c r="C45" s="68" t="s">
        <v>1723</v>
      </c>
      <c r="D45" s="69" t="str">
        <f>VLOOKUP($C45,ETF!$A:$V,2,FALSE)</f>
        <v>中信中國50正2</v>
      </c>
      <c r="E45" s="69">
        <f>VLOOKUP($C45,ETF!$A:$V,22,FALSE)</f>
        <v>33.36</v>
      </c>
      <c r="F45" s="107">
        <f>VLOOKUP($C45,ETF!$A:$V,12,FALSE)</f>
        <v>33.394501279121002</v>
      </c>
      <c r="G45" s="127">
        <f t="shared" si="3"/>
        <v>-34.501279121002426</v>
      </c>
      <c r="H45" s="70">
        <f t="shared" si="4"/>
        <v>-1.0331425174651132E-3</v>
      </c>
      <c r="I45" s="70">
        <f t="shared" si="0"/>
        <v>-5.4861427036501098E-4</v>
      </c>
      <c r="J45" s="70">
        <f t="shared" si="25"/>
        <v>0</v>
      </c>
      <c r="K45" s="70">
        <f t="shared" si="25"/>
        <v>5.4918165328077251E-4</v>
      </c>
      <c r="L45" s="70">
        <f t="shared" si="5"/>
        <v>1.1994002998501063E-3</v>
      </c>
      <c r="M45" s="72">
        <f>VLOOKUP($C45,ETF!$A:$V,22,FALSE)</f>
        <v>33.36</v>
      </c>
      <c r="N45" s="72">
        <f>VLOOKUP($C45,ETF!$A:$V,20,FALSE)</f>
        <v>33.35</v>
      </c>
      <c r="O45" s="72">
        <f>VLOOKUP($C45,ETF!$A:$V,9,FALSE)</f>
        <v>33.3700618375833</v>
      </c>
      <c r="P45" s="90">
        <f t="shared" si="6"/>
        <v>-6.0119270023961668E-4</v>
      </c>
      <c r="Q45" s="71">
        <f>VLOOKUP($C45,ETF!$A:$V,21,FALSE)</f>
        <v>33.39</v>
      </c>
      <c r="R45" s="72">
        <f>VLOOKUP($C45,ETF!$A:$V,10,FALSE)</f>
        <v>33.47392946411852</v>
      </c>
      <c r="S45" s="90">
        <f t="shared" si="7"/>
        <v>-2.5073083878152103E-3</v>
      </c>
      <c r="T45" s="121">
        <f>VLOOKUP($C45,資料上傳!$E:$I,5,FALSE)</f>
        <v>33.36</v>
      </c>
      <c r="U45" s="121">
        <f>VLOOKUP($C45,資料上傳!$E:$I,4,FALSE)</f>
        <v>33.376171697967727</v>
      </c>
      <c r="V45" s="131">
        <f t="shared" si="8"/>
        <v>-16.171697967727994</v>
      </c>
      <c r="W45" s="70">
        <f t="shared" si="9"/>
        <v>-4.8452824710010223E-4</v>
      </c>
      <c r="X45" s="73"/>
      <c r="Y45" s="73"/>
      <c r="Z45" s="73"/>
      <c r="AA45" s="73"/>
      <c r="AB45" s="74"/>
      <c r="AC45" s="50">
        <f t="shared" si="2"/>
        <v>0</v>
      </c>
    </row>
    <row r="46" spans="1:29">
      <c r="A46" s="88"/>
      <c r="B46" s="68" t="s">
        <v>1706</v>
      </c>
      <c r="C46" s="68" t="s">
        <v>1724</v>
      </c>
      <c r="D46" s="69" t="str">
        <f>VLOOKUP($C46,ETF!$A:$V,2,FALSE)</f>
        <v>富邦中証500</v>
      </c>
      <c r="E46" s="69">
        <f>VLOOKUP($C46,ETF!$A:$V,22,FALSE)</f>
        <v>22.15</v>
      </c>
      <c r="F46" s="107">
        <f>VLOOKUP($C46,ETF!$A:$V,12,FALSE)</f>
        <v>22.28</v>
      </c>
      <c r="G46" s="127">
        <f t="shared" si="3"/>
        <v>-130.00000000000256</v>
      </c>
      <c r="H46" s="70">
        <f t="shared" si="4"/>
        <v>-5.8348294434471537E-3</v>
      </c>
      <c r="I46" s="70">
        <f t="shared" si="0"/>
        <v>0</v>
      </c>
      <c r="J46" s="70">
        <f t="shared" si="25"/>
        <v>0</v>
      </c>
      <c r="K46" s="70">
        <f t="shared" si="25"/>
        <v>0</v>
      </c>
      <c r="L46" s="90">
        <f t="shared" si="5"/>
        <v>9.0375056484415239E-4</v>
      </c>
      <c r="M46" s="72">
        <f>VLOOKUP($C46,ETF!$A:$V,22,FALSE)</f>
        <v>22.15</v>
      </c>
      <c r="N46" s="72">
        <f>VLOOKUP($C46,ETF!$A:$V,20,FALSE)</f>
        <v>22.13</v>
      </c>
      <c r="O46" s="72"/>
      <c r="P46" s="90"/>
      <c r="Q46" s="71">
        <f>VLOOKUP($C46,ETF!$A:$V,21,FALSE)</f>
        <v>22.15</v>
      </c>
      <c r="R46" s="72"/>
      <c r="S46" s="90"/>
      <c r="T46" s="121">
        <f>VLOOKUP($C46,資料上傳!$E:$I,5,FALSE)</f>
        <v>22.15</v>
      </c>
      <c r="U46" s="121">
        <f>VLOOKUP($C46,資料上傳!$E:$I,4,FALSE)</f>
        <v>22.28</v>
      </c>
      <c r="V46" s="131">
        <f t="shared" si="8"/>
        <v>-130.00000000000256</v>
      </c>
      <c r="W46" s="70">
        <f t="shared" si="9"/>
        <v>-5.8348294434471537E-3</v>
      </c>
      <c r="X46" s="73"/>
      <c r="Y46" s="73"/>
      <c r="Z46" s="73"/>
      <c r="AA46" s="73"/>
      <c r="AB46" s="74"/>
      <c r="AC46" s="50">
        <f t="shared" si="2"/>
        <v>0</v>
      </c>
    </row>
    <row r="47" spans="1:29" ht="14.25" thickBot="1">
      <c r="A47" s="75"/>
      <c r="B47" s="76" t="s">
        <v>1706</v>
      </c>
      <c r="C47" s="76" t="s">
        <v>1725</v>
      </c>
      <c r="D47" s="77" t="str">
        <f>VLOOKUP($C47,ETF!$A:$V,2,FALSE)</f>
        <v>BP上證50</v>
      </c>
      <c r="E47" s="77">
        <f>VLOOKUP($C47,ETF!$A:$V,22,FALSE)</f>
        <v>122.5</v>
      </c>
      <c r="F47" s="119">
        <f>VLOOKUP($C47,ETF!$A:$V,12,FALSE)</f>
        <v>125.55</v>
      </c>
      <c r="G47" s="128">
        <f t="shared" si="3"/>
        <v>-3049.9999999999973</v>
      </c>
      <c r="H47" s="78">
        <f t="shared" si="4"/>
        <v>-2.4293110314615673E-2</v>
      </c>
      <c r="I47" s="78">
        <f t="shared" si="0"/>
        <v>0</v>
      </c>
      <c r="J47" s="78">
        <f t="shared" si="25"/>
        <v>0</v>
      </c>
      <c r="K47" s="78">
        <f t="shared" si="25"/>
        <v>0</v>
      </c>
      <c r="L47" s="93">
        <f t="shared" si="5"/>
        <v>0.35964912280701755</v>
      </c>
      <c r="M47" s="80">
        <f>VLOOKUP($C47,ETF!$A:$V,22,FALSE)</f>
        <v>122.5</v>
      </c>
      <c r="N47" s="80">
        <f>VLOOKUP($C47,ETF!$A:$V,20,FALSE)</f>
        <v>91.2</v>
      </c>
      <c r="O47" s="80"/>
      <c r="P47" s="93"/>
      <c r="Q47" s="79">
        <f>VLOOKUP($C47,ETF!$A:$V,21,FALSE)</f>
        <v>124</v>
      </c>
      <c r="R47" s="80"/>
      <c r="S47" s="93"/>
      <c r="T47" s="122">
        <f>VLOOKUP($C47,資料上傳!$E:$I,5,FALSE)</f>
        <v>122.5</v>
      </c>
      <c r="U47" s="122">
        <f>VLOOKUP($C47,資料上傳!$E:$I,4,FALSE)</f>
        <v>125.55</v>
      </c>
      <c r="V47" s="133">
        <f t="shared" si="8"/>
        <v>-3049.9999999999973</v>
      </c>
      <c r="W47" s="78">
        <f t="shared" si="9"/>
        <v>-2.4293110314615673E-2</v>
      </c>
      <c r="X47" s="81"/>
      <c r="Y47" s="81"/>
      <c r="Z47" s="81"/>
      <c r="AA47" s="81"/>
      <c r="AB47" s="82"/>
      <c r="AC47" s="50">
        <f t="shared" si="2"/>
        <v>0</v>
      </c>
    </row>
    <row r="48" spans="1:29">
      <c r="A48" s="83" t="s">
        <v>1726</v>
      </c>
      <c r="B48" s="60" t="s">
        <v>1727</v>
      </c>
      <c r="C48" s="60" t="s">
        <v>51</v>
      </c>
      <c r="D48" s="61" t="str">
        <f>VLOOKUP($C48,ETF!$A:$V,2,FALSE)</f>
        <v>FH香港正2</v>
      </c>
      <c r="E48" s="61">
        <f>VLOOKUP($C48,ETF!$A:$V,22,FALSE)</f>
        <v>28.44</v>
      </c>
      <c r="F48" s="64">
        <f>VLOOKUP($C48,ETF!$A:$V,12,FALSE)</f>
        <v>28.679023876320251</v>
      </c>
      <c r="G48" s="126">
        <f t="shared" si="3"/>
        <v>-239.02387632024968</v>
      </c>
      <c r="H48" s="62">
        <f t="shared" si="4"/>
        <v>-8.3344495039667787E-3</v>
      </c>
      <c r="I48" s="62">
        <f t="shared" si="0"/>
        <v>-4.8705826218025106E-3</v>
      </c>
      <c r="J48" s="62">
        <f t="shared" si="25"/>
        <v>0</v>
      </c>
      <c r="K48" s="62">
        <f t="shared" si="25"/>
        <v>4.9115174156915131E-3</v>
      </c>
      <c r="L48" s="62">
        <f t="shared" si="5"/>
        <v>2.4613220815752346E-3</v>
      </c>
      <c r="M48" s="86">
        <f>VLOOKUP($C48,ETF!$A:$V,22,FALSE)</f>
        <v>28.44</v>
      </c>
      <c r="N48" s="86">
        <f>VLOOKUP($C48,ETF!$A:$V,20,FALSE)</f>
        <v>28.44</v>
      </c>
      <c r="O48" s="86">
        <f>VLOOKUP($C48,ETF!$A:$V,9,FALSE)</f>
        <v>28.676992440344243</v>
      </c>
      <c r="P48" s="87">
        <f t="shared" si="6"/>
        <v>-8.2642013745775067E-3</v>
      </c>
      <c r="Q48" s="85">
        <f>VLOOKUP($C48,ETF!$A:$V,21,FALSE)</f>
        <v>28.51</v>
      </c>
      <c r="R48" s="86">
        <f>VLOOKUP($C48,ETF!$A:$V,10,FALSE)</f>
        <v>28.679023876320251</v>
      </c>
      <c r="S48" s="87">
        <f t="shared" si="7"/>
        <v>-5.8936411869934258E-3</v>
      </c>
      <c r="T48" s="123">
        <f>VLOOKUP($C48,資料上傳!$E:$I,5,FALSE)</f>
        <v>28.44</v>
      </c>
      <c r="U48" s="123">
        <f>VLOOKUP($C48,資料上傳!$E:$I,4,FALSE)</f>
        <v>28.538854793975748</v>
      </c>
      <c r="V48" s="132">
        <f t="shared" si="8"/>
        <v>-98.854793975746702</v>
      </c>
      <c r="W48" s="62">
        <f t="shared" si="9"/>
        <v>-3.4638668821642682E-3</v>
      </c>
      <c r="X48" s="65"/>
      <c r="Y48" s="65"/>
      <c r="Z48" s="65"/>
      <c r="AA48" s="65"/>
      <c r="AB48" s="66"/>
      <c r="AC48" s="50">
        <f t="shared" si="2"/>
        <v>0</v>
      </c>
    </row>
    <row r="49" spans="1:33">
      <c r="A49" s="67"/>
      <c r="B49" s="68" t="s">
        <v>1727</v>
      </c>
      <c r="C49" s="68" t="s">
        <v>52</v>
      </c>
      <c r="D49" s="69" t="str">
        <f>VLOOKUP($C49,ETF!$A:$V,2,FALSE)</f>
        <v>FH香港反1</v>
      </c>
      <c r="E49" s="69">
        <f>VLOOKUP($C49,ETF!$A:$V,22,FALSE)</f>
        <v>7.08</v>
      </c>
      <c r="F49" s="107">
        <f>VLOOKUP($C49,ETF!$A:$V,12,FALSE)</f>
        <v>7.0939668309771831</v>
      </c>
      <c r="G49" s="127">
        <f t="shared" si="3"/>
        <v>-13.966830977182987</v>
      </c>
      <c r="H49" s="70">
        <f t="shared" si="4"/>
        <v>-1.9688322922788437E-3</v>
      </c>
      <c r="I49" s="70">
        <f t="shared" si="0"/>
        <v>2.523055366339344E-3</v>
      </c>
      <c r="J49" s="70">
        <f t="shared" si="25"/>
        <v>0</v>
      </c>
      <c r="K49" s="70">
        <f t="shared" si="25"/>
        <v>-2.5280326386342145E-3</v>
      </c>
      <c r="L49" s="70">
        <f t="shared" si="5"/>
        <v>2.8288543140027045E-3</v>
      </c>
      <c r="M49" s="72">
        <f>VLOOKUP($C49,ETF!$A:$V,22,FALSE)</f>
        <v>7.08</v>
      </c>
      <c r="N49" s="72">
        <f>VLOOKUP($C49,ETF!$A:$V,20,FALSE)</f>
        <v>7.07</v>
      </c>
      <c r="O49" s="72">
        <f>VLOOKUP($C49,ETF!$A:$V,9,FALSE)</f>
        <v>7.0939668309771831</v>
      </c>
      <c r="P49" s="90">
        <f t="shared" si="6"/>
        <v>-3.3784808342388617E-3</v>
      </c>
      <c r="Q49" s="71">
        <f>VLOOKUP($C49,ETF!$A:$V,21,FALSE)</f>
        <v>7.09</v>
      </c>
      <c r="R49" s="72">
        <f>VLOOKUP($C49,ETF!$A:$V,10,FALSE)</f>
        <v>7.0942273995535725</v>
      </c>
      <c r="S49" s="90">
        <f t="shared" si="7"/>
        <v>-5.9589287394967716E-4</v>
      </c>
      <c r="T49" s="121">
        <f>VLOOKUP($C49,資料上傳!$E:$I,5,FALSE)</f>
        <v>7.08</v>
      </c>
      <c r="U49" s="121">
        <f>VLOOKUP($C49,資料上傳!$E:$I,4,FALSE)</f>
        <v>7.1119460627480162</v>
      </c>
      <c r="V49" s="131">
        <f t="shared" si="8"/>
        <v>-31.946062748016146</v>
      </c>
      <c r="W49" s="70">
        <f t="shared" si="9"/>
        <v>-4.4918876586181877E-3</v>
      </c>
      <c r="X49" s="73"/>
      <c r="Y49" s="73"/>
      <c r="Z49" s="73"/>
      <c r="AA49" s="73"/>
      <c r="AB49" s="74"/>
      <c r="AC49" s="50">
        <f t="shared" si="2"/>
        <v>0</v>
      </c>
    </row>
    <row r="50" spans="1:33">
      <c r="A50" s="104"/>
      <c r="B50" s="68" t="s">
        <v>1727</v>
      </c>
      <c r="C50" s="68" t="s">
        <v>56</v>
      </c>
      <c r="D50" s="69" t="str">
        <f>VLOOKUP($C50,ETF!$A:$V,2,FALSE)</f>
        <v>國泰中國A50正2</v>
      </c>
      <c r="E50" s="69">
        <f>VLOOKUP($C50,ETF!$A:$V,22,FALSE)</f>
        <v>49.97</v>
      </c>
      <c r="F50" s="107">
        <f>VLOOKUP($C50,ETF!$A:$V,12,FALSE)</f>
        <v>50.269175012005675</v>
      </c>
      <c r="G50" s="127">
        <f t="shared" si="3"/>
        <v>-299.17501200567642</v>
      </c>
      <c r="H50" s="70">
        <f t="shared" si="4"/>
        <v>-5.9514605508091956E-3</v>
      </c>
      <c r="I50" s="70">
        <f t="shared" si="0"/>
        <v>-3.6732430154122753E-3</v>
      </c>
      <c r="J50" s="70">
        <f t="shared" si="25"/>
        <v>0</v>
      </c>
      <c r="K50" s="70">
        <f t="shared" si="25"/>
        <v>3.6952350611043627E-3</v>
      </c>
      <c r="L50" s="70">
        <f t="shared" si="5"/>
        <v>4.0024014408657216E-4</v>
      </c>
      <c r="M50" s="72">
        <f>VLOOKUP($C50,ETF!$A:$V,22,FALSE)</f>
        <v>49.97</v>
      </c>
      <c r="N50" s="72">
        <f>VLOOKUP($C50,ETF!$A:$V,20,FALSE)</f>
        <v>49.97</v>
      </c>
      <c r="O50" s="72">
        <f>VLOOKUP($C50,ETF!$A:$V,9,FALSE)</f>
        <v>50.269175012005675</v>
      </c>
      <c r="P50" s="90">
        <f t="shared" si="6"/>
        <v>-5.9514605508091956E-3</v>
      </c>
      <c r="Q50" s="71">
        <f>VLOOKUP($C50,ETF!$A:$V,21,FALSE)</f>
        <v>49.99</v>
      </c>
      <c r="R50" s="72">
        <f>VLOOKUP($C50,ETF!$A:$V,10,FALSE)</f>
        <v>50.274987170644877</v>
      </c>
      <c r="S50" s="90">
        <f t="shared" si="7"/>
        <v>-5.6685677447825267E-3</v>
      </c>
      <c r="T50" s="121">
        <f>VLOOKUP($C50,資料上傳!$E:$I,5,FALSE)</f>
        <v>49.97</v>
      </c>
      <c r="U50" s="121">
        <f>VLOOKUP($C50,資料上傳!$E:$I,4,FALSE)</f>
        <v>50.084102480515725</v>
      </c>
      <c r="V50" s="131">
        <f t="shared" si="8"/>
        <v>-114.1024805157258</v>
      </c>
      <c r="W50" s="70">
        <f t="shared" si="9"/>
        <v>-2.2782175353969203E-3</v>
      </c>
      <c r="X50" s="73"/>
      <c r="Y50" s="73"/>
      <c r="Z50" s="73"/>
      <c r="AA50" s="73"/>
      <c r="AB50" s="74"/>
      <c r="AC50" s="50">
        <f t="shared" si="2"/>
        <v>0</v>
      </c>
    </row>
    <row r="51" spans="1:33" ht="12.75" customHeight="1">
      <c r="A51" s="88"/>
      <c r="B51" s="68" t="s">
        <v>1727</v>
      </c>
      <c r="C51" s="68" t="s">
        <v>68</v>
      </c>
      <c r="D51" s="69" t="str">
        <f>VLOOKUP($C51,ETF!$A:$V,2,FALSE)</f>
        <v>富邦恒生國企反1</v>
      </c>
      <c r="E51" s="69">
        <f>VLOOKUP($C51,ETF!$A:$V,22,FALSE)</f>
        <v>11.49</v>
      </c>
      <c r="F51" s="107">
        <f>VLOOKUP($C51,ETF!$A:$V,12,FALSE)</f>
        <v>11.588010649003877</v>
      </c>
      <c r="G51" s="127">
        <f t="shared" si="3"/>
        <v>-98.010649003876793</v>
      </c>
      <c r="H51" s="70">
        <f t="shared" si="4"/>
        <v>-8.4579357037699587E-3</v>
      </c>
      <c r="I51" s="70">
        <f t="shared" si="0"/>
        <v>1.8629249515987878E-3</v>
      </c>
      <c r="J51" s="70">
        <f t="shared" si="25"/>
        <v>0</v>
      </c>
      <c r="K51" s="70">
        <f t="shared" si="25"/>
        <v>-1.8788158553020295E-3</v>
      </c>
      <c r="L51" s="70">
        <f t="shared" si="5"/>
        <v>4.3630017452005454E-3</v>
      </c>
      <c r="M51" s="72">
        <f>VLOOKUP($C51,ETF!$A:$V,22,FALSE)</f>
        <v>11.49</v>
      </c>
      <c r="N51" s="72">
        <f>VLOOKUP($C51,ETF!$A:$V,20,FALSE)</f>
        <v>11.46</v>
      </c>
      <c r="O51" s="72">
        <f>VLOOKUP($C51,ETF!$A:$V,9,FALSE)</f>
        <v>11.588010649003877</v>
      </c>
      <c r="P51" s="90">
        <f t="shared" si="6"/>
        <v>-1.1046818378172674E-2</v>
      </c>
      <c r="Q51" s="71">
        <f>VLOOKUP($C51,ETF!$A:$V,21,FALSE)</f>
        <v>11.51</v>
      </c>
      <c r="R51" s="72">
        <f>VLOOKUP($C51,ETF!$A:$V,10,FALSE)</f>
        <v>11.589133498131059</v>
      </c>
      <c r="S51" s="90">
        <f t="shared" si="7"/>
        <v>-6.8282497689599042E-3</v>
      </c>
      <c r="T51" s="121">
        <f>VLOOKUP($C51,資料上傳!$E:$I,5,FALSE)</f>
        <v>11.49</v>
      </c>
      <c r="U51" s="121">
        <f>VLOOKUP($C51,資料上傳!$E:$I,4,FALSE)</f>
        <v>11.609823369227238</v>
      </c>
      <c r="V51" s="131">
        <f t="shared" si="8"/>
        <v>-119.82336922723746</v>
      </c>
      <c r="W51" s="70">
        <f t="shared" si="9"/>
        <v>-1.0320860655368747E-2</v>
      </c>
      <c r="X51" s="73"/>
      <c r="Y51" s="73"/>
      <c r="Z51" s="73"/>
      <c r="AA51" s="73"/>
      <c r="AB51" s="74"/>
      <c r="AC51" s="50">
        <f t="shared" si="2"/>
        <v>0</v>
      </c>
    </row>
    <row r="52" spans="1:33" ht="14.25" thickBot="1">
      <c r="A52" s="104"/>
      <c r="B52" s="68" t="s">
        <v>1727</v>
      </c>
      <c r="C52" s="68" t="s">
        <v>100</v>
      </c>
      <c r="D52" s="69" t="str">
        <f>VLOOKUP($C52,ETF!$A:$V,2,FALSE)</f>
        <v>富邦恆生國企</v>
      </c>
      <c r="E52" s="69">
        <f>VLOOKUP($C52,ETF!$A:$V,22,FALSE)</f>
        <v>18.36</v>
      </c>
      <c r="F52" s="107">
        <f>VLOOKUP($C52,ETF!$A:$V,12,FALSE)</f>
        <v>18.48</v>
      </c>
      <c r="G52" s="127">
        <f t="shared" si="3"/>
        <v>-120.00000000000099</v>
      </c>
      <c r="H52" s="70">
        <f t="shared" si="4"/>
        <v>-6.4935064935065512E-3</v>
      </c>
      <c r="I52" s="70">
        <f t="shared" si="0"/>
        <v>0</v>
      </c>
      <c r="J52" s="70">
        <f t="shared" si="25"/>
        <v>0</v>
      </c>
      <c r="K52" s="70">
        <f t="shared" si="25"/>
        <v>0</v>
      </c>
      <c r="L52" s="70">
        <f t="shared" si="5"/>
        <v>4.366812227074135E-3</v>
      </c>
      <c r="M52" s="72">
        <f>VLOOKUP($C52,ETF!$A:$V,22,FALSE)</f>
        <v>18.36</v>
      </c>
      <c r="N52" s="72">
        <f>VLOOKUP($C52,ETF!$A:$V,20,FALSE)</f>
        <v>18.32</v>
      </c>
      <c r="O52" s="72"/>
      <c r="P52" s="90"/>
      <c r="Q52" s="71">
        <f>VLOOKUP($C52,ETF!$A:$V,21,FALSE)</f>
        <v>18.399999999999999</v>
      </c>
      <c r="R52" s="72"/>
      <c r="S52" s="90"/>
      <c r="T52" s="121">
        <f>VLOOKUP($C52,資料上傳!$E:$I,5,FALSE)</f>
        <v>18.36</v>
      </c>
      <c r="U52" s="121">
        <f>VLOOKUP($C52,資料上傳!$E:$I,4,FALSE)</f>
        <v>18.48</v>
      </c>
      <c r="V52" s="131">
        <f t="shared" si="8"/>
        <v>-120.00000000000099</v>
      </c>
      <c r="W52" s="70">
        <f t="shared" si="9"/>
        <v>-6.4935064935065512E-3</v>
      </c>
      <c r="X52" s="73"/>
      <c r="Y52" s="73"/>
      <c r="Z52" s="73"/>
      <c r="AA52" s="73"/>
      <c r="AB52" s="74"/>
      <c r="AC52" s="50">
        <f t="shared" si="2"/>
        <v>0</v>
      </c>
    </row>
    <row r="53" spans="1:33">
      <c r="A53" s="83" t="s">
        <v>1728</v>
      </c>
      <c r="B53" s="60" t="s">
        <v>1728</v>
      </c>
      <c r="C53" s="84" t="s">
        <v>1729</v>
      </c>
      <c r="D53" s="61" t="str">
        <f>VLOOKUP($C53,ETF!$A:$V,2,FALSE)</f>
        <v>富邦印度</v>
      </c>
      <c r="E53" s="61">
        <f>VLOOKUP($C53,ETF!$A:$V,22,FALSE)</f>
        <v>24.76</v>
      </c>
      <c r="F53" s="64">
        <f>VLOOKUP($C53,ETF!$A:$V,12,FALSE)</f>
        <v>25.17</v>
      </c>
      <c r="G53" s="126">
        <f t="shared" si="3"/>
        <v>-410.00000000000011</v>
      </c>
      <c r="H53" s="62">
        <f>$E53/$F53-1</f>
        <v>-1.6289233214143772E-2</v>
      </c>
      <c r="I53" s="62">
        <f>H53-W53</f>
        <v>0</v>
      </c>
      <c r="J53" s="62">
        <f>E53/T53-1</f>
        <v>0</v>
      </c>
      <c r="K53" s="62">
        <f>F53/U53-1</f>
        <v>0</v>
      </c>
      <c r="L53" s="62">
        <f>Q53/N53-1</f>
        <v>8.0840743734844622E-4</v>
      </c>
      <c r="M53" s="86">
        <f>VLOOKUP($C53,ETF!$A:$V,22,FALSE)</f>
        <v>24.76</v>
      </c>
      <c r="N53" s="86">
        <f>VLOOKUP($C53,ETF!$A:$V,20,FALSE)</f>
        <v>24.74</v>
      </c>
      <c r="O53" s="86"/>
      <c r="P53" s="87"/>
      <c r="Q53" s="85">
        <f>VLOOKUP($C53,ETF!$A:$V,21,FALSE)</f>
        <v>24.76</v>
      </c>
      <c r="R53" s="86"/>
      <c r="S53" s="87"/>
      <c r="T53" s="123">
        <f>VLOOKUP($C53,資料上傳!$E:$I,5,FALSE)</f>
        <v>24.76</v>
      </c>
      <c r="U53" s="123">
        <f>VLOOKUP($C53,資料上傳!$E:$I,4,FALSE)</f>
        <v>25.17</v>
      </c>
      <c r="V53" s="132">
        <f t="shared" si="8"/>
        <v>-410.00000000000011</v>
      </c>
      <c r="W53" s="62">
        <f t="shared" si="9"/>
        <v>-1.6289233214143772E-2</v>
      </c>
      <c r="X53" s="65"/>
      <c r="Y53" s="65"/>
      <c r="Z53" s="65"/>
      <c r="AA53" s="65"/>
      <c r="AB53" s="66"/>
      <c r="AC53" s="50">
        <f t="shared" si="2"/>
        <v>0</v>
      </c>
    </row>
    <row r="54" spans="1:33">
      <c r="A54" s="88"/>
      <c r="B54" s="68" t="s">
        <v>1690</v>
      </c>
      <c r="C54" s="89" t="s">
        <v>1730</v>
      </c>
      <c r="D54" s="69" t="str">
        <f>VLOOKUP($C54,ETF!$A:$V,2,FALSE)</f>
        <v>富邦印度正2</v>
      </c>
      <c r="E54" s="69">
        <f>VLOOKUP($C54,ETF!$A:$V,22,FALSE)</f>
        <v>33.83</v>
      </c>
      <c r="F54" s="107">
        <f>VLOOKUP($C54,ETF!$A:$V,12,FALSE)</f>
        <v>33.815686637206333</v>
      </c>
      <c r="G54" s="127">
        <f t="shared" si="3"/>
        <v>14.313362793664908</v>
      </c>
      <c r="H54" s="70">
        <f>$E54/$F54-1</f>
        <v>4.2327582897327964E-4</v>
      </c>
      <c r="I54" s="70">
        <f>H54-W54</f>
        <v>3.1423959625932474E-3</v>
      </c>
      <c r="J54" s="70">
        <f>E54/T54-1</f>
        <v>0</v>
      </c>
      <c r="K54" s="70">
        <f>F54/U54-1</f>
        <v>-3.1410664250983711E-3</v>
      </c>
      <c r="L54" s="70">
        <f>Q54/N54-1</f>
        <v>5.9119125036954934E-4</v>
      </c>
      <c r="M54" s="72">
        <f>VLOOKUP($C54,ETF!$A:$V,22,FALSE)</f>
        <v>33.83</v>
      </c>
      <c r="N54" s="72">
        <f>VLOOKUP($C54,ETF!$A:$V,20,FALSE)</f>
        <v>33.83</v>
      </c>
      <c r="O54" s="72">
        <f>VLOOKUP($C54,ETF!$A:$V,9,FALSE)</f>
        <v>33.815686637206333</v>
      </c>
      <c r="P54" s="90">
        <f>IF($O54&lt;&gt;"",$N54/$O54-1,0)</f>
        <v>4.2327582897327964E-4</v>
      </c>
      <c r="Q54" s="71">
        <f>VLOOKUP($C54,ETF!$A:$V,21,FALSE)</f>
        <v>33.85</v>
      </c>
      <c r="R54" s="72">
        <f>VLOOKUP($C54,ETF!$A:$V,10,FALSE)</f>
        <v>33.820319333069932</v>
      </c>
      <c r="S54" s="90">
        <f>IF($R54&lt;&gt;"",$Q54/$R54-1,0)</f>
        <v>8.7759866007663945E-4</v>
      </c>
      <c r="T54" s="121">
        <f>VLOOKUP($C54,資料上傳!$E:$I,5,FALSE)</f>
        <v>33.83</v>
      </c>
      <c r="U54" s="121">
        <f>VLOOKUP($C54,資料上傳!$E:$I,4,FALSE)</f>
        <v>33.922238642069111</v>
      </c>
      <c r="V54" s="131">
        <f t="shared" si="8"/>
        <v>-92.238642069112586</v>
      </c>
      <c r="W54" s="70">
        <f t="shared" si="9"/>
        <v>-2.7191201336199677E-3</v>
      </c>
      <c r="X54" s="73"/>
      <c r="Y54" s="73"/>
      <c r="Z54" s="73"/>
      <c r="AA54" s="73"/>
      <c r="AB54" s="74"/>
      <c r="AC54" s="50">
        <f t="shared" si="2"/>
        <v>0</v>
      </c>
    </row>
    <row r="55" spans="1:33" ht="14.25" thickBot="1">
      <c r="A55" s="88"/>
      <c r="B55" s="68" t="s">
        <v>1690</v>
      </c>
      <c r="C55" s="89" t="s">
        <v>1731</v>
      </c>
      <c r="D55" s="69" t="str">
        <f>VLOOKUP($C55,ETF!$A:$V,2,FALSE)</f>
        <v>富邦印度反1</v>
      </c>
      <c r="E55" s="69">
        <f>VLOOKUP($C55,ETF!$A:$V,22,FALSE)</f>
        <v>9.86</v>
      </c>
      <c r="F55" s="107">
        <f>VLOOKUP($C55,ETF!$A:$V,12,FALSE)</f>
        <v>9.8559448010894819</v>
      </c>
      <c r="G55" s="127">
        <f t="shared" si="3"/>
        <v>4.0551989105175323</v>
      </c>
      <c r="H55" s="70">
        <f>$E55/$F55-1</f>
        <v>4.1144699897976977E-4</v>
      </c>
      <c r="I55" s="70">
        <f t="shared" ref="I55" si="26">H55-W55</f>
        <v>-1.5512652430487162E-3</v>
      </c>
      <c r="J55" s="70">
        <f t="shared" ref="J55:K55" si="27">E55/T55-1</f>
        <v>0</v>
      </c>
      <c r="K55" s="70">
        <f t="shared" si="27"/>
        <v>1.5506272421235145E-3</v>
      </c>
      <c r="L55" s="70">
        <f t="shared" ref="L55" si="28">Q55/N55-1</f>
        <v>2.0283975659229903E-3</v>
      </c>
      <c r="M55" s="72">
        <f>VLOOKUP($C55,ETF!$A:$V,22,FALSE)</f>
        <v>9.86</v>
      </c>
      <c r="N55" s="72">
        <f>VLOOKUP($C55,ETF!$A:$V,20,FALSE)</f>
        <v>9.86</v>
      </c>
      <c r="O55" s="72">
        <f>VLOOKUP($C55,ETF!$A:$V,9,FALSE)</f>
        <v>9.8552813560842747</v>
      </c>
      <c r="P55" s="90">
        <f>IF($O55&lt;&gt;"",$N55/$O55-1,0)</f>
        <v>4.7879342509205003E-4</v>
      </c>
      <c r="Q55" s="71">
        <f>VLOOKUP($C55,ETF!$A:$V,21,FALSE)</f>
        <v>9.8800000000000008</v>
      </c>
      <c r="R55" s="72">
        <f>VLOOKUP($C55,ETF!$A:$V,10,FALSE)</f>
        <v>9.8559448010894819</v>
      </c>
      <c r="S55" s="90">
        <f>IF($R55&lt;&gt;"",$Q55/$R55-1,0)</f>
        <v>2.4406791429940622E-3</v>
      </c>
      <c r="T55" s="121">
        <f>VLOOKUP($C55,資料上傳!$E:$I,5,FALSE)</f>
        <v>9.86</v>
      </c>
      <c r="U55" s="121">
        <f>VLOOKUP($C55,資料上傳!$E:$I,4,FALSE)</f>
        <v>9.8406855659697179</v>
      </c>
      <c r="V55" s="131">
        <f t="shared" si="8"/>
        <v>19.314434030281546</v>
      </c>
      <c r="W55" s="70">
        <f t="shared" si="9"/>
        <v>1.9627122420284859E-3</v>
      </c>
      <c r="X55" s="73"/>
      <c r="Y55" s="73"/>
      <c r="Z55" s="73"/>
      <c r="AA55" s="73"/>
      <c r="AB55" s="74"/>
      <c r="AC55" s="50">
        <f t="shared" si="2"/>
        <v>0</v>
      </c>
    </row>
    <row r="56" spans="1:33" ht="14.25" thickBot="1">
      <c r="A56" s="144" t="s">
        <v>2712</v>
      </c>
      <c r="B56" s="96" t="s">
        <v>2713</v>
      </c>
      <c r="C56" s="96" t="s">
        <v>2702</v>
      </c>
      <c r="D56" s="97" t="str">
        <f>VLOOKUP($C56,ETF!$A:$V,2,FALSE)</f>
        <v>富邦越南</v>
      </c>
      <c r="E56" s="97">
        <f>VLOOKUP($C56,ETF!$A:$V,22,FALSE)</f>
        <v>15.24</v>
      </c>
      <c r="F56" s="120">
        <f>VLOOKUP($C56,ETF!$A:$V,12,FALSE)</f>
        <v>15.14</v>
      </c>
      <c r="G56" s="129">
        <f>($E56-$F56)*1000</f>
        <v>99.999999999999645</v>
      </c>
      <c r="H56" s="98">
        <f>$E56/$F56-1</f>
        <v>6.6050198150593431E-3</v>
      </c>
      <c r="I56" s="98">
        <f>H56-W56</f>
        <v>0</v>
      </c>
      <c r="J56" s="98">
        <f>E56/T56-1</f>
        <v>0</v>
      </c>
      <c r="K56" s="98">
        <f>F56/U56-1</f>
        <v>0</v>
      </c>
      <c r="L56" s="101">
        <f>Q56/N56-1</f>
        <v>6.5659881812218934E-4</v>
      </c>
      <c r="M56" s="100">
        <f>VLOOKUP($C56,ETF!$A:$V,22,FALSE)</f>
        <v>15.24</v>
      </c>
      <c r="N56" s="100">
        <f>VLOOKUP($C56,ETF!$A:$V,20,FALSE)</f>
        <v>15.23</v>
      </c>
      <c r="O56" s="100"/>
      <c r="P56" s="101"/>
      <c r="Q56" s="99">
        <f>VLOOKUP($C56,ETF!$A:$V,21,FALSE)</f>
        <v>15.24</v>
      </c>
      <c r="R56" s="100"/>
      <c r="S56" s="101"/>
      <c r="T56" s="124">
        <f>VLOOKUP($C56,資料上傳!$E:$I,5,FALSE)</f>
        <v>15.24</v>
      </c>
      <c r="U56" s="124">
        <f>VLOOKUP($C56,資料上傳!$E:$I,4,FALSE)</f>
        <v>15.14</v>
      </c>
      <c r="V56" s="134">
        <f>(T56-U56)*1000</f>
        <v>99.999999999999645</v>
      </c>
      <c r="W56" s="98">
        <f>T56/U56-1</f>
        <v>6.6050198150593431E-3</v>
      </c>
      <c r="X56" s="102"/>
      <c r="Y56" s="102"/>
      <c r="Z56" s="102"/>
      <c r="AA56" s="102"/>
      <c r="AB56" s="103"/>
      <c r="AC56" s="53">
        <f>(AA56+AB56)</f>
        <v>0</v>
      </c>
      <c r="AD56" s="50" t="e">
        <f>[4]!'00733.TW-TotalVolume'</f>
        <v>#REF!</v>
      </c>
      <c r="AE56" s="105" t="e">
        <f>IF(AD56&lt;&gt;0,AC56/(2*AD56),"")</f>
        <v>#REF!</v>
      </c>
    </row>
    <row r="57" spans="1:33">
      <c r="A57" s="83" t="s">
        <v>1732</v>
      </c>
      <c r="B57" s="60" t="s">
        <v>1732</v>
      </c>
      <c r="C57" s="60" t="s">
        <v>1733</v>
      </c>
      <c r="D57" s="61" t="str">
        <f>VLOOKUP($C57,ETF!$A:$V,2,FALSE)</f>
        <v>元大台灣50正2</v>
      </c>
      <c r="E57" s="61">
        <f>VLOOKUP($C57,ETF!$A:$V,22,FALSE)</f>
        <v>105.2</v>
      </c>
      <c r="F57" s="64">
        <f>VLOOKUP($C57,ETF!$A:$V,12,FALSE)</f>
        <v>104.31464441758854</v>
      </c>
      <c r="G57" s="126">
        <f t="shared" si="3"/>
        <v>885.35558241146362</v>
      </c>
      <c r="H57" s="62">
        <f t="shared" si="4"/>
        <v>8.4873565677627827E-3</v>
      </c>
      <c r="I57" s="62">
        <f t="shared" si="0"/>
        <v>6.3978747504631617E-3</v>
      </c>
      <c r="J57" s="62">
        <f t="shared" si="25"/>
        <v>0</v>
      </c>
      <c r="K57" s="62">
        <f t="shared" si="25"/>
        <v>-6.3440306998368001E-3</v>
      </c>
      <c r="L57" s="87">
        <f t="shared" si="5"/>
        <v>4.7551117451249958E-4</v>
      </c>
      <c r="M57" s="86">
        <f>VLOOKUP($C57,ETF!$A:$V,22,FALSE)</f>
        <v>105.2</v>
      </c>
      <c r="N57" s="86">
        <f>VLOOKUP($C57,ETF!$A:$V,20,FALSE)</f>
        <v>105.15</v>
      </c>
      <c r="O57" s="86">
        <f>VLOOKUP($C57,ETF!$A:$V,9,FALSE)</f>
        <v>104.2917600942022</v>
      </c>
      <c r="P57" s="87">
        <f t="shared" si="6"/>
        <v>8.2292206500551579E-3</v>
      </c>
      <c r="Q57" s="85">
        <f>VLOOKUP($C57,ETF!$A:$V,21,FALSE)</f>
        <v>105.2</v>
      </c>
      <c r="R57" s="86">
        <f>VLOOKUP($C57,ETF!$A:$V,10,FALSE)</f>
        <v>104.32590840073129</v>
      </c>
      <c r="S57" s="87">
        <f t="shared" si="7"/>
        <v>8.3784710113541383E-3</v>
      </c>
      <c r="T57" s="123">
        <f>VLOOKUP($C57,資料上傳!$E:$I,5,FALSE)</f>
        <v>105.2</v>
      </c>
      <c r="U57" s="123">
        <f>VLOOKUP($C57,資料上傳!$E:$I,4,FALSE)</f>
        <v>104.98064485141458</v>
      </c>
      <c r="V57" s="132">
        <f t="shared" si="8"/>
        <v>219.35514858542149</v>
      </c>
      <c r="W57" s="62">
        <f t="shared" si="9"/>
        <v>2.089481817299621E-3</v>
      </c>
      <c r="X57" s="65"/>
      <c r="Y57" s="65"/>
      <c r="Z57" s="65"/>
      <c r="AA57" s="65"/>
      <c r="AB57" s="66"/>
      <c r="AC57" s="53">
        <f>(AA57+AB57)</f>
        <v>0</v>
      </c>
      <c r="AD57" s="50" t="e">
        <f>[4]!'00631L.TW-TotalVolume'</f>
        <v>#REF!</v>
      </c>
      <c r="AE57" s="105" t="e">
        <f>IF(AD57&lt;&gt;0,AC57/(2*AD57),"")</f>
        <v>#REF!</v>
      </c>
    </row>
    <row r="58" spans="1:33">
      <c r="A58" s="67"/>
      <c r="B58" s="68" t="s">
        <v>1732</v>
      </c>
      <c r="C58" s="68" t="s">
        <v>1734</v>
      </c>
      <c r="D58" s="69" t="str">
        <f>VLOOKUP($C58,ETF!$A:$V,2,FALSE)</f>
        <v>元大台灣50反1</v>
      </c>
      <c r="E58" s="69">
        <f>VLOOKUP($C58,ETF!$A:$V,22,FALSE)</f>
        <v>6.3</v>
      </c>
      <c r="F58" s="107">
        <f>VLOOKUP($C58,ETF!$A:$V,12,FALSE)</f>
        <v>6.3079534366041594</v>
      </c>
      <c r="G58" s="127">
        <f t="shared" si="3"/>
        <v>-7.9534366041595916</v>
      </c>
      <c r="H58" s="70">
        <f t="shared" si="4"/>
        <v>-1.2608584835149816E-3</v>
      </c>
      <c r="I58" s="70">
        <f t="shared" si="0"/>
        <v>-3.3072014858883669E-3</v>
      </c>
      <c r="J58" s="70">
        <f t="shared" si="25"/>
        <v>0</v>
      </c>
      <c r="K58" s="70">
        <f t="shared" si="25"/>
        <v>3.3113766632462127E-3</v>
      </c>
      <c r="L58" s="90">
        <f t="shared" si="5"/>
        <v>1.5898251192367763E-3</v>
      </c>
      <c r="M58" s="72">
        <f>VLOOKUP($C58,ETF!$A:$V,22,FALSE)</f>
        <v>6.3</v>
      </c>
      <c r="N58" s="72">
        <f>VLOOKUP($C58,ETF!$A:$V,20,FALSE)</f>
        <v>6.29</v>
      </c>
      <c r="O58" s="72">
        <f>VLOOKUP($C58,ETF!$A:$V,9,FALSE)</f>
        <v>6.307573781066016</v>
      </c>
      <c r="P58" s="90">
        <f t="shared" si="6"/>
        <v>-2.7861395959836166E-3</v>
      </c>
      <c r="Q58" s="71">
        <f>VLOOKUP($C58,ETF!$A:$V,21,FALSE)</f>
        <v>6.3</v>
      </c>
      <c r="R58" s="72">
        <f>VLOOKUP($C58,ETF!$A:$V,10,FALSE)</f>
        <v>6.3085074237669607</v>
      </c>
      <c r="S58" s="90">
        <f t="shared" si="7"/>
        <v>-1.3485636451674443E-3</v>
      </c>
      <c r="T58" s="121">
        <f>VLOOKUP($C58,資料上傳!$E:$I,5,FALSE)</f>
        <v>6.3</v>
      </c>
      <c r="U58" s="121">
        <f>VLOOKUP($C58,資料上傳!$E:$I,4,FALSE)</f>
        <v>6.2871343665839596</v>
      </c>
      <c r="V58" s="131">
        <f t="shared" si="8"/>
        <v>12.86563341604019</v>
      </c>
      <c r="W58" s="70">
        <f t="shared" si="9"/>
        <v>2.0463430023733853E-3</v>
      </c>
      <c r="X58" s="73"/>
      <c r="Y58" s="73"/>
      <c r="Z58" s="73"/>
      <c r="AA58" s="73"/>
      <c r="AB58" s="74"/>
      <c r="AC58" s="53">
        <f t="shared" ref="AC58:AC79" si="29">(AA58+AB58)</f>
        <v>0</v>
      </c>
      <c r="AD58" s="50" t="e">
        <f>[4]!'00632R.TW-TotalVolume'</f>
        <v>#REF!</v>
      </c>
      <c r="AE58" s="105" t="e">
        <f t="shared" ref="AE58:AE79" si="30">IF(AD58&lt;&gt;0,AC58/(2*AD58),"")</f>
        <v>#REF!</v>
      </c>
    </row>
    <row r="59" spans="1:33">
      <c r="A59" s="67"/>
      <c r="B59" s="68" t="s">
        <v>1732</v>
      </c>
      <c r="C59" s="68" t="s">
        <v>1735</v>
      </c>
      <c r="D59" s="69" t="str">
        <f>VLOOKUP($C59,ETF!$A:$V,2,FALSE)</f>
        <v>國泰臺灣加權正2</v>
      </c>
      <c r="E59" s="69">
        <f>VLOOKUP($C59,ETF!$A:$V,22,FALSE)</f>
        <v>93.9</v>
      </c>
      <c r="F59" s="107">
        <f>VLOOKUP($C59,ETF!$A:$V,12,FALSE)</f>
        <v>93.267500395223138</v>
      </c>
      <c r="G59" s="127">
        <f t="shared" si="3"/>
        <v>632.49960477686784</v>
      </c>
      <c r="H59" s="70">
        <f t="shared" si="4"/>
        <v>6.7815648762605818E-3</v>
      </c>
      <c r="I59" s="70">
        <f t="shared" si="0"/>
        <v>6.9479229196544035E-3</v>
      </c>
      <c r="J59" s="70">
        <f t="shared" si="25"/>
        <v>0</v>
      </c>
      <c r="K59" s="70">
        <f t="shared" si="25"/>
        <v>-6.9011225096362594E-3</v>
      </c>
      <c r="L59" s="90">
        <f t="shared" si="5"/>
        <v>2.1299254526090383E-3</v>
      </c>
      <c r="M59" s="72">
        <f>VLOOKUP($C59,ETF!$A:$V,22,FALSE)</f>
        <v>93.9</v>
      </c>
      <c r="N59" s="72">
        <f>VLOOKUP($C59,ETF!$A:$V,20,FALSE)</f>
        <v>93.9</v>
      </c>
      <c r="O59" s="72">
        <f>VLOOKUP($C59,ETF!$A:$V,9,FALSE)</f>
        <v>93.255716336601935</v>
      </c>
      <c r="P59" s="90">
        <f t="shared" si="6"/>
        <v>6.908784669805712E-3</v>
      </c>
      <c r="Q59" s="71">
        <f>VLOOKUP($C59,ETF!$A:$V,21,FALSE)</f>
        <v>94.1</v>
      </c>
      <c r="R59" s="72">
        <f>VLOOKUP($C59,ETF!$A:$V,10,FALSE)</f>
        <v>93.27928445384434</v>
      </c>
      <c r="S59" s="90">
        <f t="shared" si="7"/>
        <v>8.7984760063393175E-3</v>
      </c>
      <c r="T59" s="121">
        <f>VLOOKUP($C59,資料上傳!$E:$I,5,FALSE)</f>
        <v>93.9</v>
      </c>
      <c r="U59" s="121">
        <f>VLOOKUP($C59,資料上傳!$E:$I,4,FALSE)</f>
        <v>93.915623619389436</v>
      </c>
      <c r="V59" s="131">
        <f t="shared" si="8"/>
        <v>-15.623619389430132</v>
      </c>
      <c r="W59" s="70">
        <f t="shared" si="9"/>
        <v>-1.6635804339382165E-4</v>
      </c>
      <c r="X59" s="73"/>
      <c r="Y59" s="73"/>
      <c r="Z59" s="73"/>
      <c r="AA59" s="73"/>
      <c r="AB59" s="74"/>
      <c r="AC59" s="53">
        <f t="shared" si="29"/>
        <v>0</v>
      </c>
      <c r="AD59" s="50" t="e">
        <f>[4]!'00663L.TW-TotalVolume'</f>
        <v>#REF!</v>
      </c>
      <c r="AE59" s="105" t="e">
        <f t="shared" si="30"/>
        <v>#REF!</v>
      </c>
    </row>
    <row r="60" spans="1:33">
      <c r="A60" s="67"/>
      <c r="B60" s="68" t="s">
        <v>1732</v>
      </c>
      <c r="C60" s="68" t="s">
        <v>1736</v>
      </c>
      <c r="D60" s="69" t="str">
        <f>VLOOKUP($C60,ETF!$A:$V,2,FALSE)</f>
        <v>國泰臺灣加權反1</v>
      </c>
      <c r="E60" s="69">
        <f>VLOOKUP($C60,ETF!$A:$V,22,FALSE)</f>
        <v>7.15</v>
      </c>
      <c r="F60" s="107">
        <f>VLOOKUP($C60,ETF!$A:$V,12,FALSE)</f>
        <v>7.1621059691800246</v>
      </c>
      <c r="G60" s="127">
        <f t="shared" si="3"/>
        <v>-12.105969180024267</v>
      </c>
      <c r="H60" s="70">
        <f t="shared" si="4"/>
        <v>-1.6902806565720629E-3</v>
      </c>
      <c r="I60" s="70">
        <f t="shared" si="0"/>
        <v>-3.4323526386449421E-3</v>
      </c>
      <c r="J60" s="70">
        <f t="shared" si="25"/>
        <v>0</v>
      </c>
      <c r="K60" s="70">
        <f t="shared" si="25"/>
        <v>3.4381641009189057E-3</v>
      </c>
      <c r="L60" s="90">
        <f t="shared" si="5"/>
        <v>1.4005602240896309E-3</v>
      </c>
      <c r="M60" s="72">
        <f>VLOOKUP($C60,ETF!$A:$V,22,FALSE)</f>
        <v>7.15</v>
      </c>
      <c r="N60" s="72">
        <f>VLOOKUP($C60,ETF!$A:$V,20,FALSE)</f>
        <v>7.14</v>
      </c>
      <c r="O60" s="72">
        <f>VLOOKUP($C60,ETF!$A:$V,9,FALSE)</f>
        <v>7.1616429479977324</v>
      </c>
      <c r="P60" s="90">
        <f t="shared" si="6"/>
        <v>-3.0220646512102434E-3</v>
      </c>
      <c r="Q60" s="71">
        <f>VLOOKUP($C60,ETF!$A:$V,21,FALSE)</f>
        <v>7.15</v>
      </c>
      <c r="R60" s="72">
        <f>VLOOKUP($C60,ETF!$A:$V,10,FALSE)</f>
        <v>7.1625689903623151</v>
      </c>
      <c r="S60" s="90">
        <f t="shared" si="7"/>
        <v>-1.7548159576860067E-3</v>
      </c>
      <c r="T60" s="121">
        <f>VLOOKUP($C60,資料上傳!$E:$I,5,FALSE)</f>
        <v>7.15</v>
      </c>
      <c r="U60" s="121">
        <f>VLOOKUP($C60,資料上傳!$E:$I,4,FALSE)</f>
        <v>7.1375658465185801</v>
      </c>
      <c r="V60" s="131">
        <f t="shared" si="8"/>
        <v>12.434153481420296</v>
      </c>
      <c r="W60" s="70">
        <f t="shared" si="9"/>
        <v>1.7420719820728792E-3</v>
      </c>
      <c r="X60" s="73"/>
      <c r="Y60" s="73"/>
      <c r="Z60" s="73"/>
      <c r="AA60" s="73"/>
      <c r="AB60" s="74"/>
      <c r="AC60" s="53">
        <f t="shared" si="29"/>
        <v>0</v>
      </c>
      <c r="AD60" s="50" t="e">
        <f>[4]!'00664R.TW-TotalVolume'</f>
        <v>#REF!</v>
      </c>
      <c r="AE60" s="105" t="e">
        <f t="shared" si="30"/>
        <v>#REF!</v>
      </c>
    </row>
    <row r="61" spans="1:33">
      <c r="A61" s="67"/>
      <c r="B61" s="68" t="s">
        <v>1732</v>
      </c>
      <c r="C61" s="68" t="s">
        <v>1737</v>
      </c>
      <c r="D61" s="69" t="str">
        <f>VLOOKUP($C61,ETF!$A:$V,2,FALSE)</f>
        <v>群益臺灣加權正2</v>
      </c>
      <c r="E61" s="69">
        <f>VLOOKUP($C61,ETF!$A:$V,22,FALSE)</f>
        <v>35.200000000000003</v>
      </c>
      <c r="F61" s="107">
        <f>VLOOKUP($C61,ETF!$A:$V,12,FALSE)</f>
        <v>35.282924979389939</v>
      </c>
      <c r="G61" s="127">
        <f t="shared" si="3"/>
        <v>-82.924979389936482</v>
      </c>
      <c r="H61" s="70">
        <f t="shared" si="4"/>
        <v>-2.3502864186678574E-3</v>
      </c>
      <c r="I61" s="70">
        <f t="shared" si="0"/>
        <v>6.8755232007261524E-3</v>
      </c>
      <c r="J61" s="70">
        <f t="shared" si="25"/>
        <v>0</v>
      </c>
      <c r="K61" s="70">
        <f t="shared" si="25"/>
        <v>-6.891720718331773E-3</v>
      </c>
      <c r="L61" s="90">
        <f t="shared" si="5"/>
        <v>4.5351473922901064E-3</v>
      </c>
      <c r="M61" s="72">
        <f>VLOOKUP($C61,ETF!$A:$V,22,FALSE)</f>
        <v>35.200000000000003</v>
      </c>
      <c r="N61" s="72">
        <f>VLOOKUP($C61,ETF!$A:$V,20,FALSE)</f>
        <v>35.28</v>
      </c>
      <c r="O61" s="72">
        <f>VLOOKUP($C61,ETF!$A:$V,9,FALSE)</f>
        <v>35.278473206924978</v>
      </c>
      <c r="P61" s="90">
        <f t="shared" si="6"/>
        <v>4.3278320636774836E-5</v>
      </c>
      <c r="Q61" s="71">
        <f>VLOOKUP($C61,ETF!$A:$V,21,FALSE)</f>
        <v>35.44</v>
      </c>
      <c r="R61" s="72">
        <f>VLOOKUP($C61,ETF!$A:$V,10,FALSE)</f>
        <v>35.287376751854907</v>
      </c>
      <c r="S61" s="90">
        <f t="shared" si="7"/>
        <v>4.3251514335667096E-3</v>
      </c>
      <c r="T61" s="121">
        <f>VLOOKUP($C61,資料上傳!$E:$I,5,FALSE)</f>
        <v>35.200000000000003</v>
      </c>
      <c r="U61" s="121">
        <f>VLOOKUP($C61,資料上傳!$E:$I,4,FALSE)</f>
        <v>35.527772464962901</v>
      </c>
      <c r="V61" s="131">
        <f t="shared" si="8"/>
        <v>-327.77246496289791</v>
      </c>
      <c r="W61" s="70">
        <f t="shared" si="9"/>
        <v>-9.2258096193940098E-3</v>
      </c>
      <c r="X61" s="73"/>
      <c r="Y61" s="73"/>
      <c r="Z61" s="73"/>
      <c r="AA61" s="73"/>
      <c r="AB61" s="74"/>
      <c r="AC61" s="53">
        <f t="shared" si="29"/>
        <v>0</v>
      </c>
      <c r="AD61" s="50" t="e">
        <f>[4]!'00685L.TW-TotalVolume'</f>
        <v>#REF!</v>
      </c>
      <c r="AE61" s="105" t="e">
        <f t="shared" si="30"/>
        <v>#REF!</v>
      </c>
    </row>
    <row r="62" spans="1:33">
      <c r="A62" s="67"/>
      <c r="B62" s="68" t="s">
        <v>1732</v>
      </c>
      <c r="C62" s="106" t="s">
        <v>1738</v>
      </c>
      <c r="D62" s="69" t="str">
        <f>VLOOKUP($C62,ETF!$A:$V,2,FALSE)</f>
        <v>元大中型100</v>
      </c>
      <c r="E62" s="69">
        <f>VLOOKUP($C62,ETF!$A:$V,22,FALSE)</f>
        <v>48.82</v>
      </c>
      <c r="F62" s="107">
        <f>VLOOKUP($C62,ETF!$A:$V,12,FALSE)</f>
        <v>48.901789600000001</v>
      </c>
      <c r="G62" s="127">
        <f t="shared" si="3"/>
        <v>-81.789600000000462</v>
      </c>
      <c r="H62" s="70">
        <f t="shared" si="4"/>
        <v>-1.6725277473280675E-3</v>
      </c>
      <c r="I62" s="70">
        <f t="shared" si="0"/>
        <v>1.1052041421277803E-4</v>
      </c>
      <c r="J62" s="70">
        <f t="shared" si="25"/>
        <v>0</v>
      </c>
      <c r="K62" s="70">
        <f t="shared" si="25"/>
        <v>-1.1070557235426381E-4</v>
      </c>
      <c r="L62" s="90">
        <f t="shared" si="5"/>
        <v>3.6870135190496534E-3</v>
      </c>
      <c r="M62" s="72">
        <f>VLOOKUP($C62,ETF!$A:$V,22,FALSE)</f>
        <v>48.82</v>
      </c>
      <c r="N62" s="72">
        <f>VLOOKUP($C62,ETF!$A:$V,20,FALSE)</f>
        <v>48.82</v>
      </c>
      <c r="O62" s="72">
        <f>VLOOKUP($C62,ETF!$A:$V,9,FALSE)</f>
        <v>48.841083900000001</v>
      </c>
      <c r="P62" s="90">
        <f t="shared" si="6"/>
        <v>-4.3168370389090605E-4</v>
      </c>
      <c r="Q62" s="71">
        <f>VLOOKUP($C62,ETF!$A:$V,21,FALSE)</f>
        <v>49</v>
      </c>
      <c r="R62" s="72">
        <f>VLOOKUP($C62,ETF!$A:$V,10,FALSE)</f>
        <v>48.951443900000001</v>
      </c>
      <c r="S62" s="90">
        <f t="shared" si="7"/>
        <v>9.9192375406098598E-4</v>
      </c>
      <c r="T62" s="121">
        <f>VLOOKUP($C62,資料上傳!$E:$I,5,FALSE)</f>
        <v>48.82</v>
      </c>
      <c r="U62" s="121">
        <f>VLOOKUP($C62,資料上傳!$E:$I,4,FALSE)</f>
        <v>48.907203899999999</v>
      </c>
      <c r="V62" s="131">
        <f t="shared" si="8"/>
        <v>-87.203899999998669</v>
      </c>
      <c r="W62" s="70">
        <f t="shared" si="9"/>
        <v>-1.7830481615408456E-3</v>
      </c>
      <c r="X62" s="73"/>
      <c r="Y62" s="73"/>
      <c r="Z62" s="73"/>
      <c r="AA62" s="73"/>
      <c r="AB62" s="74"/>
      <c r="AC62" s="53">
        <f t="shared" si="29"/>
        <v>0</v>
      </c>
      <c r="AD62" s="50" t="e">
        <f>[4]!'0051.TW-TotalVolume'</f>
        <v>#REF!</v>
      </c>
      <c r="AE62" s="105" t="e">
        <f t="shared" si="30"/>
        <v>#REF!</v>
      </c>
      <c r="AF62" s="106" t="s">
        <v>1738</v>
      </c>
      <c r="AG62" s="69" t="str">
        <f>VLOOKUP(AF62,[5]ETF基本資料!$A:$B,2,FALSE)</f>
        <v>元大中型100</v>
      </c>
    </row>
    <row r="63" spans="1:33">
      <c r="A63" s="67"/>
      <c r="B63" s="68" t="s">
        <v>1739</v>
      </c>
      <c r="C63" s="106" t="s">
        <v>1740</v>
      </c>
      <c r="D63" s="69" t="str">
        <f>VLOOKUP($C63,ETF!$A:$V,2,FALSE)</f>
        <v>富邦科技</v>
      </c>
      <c r="E63" s="69">
        <f>VLOOKUP($C63,ETF!$A:$V,22,FALSE)</f>
        <v>116.15</v>
      </c>
      <c r="F63" s="107">
        <f>VLOOKUP($C63,ETF!$A:$V,12,FALSE)</f>
        <v>115.94325660495048</v>
      </c>
      <c r="G63" s="127">
        <f t="shared" si="3"/>
        <v>206.74339504952854</v>
      </c>
      <c r="H63" s="70">
        <f t="shared" si="4"/>
        <v>1.7831429019969924E-3</v>
      </c>
      <c r="I63" s="70">
        <f t="shared" si="0"/>
        <v>9.3865071970622438E-6</v>
      </c>
      <c r="J63" s="70">
        <f t="shared" si="25"/>
        <v>0</v>
      </c>
      <c r="K63" s="70">
        <f t="shared" si="25"/>
        <v>-9.3697995056096772E-6</v>
      </c>
      <c r="L63" s="90">
        <f t="shared" si="5"/>
        <v>1.293103448275934E-3</v>
      </c>
      <c r="M63" s="72">
        <f>VLOOKUP($C63,ETF!$A:$V,22,FALSE)</f>
        <v>116.15</v>
      </c>
      <c r="N63" s="72">
        <f>VLOOKUP($C63,ETF!$A:$V,20,FALSE)</f>
        <v>116</v>
      </c>
      <c r="O63" s="72">
        <f>VLOOKUP($C63,ETF!$A:$V,9,FALSE)</f>
        <v>115.75655213168316</v>
      </c>
      <c r="P63" s="90">
        <f t="shared" si="6"/>
        <v>2.1031022765769514E-3</v>
      </c>
      <c r="Q63" s="71">
        <f>VLOOKUP($C63,ETF!$A:$V,21,FALSE)</f>
        <v>116.15</v>
      </c>
      <c r="R63" s="72">
        <f>VLOOKUP($C63,ETF!$A:$V,10,FALSE)</f>
        <v>115.99447607326731</v>
      </c>
      <c r="S63" s="90">
        <f t="shared" si="7"/>
        <v>1.3407873546880111E-3</v>
      </c>
      <c r="T63" s="121">
        <f>VLOOKUP($C63,資料上傳!$E:$I,5,FALSE)</f>
        <v>116.15</v>
      </c>
      <c r="U63" s="121">
        <f>VLOOKUP($C63,資料上傳!$E:$I,4,FALSE)</f>
        <v>115.94434298019802</v>
      </c>
      <c r="V63" s="131">
        <f t="shared" si="8"/>
        <v>205.6570198019898</v>
      </c>
      <c r="W63" s="70">
        <f t="shared" si="9"/>
        <v>1.7737563947999302E-3</v>
      </c>
      <c r="X63" s="73"/>
      <c r="Y63" s="73"/>
      <c r="Z63" s="73"/>
      <c r="AA63" s="73"/>
      <c r="AB63" s="74"/>
      <c r="AC63" s="53">
        <f t="shared" si="29"/>
        <v>0</v>
      </c>
      <c r="AD63" s="50" t="e">
        <f>[4]!'0052.TW-TotalVolume'</f>
        <v>#REF!</v>
      </c>
      <c r="AE63" s="105" t="e">
        <f t="shared" si="30"/>
        <v>#REF!</v>
      </c>
      <c r="AF63" s="106" t="s">
        <v>1740</v>
      </c>
      <c r="AG63" s="69" t="str">
        <f>VLOOKUP(AF63,[5]ETF基本資料!$A:$B,2,FALSE)</f>
        <v>富邦科技</v>
      </c>
    </row>
    <row r="64" spans="1:33">
      <c r="A64" s="67"/>
      <c r="B64" s="68" t="s">
        <v>1739</v>
      </c>
      <c r="C64" s="106" t="s">
        <v>1741</v>
      </c>
      <c r="D64" s="69" t="str">
        <f>VLOOKUP($C64,ETF!$A:$V,2,FALSE)</f>
        <v>元大電子</v>
      </c>
      <c r="E64" s="69">
        <f>VLOOKUP($C64,ETF!$A:$V,22,FALSE)</f>
        <v>61.1</v>
      </c>
      <c r="F64" s="107">
        <f>VLOOKUP($C64,ETF!$A:$V,12,FALSE)</f>
        <v>61.394676500000003</v>
      </c>
      <c r="G64" s="127">
        <f t="shared" si="3"/>
        <v>-294.67650000000134</v>
      </c>
      <c r="H64" s="70">
        <f t="shared" si="4"/>
        <v>-4.7997076749806133E-3</v>
      </c>
      <c r="I64" s="70">
        <f t="shared" si="0"/>
        <v>-1.588107211669687E-5</v>
      </c>
      <c r="J64" s="70">
        <f t="shared" si="25"/>
        <v>0</v>
      </c>
      <c r="K64" s="70">
        <f t="shared" si="25"/>
        <v>1.5957664240229263E-5</v>
      </c>
      <c r="L64" s="90">
        <f t="shared" si="5"/>
        <v>5.7518488085457342E-3</v>
      </c>
      <c r="M64" s="72">
        <f>VLOOKUP($C64,ETF!$A:$V,22,FALSE)</f>
        <v>61.1</v>
      </c>
      <c r="N64" s="72">
        <f>VLOOKUP($C64,ETF!$A:$V,20,FALSE)</f>
        <v>60.85</v>
      </c>
      <c r="O64" s="72">
        <f>VLOOKUP($C64,ETF!$A:$V,9,FALSE)</f>
        <v>61.289448399999998</v>
      </c>
      <c r="P64" s="90">
        <f t="shared" si="6"/>
        <v>-7.1700498449909222E-3</v>
      </c>
      <c r="Q64" s="71">
        <f>VLOOKUP($C64,ETF!$A:$V,21,FALSE)</f>
        <v>61.2</v>
      </c>
      <c r="R64" s="72">
        <f>VLOOKUP($C64,ETF!$A:$V,10,FALSE)</f>
        <v>61.424946499999997</v>
      </c>
      <c r="S64" s="90">
        <f t="shared" si="7"/>
        <v>-3.6621358717828789E-3</v>
      </c>
      <c r="T64" s="121">
        <f>VLOOKUP($C64,資料上傳!$E:$I,5,FALSE)</f>
        <v>61.1</v>
      </c>
      <c r="U64" s="121">
        <f>VLOOKUP($C64,資料上傳!$E:$I,4,FALSE)</f>
        <v>61.393696800000001</v>
      </c>
      <c r="V64" s="131">
        <f t="shared" si="8"/>
        <v>-293.69679999999931</v>
      </c>
      <c r="W64" s="70">
        <f t="shared" si="9"/>
        <v>-4.7838266028639165E-3</v>
      </c>
      <c r="X64" s="73"/>
      <c r="Y64" s="73"/>
      <c r="Z64" s="73"/>
      <c r="AA64" s="73"/>
      <c r="AB64" s="74"/>
      <c r="AC64" s="53">
        <f t="shared" si="29"/>
        <v>0</v>
      </c>
      <c r="AD64" s="50" t="e">
        <f>[4]!'0053.TW-TotalVolume'</f>
        <v>#REF!</v>
      </c>
      <c r="AE64" s="105" t="e">
        <f t="shared" si="30"/>
        <v>#REF!</v>
      </c>
      <c r="AF64" s="106" t="s">
        <v>1741</v>
      </c>
      <c r="AG64" s="69" t="str">
        <f>VLOOKUP(AF64,[5]ETF基本資料!$A:$B,2,FALSE)</f>
        <v>元大電子</v>
      </c>
    </row>
    <row r="65" spans="1:33">
      <c r="A65" s="67"/>
      <c r="B65" s="68" t="s">
        <v>1732</v>
      </c>
      <c r="C65" s="106" t="s">
        <v>1742</v>
      </c>
      <c r="D65" s="69" t="str">
        <f>VLOOKUP($C65,ETF!$A:$V,2,FALSE)</f>
        <v>元大台商50</v>
      </c>
      <c r="E65" s="69">
        <f>VLOOKUP($C65,ETF!$A:$V,22,FALSE)</f>
        <v>29.12</v>
      </c>
      <c r="F65" s="107">
        <f>VLOOKUP($C65,ETF!$A:$V,12,FALSE)</f>
        <v>29.293906199999999</v>
      </c>
      <c r="G65" s="127">
        <f t="shared" si="3"/>
        <v>-173.90619999999757</v>
      </c>
      <c r="H65" s="70">
        <f t="shared" si="4"/>
        <v>-5.9365998789194796E-3</v>
      </c>
      <c r="I65" s="70">
        <f t="shared" ref="I65:I67" si="31">H65-W65</f>
        <v>5.18249040761809E-5</v>
      </c>
      <c r="J65" s="70">
        <f t="shared" si="25"/>
        <v>0</v>
      </c>
      <c r="K65" s="70">
        <f t="shared" si="25"/>
        <v>-5.2134405179704579E-5</v>
      </c>
      <c r="L65" s="90">
        <f t="shared" si="5"/>
        <v>4.4642857142855874E-3</v>
      </c>
      <c r="M65" s="72">
        <f>VLOOKUP($C65,ETF!$A:$V,22,FALSE)</f>
        <v>29.12</v>
      </c>
      <c r="N65" s="72">
        <f>VLOOKUP($C65,ETF!$A:$V,20,FALSE)</f>
        <v>29.12</v>
      </c>
      <c r="O65" s="72">
        <f>VLOOKUP($C65,ETF!$A:$V,9,FALSE)</f>
        <v>29.238204499999998</v>
      </c>
      <c r="P65" s="90">
        <f t="shared" si="6"/>
        <v>-4.0428098107049282E-3</v>
      </c>
      <c r="Q65" s="71">
        <f>VLOOKUP($C65,ETF!$A:$V,21,FALSE)</f>
        <v>29.25</v>
      </c>
      <c r="R65" s="72">
        <f>VLOOKUP($C65,ETF!$A:$V,10,FALSE)</f>
        <v>29.3218356</v>
      </c>
      <c r="S65" s="90">
        <f t="shared" si="7"/>
        <v>-2.4499011924069558E-3</v>
      </c>
      <c r="T65" s="121">
        <f>VLOOKUP($C65,資料上傳!$E:$I,5,FALSE)</f>
        <v>29.12</v>
      </c>
      <c r="U65" s="121">
        <f>VLOOKUP($C65,資料上傳!$E:$I,4,FALSE)</f>
        <v>29.295433500000001</v>
      </c>
      <c r="V65" s="131">
        <f t="shared" si="8"/>
        <v>-175.43350000000046</v>
      </c>
      <c r="W65" s="70">
        <f t="shared" si="9"/>
        <v>-5.9884247829956605E-3</v>
      </c>
      <c r="X65" s="73"/>
      <c r="Y65" s="73"/>
      <c r="Z65" s="73"/>
      <c r="AA65" s="73"/>
      <c r="AB65" s="74"/>
      <c r="AC65" s="53">
        <f t="shared" si="29"/>
        <v>0</v>
      </c>
      <c r="AD65" s="50" t="e">
        <f>[4]!'0054.TW-TotalVolume'</f>
        <v>#REF!</v>
      </c>
      <c r="AE65" s="105" t="e">
        <f t="shared" si="30"/>
        <v>#REF!</v>
      </c>
      <c r="AF65" s="106" t="s">
        <v>1742</v>
      </c>
      <c r="AG65" s="69" t="str">
        <f>VLOOKUP(AF65,[5]ETF基本資料!$A:$B,2,FALSE)</f>
        <v>元大台商50</v>
      </c>
    </row>
    <row r="66" spans="1:33">
      <c r="A66" s="67"/>
      <c r="B66" s="68" t="s">
        <v>1732</v>
      </c>
      <c r="C66" s="106" t="s">
        <v>1743</v>
      </c>
      <c r="D66" s="69" t="str">
        <f>VLOOKUP($C66,ETF!$A:$V,2,FALSE)</f>
        <v>元大MSCI金融</v>
      </c>
      <c r="E66" s="69">
        <f>VLOOKUP($C66,ETF!$A:$V,22,FALSE)</f>
        <v>20.38</v>
      </c>
      <c r="F66" s="107">
        <f>VLOOKUP($C66,ETF!$A:$V,12,FALSE)</f>
        <v>20.432954219999999</v>
      </c>
      <c r="G66" s="127">
        <f t="shared" si="3"/>
        <v>-52.954220000000163</v>
      </c>
      <c r="H66" s="70">
        <f t="shared" si="4"/>
        <v>-2.5916086058749288E-3</v>
      </c>
      <c r="I66" s="70">
        <f t="shared" si="31"/>
        <v>-3.953926539401742E-6</v>
      </c>
      <c r="J66" s="70">
        <f t="shared" si="25"/>
        <v>0</v>
      </c>
      <c r="K66" s="70">
        <f t="shared" si="25"/>
        <v>3.9642001947726158E-6</v>
      </c>
      <c r="L66" s="90">
        <f t="shared" si="5"/>
        <v>4.906771344455052E-4</v>
      </c>
      <c r="M66" s="72">
        <f>VLOOKUP($C66,ETF!$A:$V,22,FALSE)</f>
        <v>20.38</v>
      </c>
      <c r="N66" s="72">
        <f>VLOOKUP($C66,ETF!$A:$V,20,FALSE)</f>
        <v>20.38</v>
      </c>
      <c r="O66" s="72">
        <f>VLOOKUP($C66,ETF!$A:$V,9,FALSE)</f>
        <v>20.398855279999999</v>
      </c>
      <c r="P66" s="90">
        <f t="shared" ref="P66:P77" si="32">IF($O66&lt;&gt;"",$N66/$O66-1,0)</f>
        <v>-9.243302989891955E-4</v>
      </c>
      <c r="Q66" s="71">
        <f>VLOOKUP($C66,ETF!$A:$V,21,FALSE)</f>
        <v>20.39</v>
      </c>
      <c r="R66" s="72">
        <f>VLOOKUP($C66,ETF!$A:$V,10,FALSE)</f>
        <v>20.44337402</v>
      </c>
      <c r="S66" s="90">
        <f t="shared" ref="S66:S77" si="33">IF($R66&lt;&gt;"",$Q66/$R66-1,0)</f>
        <v>-2.6108224575739358E-3</v>
      </c>
      <c r="T66" s="121">
        <f>VLOOKUP($C66,資料上傳!$E:$I,5,FALSE)</f>
        <v>20.38</v>
      </c>
      <c r="U66" s="121">
        <f>VLOOKUP($C66,資料上傳!$E:$I,4,FALSE)</f>
        <v>20.432873220000001</v>
      </c>
      <c r="V66" s="131">
        <f t="shared" si="8"/>
        <v>-52.873220000002163</v>
      </c>
      <c r="W66" s="70">
        <f t="shared" si="9"/>
        <v>-2.5876546793355271E-3</v>
      </c>
      <c r="X66" s="73"/>
      <c r="Y66" s="73"/>
      <c r="Z66" s="73"/>
      <c r="AA66" s="73"/>
      <c r="AB66" s="74"/>
      <c r="AC66" s="53">
        <f t="shared" si="29"/>
        <v>0</v>
      </c>
      <c r="AD66" s="50" t="e">
        <f>[4]!'0055.TW-TotalVolume'</f>
        <v>#REF!</v>
      </c>
      <c r="AE66" s="105" t="e">
        <f t="shared" si="30"/>
        <v>#REF!</v>
      </c>
      <c r="AF66" s="106" t="s">
        <v>1744</v>
      </c>
      <c r="AG66" s="69" t="str">
        <f>VLOOKUP(AF66,[5]ETF基本資料!$A:$B,2,FALSE)</f>
        <v>元大MSCI金融</v>
      </c>
    </row>
    <row r="67" spans="1:33">
      <c r="A67" s="67"/>
      <c r="B67" s="68" t="s">
        <v>1732</v>
      </c>
      <c r="C67" s="68" t="s">
        <v>1745</v>
      </c>
      <c r="D67" s="69" t="str">
        <f>VLOOKUP($C67,ETF!$A:$V,2,FALSE)</f>
        <v>元大高股息</v>
      </c>
      <c r="E67" s="69">
        <f>VLOOKUP($C67,ETF!$A:$V,22,FALSE)</f>
        <v>33.65</v>
      </c>
      <c r="F67" s="107">
        <f>VLOOKUP($C67,ETF!$A:$V,12,FALSE)</f>
        <v>33.549204600000003</v>
      </c>
      <c r="G67" s="127">
        <f t="shared" si="3"/>
        <v>100.79539999999554</v>
      </c>
      <c r="H67" s="70">
        <f t="shared" si="4"/>
        <v>3.0044050582347381E-3</v>
      </c>
      <c r="I67" s="70">
        <f t="shared" si="31"/>
        <v>8.6441321590635667E-5</v>
      </c>
      <c r="J67" s="70">
        <f t="shared" si="25"/>
        <v>0</v>
      </c>
      <c r="K67" s="70">
        <f t="shared" si="25"/>
        <v>-8.6182394767875259E-5</v>
      </c>
      <c r="L67" s="90">
        <f t="shared" si="5"/>
        <v>2.9726516052308583E-4</v>
      </c>
      <c r="M67" s="72">
        <f>VLOOKUP($C67,ETF!$A:$V,22,FALSE)</f>
        <v>33.65</v>
      </c>
      <c r="N67" s="72">
        <f>VLOOKUP($C67,ETF!$A:$V,20,FALSE)</f>
        <v>33.64</v>
      </c>
      <c r="O67" s="72">
        <f>VLOOKUP($C67,ETF!$A:$V,9,FALSE)</f>
        <v>33.516654299999999</v>
      </c>
      <c r="P67" s="90">
        <f t="shared" si="32"/>
        <v>3.6801316413017648E-3</v>
      </c>
      <c r="Q67" s="71">
        <f>VLOOKUP($C67,ETF!$A:$V,21,FALSE)</f>
        <v>33.65</v>
      </c>
      <c r="R67" s="72">
        <f>VLOOKUP($C67,ETF!$A:$V,10,FALSE)</f>
        <v>33.585991300000003</v>
      </c>
      <c r="S67" s="90">
        <f t="shared" si="33"/>
        <v>1.9058154165600971E-3</v>
      </c>
      <c r="T67" s="121">
        <f>VLOOKUP($C67,資料上傳!$E:$I,5,FALSE)</f>
        <v>33.65</v>
      </c>
      <c r="U67" s="121">
        <f>VLOOKUP($C67,資料上傳!$E:$I,4,FALSE)</f>
        <v>33.552096200000001</v>
      </c>
      <c r="V67" s="131">
        <f t="shared" si="8"/>
        <v>97.903799999997432</v>
      </c>
      <c r="W67" s="70">
        <f t="shared" si="9"/>
        <v>2.9179637366441025E-3</v>
      </c>
      <c r="X67" s="73"/>
      <c r="Y67" s="73"/>
      <c r="Z67" s="73"/>
      <c r="AA67" s="73"/>
      <c r="AB67" s="74"/>
      <c r="AC67" s="53">
        <f t="shared" si="29"/>
        <v>0</v>
      </c>
      <c r="AD67" s="50" t="e">
        <f>[4]!'0056.TW-TotalVolume'</f>
        <v>#REF!</v>
      </c>
      <c r="AE67" s="105" t="e">
        <f t="shared" si="30"/>
        <v>#REF!</v>
      </c>
      <c r="AF67" s="68" t="s">
        <v>1746</v>
      </c>
      <c r="AG67" s="69" t="str">
        <f>VLOOKUP(AF67,[5]ETF基本資料!$A:$B,2,FALSE)</f>
        <v>元大高股息</v>
      </c>
    </row>
    <row r="68" spans="1:33">
      <c r="A68" s="67"/>
      <c r="B68" s="68" t="s">
        <v>1732</v>
      </c>
      <c r="C68" s="106" t="s">
        <v>1747</v>
      </c>
      <c r="D68" s="69" t="str">
        <f>VLOOKUP($C68,ETF!$A:$V,2,FALSE)</f>
        <v>富邦摩台</v>
      </c>
      <c r="E68" s="69">
        <f>VLOOKUP($C68,ETF!$A:$V,22,FALSE)</f>
        <v>86.8</v>
      </c>
      <c r="F68" s="107">
        <f>VLOOKUP($C68,ETF!$A:$V,12,FALSE)</f>
        <v>87.713656752306861</v>
      </c>
      <c r="G68" s="127">
        <f t="shared" si="3"/>
        <v>-913.6567523068635</v>
      </c>
      <c r="H68" s="70">
        <f t="shared" si="4"/>
        <v>-1.0416356883705347E-2</v>
      </c>
      <c r="I68" s="70">
        <f>H68-W68</f>
        <v>9.4879654203738895E-5</v>
      </c>
      <c r="J68" s="70">
        <f t="shared" si="25"/>
        <v>0</v>
      </c>
      <c r="K68" s="70">
        <f t="shared" si="25"/>
        <v>-9.5878357391665503E-5</v>
      </c>
      <c r="L68" s="90">
        <f t="shared" si="5"/>
        <v>4.610951008645614E-3</v>
      </c>
      <c r="M68" s="72">
        <f>VLOOKUP($C68,ETF!$A:$V,22,FALSE)</f>
        <v>86.8</v>
      </c>
      <c r="N68" s="72">
        <f>VLOOKUP($C68,ETF!$A:$V,20,FALSE)</f>
        <v>86.75</v>
      </c>
      <c r="O68" s="107">
        <f>VLOOKUP($C68,ETF!$A:$V,9,FALSE)</f>
        <v>87.575042220010843</v>
      </c>
      <c r="P68" s="90">
        <f t="shared" si="32"/>
        <v>-9.4209742764168602E-3</v>
      </c>
      <c r="Q68" s="71">
        <f>VLOOKUP($C68,ETF!$A:$V,21,FALSE)</f>
        <v>87.15</v>
      </c>
      <c r="R68" s="107">
        <f>VLOOKUP($C68,ETF!$A:$V,10,FALSE)</f>
        <v>87.752576690790661</v>
      </c>
      <c r="S68" s="90">
        <f t="shared" si="33"/>
        <v>-6.8667691994267477E-3</v>
      </c>
      <c r="T68" s="121">
        <f>VLOOKUP($C68,資料上傳!$E:$I,5,FALSE)</f>
        <v>86.8</v>
      </c>
      <c r="U68" s="121">
        <f>VLOOKUP($C68,資料上傳!$E:$I,4,FALSE)</f>
        <v>87.722067400036181</v>
      </c>
      <c r="V68" s="131">
        <f t="shared" si="8"/>
        <v>-922.06740003618393</v>
      </c>
      <c r="W68" s="70">
        <f t="shared" si="9"/>
        <v>-1.0511236537909086E-2</v>
      </c>
      <c r="X68" s="73"/>
      <c r="Y68" s="73"/>
      <c r="Z68" s="73"/>
      <c r="AA68" s="73"/>
      <c r="AB68" s="74"/>
      <c r="AC68" s="53">
        <f t="shared" si="29"/>
        <v>0</v>
      </c>
      <c r="AD68" s="50" t="e">
        <f>[4]!'0057.TW-TotalVolume'</f>
        <v>#REF!</v>
      </c>
      <c r="AE68" s="105" t="e">
        <f t="shared" si="30"/>
        <v>#REF!</v>
      </c>
      <c r="AF68" s="106" t="s">
        <v>1747</v>
      </c>
      <c r="AG68" s="69" t="str">
        <f>VLOOKUP(AF68,[5]ETF基本資料!$A:$B,2,FALSE)</f>
        <v>富邦摩台</v>
      </c>
    </row>
    <row r="69" spans="1:33">
      <c r="A69" s="67"/>
      <c r="B69" s="68" t="s">
        <v>1732</v>
      </c>
      <c r="C69" s="106" t="s">
        <v>1748</v>
      </c>
      <c r="D69" s="69" t="str">
        <f>VLOOKUP($C69,ETF!$A:$V,2,FALSE)</f>
        <v>元大富櫃50</v>
      </c>
      <c r="E69" s="69">
        <f>VLOOKUP($C69,ETF!$A:$V,22,FALSE)</f>
        <v>17.63</v>
      </c>
      <c r="F69" s="107">
        <f>VLOOKUP($C69,ETF!$A:$V,12,FALSE)</f>
        <v>17.513891904488741</v>
      </c>
      <c r="G69" s="127">
        <f t="shared" ref="G69:G79" si="34">($E69-$F69)*1000</f>
        <v>116.10809551125811</v>
      </c>
      <c r="H69" s="70">
        <f t="shared" si="4"/>
        <v>6.6294856759678833E-3</v>
      </c>
      <c r="I69" s="70">
        <f t="shared" ref="I69:I79" si="35">H69-W69</f>
        <v>1.5696622786420811E-4</v>
      </c>
      <c r="J69" s="70">
        <f t="shared" si="25"/>
        <v>0</v>
      </c>
      <c r="K69" s="70">
        <f t="shared" si="25"/>
        <v>-1.5593247574974267E-4</v>
      </c>
      <c r="L69" s="90">
        <f t="shared" si="5"/>
        <v>3.40328984685212E-3</v>
      </c>
      <c r="M69" s="72">
        <f>VLOOKUP($C69,ETF!$A:$V,22,FALSE)</f>
        <v>17.63</v>
      </c>
      <c r="N69" s="72">
        <f>VLOOKUP($C69,ETF!$A:$V,20,FALSE)</f>
        <v>17.63</v>
      </c>
      <c r="O69" s="72">
        <f>VLOOKUP($C69,ETF!$A:$V,9,FALSE)</f>
        <v>17.484469657966443</v>
      </c>
      <c r="P69" s="90">
        <f t="shared" si="32"/>
        <v>8.3234061358703482E-3</v>
      </c>
      <c r="Q69" s="71">
        <f>VLOOKUP($C69,ETF!$A:$V,21,FALSE)</f>
        <v>17.690000000000001</v>
      </c>
      <c r="R69" s="72">
        <f>VLOOKUP($C69,ETF!$A:$V,10,FALSE)</f>
        <v>17.553451165208664</v>
      </c>
      <c r="S69" s="90">
        <f t="shared" si="33"/>
        <v>7.7790306593372716E-3</v>
      </c>
      <c r="T69" s="121">
        <f>VLOOKUP($C69,資料上傳!$E:$I,5,FALSE)</f>
        <v>17.63</v>
      </c>
      <c r="U69" s="121">
        <f>VLOOKUP($C69,資料上傳!$E:$I,4,FALSE)</f>
        <v>17.516623314929014</v>
      </c>
      <c r="V69" s="131">
        <f t="shared" ref="V69:V79" si="36">(T69-U69)*1000</f>
        <v>113.37668507098542</v>
      </c>
      <c r="W69" s="70">
        <f t="shared" ref="W69:W79" si="37">T69/U69-1</f>
        <v>6.4725194481036752E-3</v>
      </c>
      <c r="X69" s="73"/>
      <c r="Y69" s="73"/>
      <c r="Z69" s="73"/>
      <c r="AA69" s="73"/>
      <c r="AB69" s="74"/>
      <c r="AC69" s="53">
        <f t="shared" si="29"/>
        <v>0</v>
      </c>
      <c r="AD69" s="50" t="e">
        <f>[4]!'006201.TW-TotalVolume'</f>
        <v>#REF!</v>
      </c>
      <c r="AE69" s="105" t="e">
        <f t="shared" si="30"/>
        <v>#REF!</v>
      </c>
      <c r="AF69" s="106" t="s">
        <v>1748</v>
      </c>
      <c r="AG69" s="69" t="str">
        <f>VLOOKUP(AF69,[5]ETF基本資料!$A:$B,2,FALSE)</f>
        <v>元大富櫃50</v>
      </c>
    </row>
    <row r="70" spans="1:33">
      <c r="A70" s="67"/>
      <c r="B70" s="68" t="s">
        <v>1732</v>
      </c>
      <c r="C70" s="106" t="s">
        <v>1749</v>
      </c>
      <c r="D70" s="69" t="str">
        <f>VLOOKUP($C70,ETF!$A:$V,2,FALSE)</f>
        <v>元大MSCI台灣</v>
      </c>
      <c r="E70" s="69">
        <f>VLOOKUP($C70,ETF!$A:$V,22,FALSE)</f>
        <v>60.4</v>
      </c>
      <c r="F70" s="107">
        <f>VLOOKUP($C70,ETF!$A:$V,12,FALSE)</f>
        <v>60.867365880000001</v>
      </c>
      <c r="G70" s="127">
        <f t="shared" si="34"/>
        <v>-467.36588000000268</v>
      </c>
      <c r="H70" s="70">
        <f t="shared" si="4"/>
        <v>-7.6784311797132299E-3</v>
      </c>
      <c r="I70" s="70">
        <f t="shared" si="35"/>
        <v>3.2350647938605981E-5</v>
      </c>
      <c r="J70" s="70">
        <f t="shared" si="25"/>
        <v>0</v>
      </c>
      <c r="K70" s="70">
        <f t="shared" si="25"/>
        <v>-3.2600972260543593E-5</v>
      </c>
      <c r="L70" s="90">
        <f t="shared" si="5"/>
        <v>4.1356492969395475E-3</v>
      </c>
      <c r="M70" s="72">
        <f>VLOOKUP($C70,ETF!$A:$V,22,FALSE)</f>
        <v>60.4</v>
      </c>
      <c r="N70" s="72">
        <f>VLOOKUP($C70,ETF!$A:$V,20,FALSE)</f>
        <v>60.45</v>
      </c>
      <c r="O70" s="72">
        <f>VLOOKUP($C70,ETF!$A:$V,9,FALSE)</f>
        <v>60.769651719999999</v>
      </c>
      <c r="P70" s="90">
        <f t="shared" si="32"/>
        <v>-5.2600551583348309E-3</v>
      </c>
      <c r="Q70" s="71">
        <f>VLOOKUP($C70,ETF!$A:$V,21,FALSE)</f>
        <v>60.7</v>
      </c>
      <c r="R70" s="72">
        <f>VLOOKUP($C70,ETF!$A:$V,10,FALSE)</f>
        <v>60.894834580000001</v>
      </c>
      <c r="S70" s="90">
        <f t="shared" si="33"/>
        <v>-3.1995255647511156E-3</v>
      </c>
      <c r="T70" s="121">
        <f>VLOOKUP($C70,資料上傳!$E:$I,5,FALSE)</f>
        <v>60.4</v>
      </c>
      <c r="U70" s="121">
        <f>VLOOKUP($C70,資料上傳!$E:$I,4,FALSE)</f>
        <v>60.869350279999999</v>
      </c>
      <c r="V70" s="131">
        <f t="shared" si="36"/>
        <v>-469.35028000000045</v>
      </c>
      <c r="W70" s="70">
        <f t="shared" si="37"/>
        <v>-7.7107818276518358E-3</v>
      </c>
      <c r="X70" s="73"/>
      <c r="Y70" s="73"/>
      <c r="Z70" s="73"/>
      <c r="AA70" s="73"/>
      <c r="AB70" s="74"/>
      <c r="AC70" s="53">
        <f t="shared" si="29"/>
        <v>0</v>
      </c>
      <c r="AD70" s="50" t="e">
        <f>[4]!'006203.TW-TotalVolume'</f>
        <v>#REF!</v>
      </c>
      <c r="AE70" s="105" t="e">
        <f t="shared" si="30"/>
        <v>#REF!</v>
      </c>
      <c r="AF70" s="106" t="s">
        <v>1749</v>
      </c>
      <c r="AG70" s="69" t="str">
        <f>VLOOKUP(AF70,[5]ETF基本資料!$A:$B,2,FALSE)</f>
        <v>元大MSCI台灣</v>
      </c>
    </row>
    <row r="71" spans="1:33">
      <c r="A71" s="67"/>
      <c r="B71" s="68" t="s">
        <v>1732</v>
      </c>
      <c r="C71" s="106" t="s">
        <v>1750</v>
      </c>
      <c r="D71" s="69" t="str">
        <f>VLOOKUP($C71,ETF!$A:$V,2,FALSE)</f>
        <v>永豐臺灣加權</v>
      </c>
      <c r="E71" s="69">
        <f>VLOOKUP($C71,ETF!$A:$V,22,FALSE)</f>
        <v>80.2</v>
      </c>
      <c r="F71" s="107">
        <f>VLOOKUP($C71,ETF!$A:$V,12,FALSE)</f>
        <v>80.374686946666671</v>
      </c>
      <c r="G71" s="127">
        <f t="shared" si="34"/>
        <v>-174.68694666666806</v>
      </c>
      <c r="H71" s="70">
        <f t="shared" si="4"/>
        <v>-2.1734074906267775E-3</v>
      </c>
      <c r="I71" s="70">
        <f t="shared" si="35"/>
        <v>3.7358519824870484E-4</v>
      </c>
      <c r="J71" s="70">
        <f t="shared" si="25"/>
        <v>0</v>
      </c>
      <c r="K71" s="70">
        <f t="shared" si="25"/>
        <v>-3.7439891966517536E-4</v>
      </c>
      <c r="L71" s="90">
        <f t="shared" si="5"/>
        <v>3.7429819089207506E-3</v>
      </c>
      <c r="M71" s="72">
        <f>VLOOKUP($C71,ETF!$A:$V,22,FALSE)</f>
        <v>80.2</v>
      </c>
      <c r="N71" s="72">
        <f>VLOOKUP($C71,ETF!$A:$V,20,FALSE)</f>
        <v>80.150000000000006</v>
      </c>
      <c r="O71" s="72">
        <f>VLOOKUP($C71,ETF!$A:$V,9,FALSE)</f>
        <v>80.260767226666658</v>
      </c>
      <c r="P71" s="90">
        <f t="shared" si="32"/>
        <v>-1.3800917994445383E-3</v>
      </c>
      <c r="Q71" s="71">
        <f>VLOOKUP($C71,ETF!$A:$V,21,FALSE)</f>
        <v>80.45</v>
      </c>
      <c r="R71" s="72">
        <f>VLOOKUP($C71,ETF!$A:$V,10,FALSE)</f>
        <v>80.415581320000001</v>
      </c>
      <c r="S71" s="90">
        <f t="shared" si="33"/>
        <v>4.2801008753556857E-4</v>
      </c>
      <c r="T71" s="121">
        <f>VLOOKUP($C71,資料上傳!$E:$I,5,FALSE)</f>
        <v>80.2</v>
      </c>
      <c r="U71" s="121">
        <f>VLOOKUP($C71,資料上傳!$E:$I,4,FALSE)</f>
        <v>80.40479041333333</v>
      </c>
      <c r="V71" s="131">
        <f t="shared" si="36"/>
        <v>-204.79041333332759</v>
      </c>
      <c r="W71" s="70">
        <f t="shared" si="37"/>
        <v>-2.5469926888754824E-3</v>
      </c>
      <c r="X71" s="73"/>
      <c r="Y71" s="73"/>
      <c r="Z71" s="73"/>
      <c r="AA71" s="73"/>
      <c r="AB71" s="74"/>
      <c r="AC71" s="53">
        <f t="shared" si="29"/>
        <v>0</v>
      </c>
      <c r="AD71" s="50" t="e">
        <f>[4]!'006204.TW-TotalVolume'</f>
        <v>#REF!</v>
      </c>
      <c r="AE71" s="105" t="e">
        <f t="shared" si="30"/>
        <v>#REF!</v>
      </c>
      <c r="AF71" s="106" t="s">
        <v>1750</v>
      </c>
      <c r="AG71" s="69" t="str">
        <f>VLOOKUP(AF71,[5]ETF基本資料!$A:$B,2,FALSE)</f>
        <v>永豐臺灣加權</v>
      </c>
    </row>
    <row r="72" spans="1:33">
      <c r="A72" s="67"/>
      <c r="B72" s="68" t="s">
        <v>1732</v>
      </c>
      <c r="C72" s="106" t="s">
        <v>1751</v>
      </c>
      <c r="D72" s="69" t="str">
        <f>VLOOKUP($C72,ETF!$A:$V,2,FALSE)</f>
        <v>富邦台50</v>
      </c>
      <c r="E72" s="69">
        <f>VLOOKUP($C72,ETF!$A:$V,22,FALSE)</f>
        <v>74.099999999999994</v>
      </c>
      <c r="F72" s="107">
        <f>VLOOKUP($C72,ETF!$A:$V,12,FALSE)</f>
        <v>73.918876656048951</v>
      </c>
      <c r="G72" s="127">
        <f t="shared" si="34"/>
        <v>181.12334395104313</v>
      </c>
      <c r="H72" s="70">
        <f t="shared" si="4"/>
        <v>2.4502989242358719E-3</v>
      </c>
      <c r="I72" s="70">
        <f t="shared" si="35"/>
        <v>5.5195622992165738E-5</v>
      </c>
      <c r="J72" s="70">
        <f t="shared" si="25"/>
        <v>0</v>
      </c>
      <c r="K72" s="70">
        <f t="shared" si="25"/>
        <v>-5.506070779914829E-5</v>
      </c>
      <c r="L72" s="90">
        <f t="shared" si="5"/>
        <v>6.7521944631998565E-4</v>
      </c>
      <c r="M72" s="72">
        <f>VLOOKUP($C72,ETF!$A:$V,22,FALSE)</f>
        <v>74.099999999999994</v>
      </c>
      <c r="N72" s="72">
        <f>VLOOKUP($C72,ETF!$A:$V,20,FALSE)</f>
        <v>74.05</v>
      </c>
      <c r="O72" s="72">
        <f>VLOOKUP($C72,ETF!$A:$V,9,FALSE)</f>
        <v>73.79395621105084</v>
      </c>
      <c r="P72" s="90">
        <f t="shared" si="32"/>
        <v>3.4697121837032885E-3</v>
      </c>
      <c r="Q72" s="71">
        <f>VLOOKUP($C72,ETF!$A:$V,21,FALSE)</f>
        <v>74.099999999999994</v>
      </c>
      <c r="R72" s="72">
        <f>VLOOKUP($C72,ETF!$A:$V,10,FALSE)</f>
        <v>73.945486183928338</v>
      </c>
      <c r="S72" s="90">
        <f t="shared" si="33"/>
        <v>2.0895638671889483E-3</v>
      </c>
      <c r="T72" s="121">
        <f>VLOOKUP($C72,資料上傳!$E:$I,5,FALSE)</f>
        <v>74.099999999999994</v>
      </c>
      <c r="U72" s="121">
        <f>VLOOKUP($C72,資料上傳!$E:$I,4,FALSE)</f>
        <v>73.922946905828184</v>
      </c>
      <c r="V72" s="131">
        <f t="shared" si="36"/>
        <v>177.0530941718107</v>
      </c>
      <c r="W72" s="70">
        <f t="shared" si="37"/>
        <v>2.3951033012437062E-3</v>
      </c>
      <c r="X72" s="73"/>
      <c r="Y72" s="73"/>
      <c r="Z72" s="108"/>
      <c r="AA72" s="73"/>
      <c r="AB72" s="74"/>
      <c r="AC72" s="53">
        <f t="shared" si="29"/>
        <v>0</v>
      </c>
      <c r="AD72" s="50" t="e">
        <f>[4]!'006208.TW-TotalVolume'</f>
        <v>#REF!</v>
      </c>
      <c r="AE72" s="105" t="e">
        <f t="shared" si="30"/>
        <v>#REF!</v>
      </c>
      <c r="AF72" s="106" t="s">
        <v>1751</v>
      </c>
      <c r="AG72" s="69" t="str">
        <f>VLOOKUP(AF72,[5]ETF基本資料!$A:$B,2,FALSE)</f>
        <v>富邦台50</v>
      </c>
    </row>
    <row r="73" spans="1:33">
      <c r="A73" s="67"/>
      <c r="B73" s="68" t="s">
        <v>1732</v>
      </c>
      <c r="C73" s="68" t="s">
        <v>1752</v>
      </c>
      <c r="D73" s="69" t="str">
        <f>VLOOKUP($C73,ETF!$A:$V,2,FALSE)</f>
        <v>富邦公司治理</v>
      </c>
      <c r="E73" s="69">
        <f>VLOOKUP($C73,ETF!$A:$V,22,FALSE)</f>
        <v>33.119999999999997</v>
      </c>
      <c r="F73" s="107">
        <f>VLOOKUP($C73,ETF!$A:$V,12,FALSE)</f>
        <v>32.977377630291656</v>
      </c>
      <c r="G73" s="127">
        <f t="shared" si="34"/>
        <v>142.62236970834152</v>
      </c>
      <c r="H73" s="70">
        <f t="shared" si="4"/>
        <v>4.3248547931031833E-3</v>
      </c>
      <c r="I73" s="70">
        <f t="shared" si="35"/>
        <v>5.6520502701662423E-5</v>
      </c>
      <c r="J73" s="70">
        <f t="shared" si="25"/>
        <v>0</v>
      </c>
      <c r="K73" s="70">
        <f t="shared" si="25"/>
        <v>-5.6277112362557169E-5</v>
      </c>
      <c r="L73" s="90">
        <f t="shared" si="5"/>
        <v>3.0202355783748303E-4</v>
      </c>
      <c r="M73" s="72">
        <f>VLOOKUP($C73,ETF!$A:$V,22,FALSE)</f>
        <v>33.119999999999997</v>
      </c>
      <c r="N73" s="72">
        <f>VLOOKUP($C73,ETF!$A:$V,20,FALSE)</f>
        <v>33.11</v>
      </c>
      <c r="O73" s="72">
        <f>VLOOKUP($C73,ETF!$A:$V,9,FALSE)</f>
        <v>32.922780451840147</v>
      </c>
      <c r="P73" s="90">
        <f t="shared" si="32"/>
        <v>5.6866262688146652E-3</v>
      </c>
      <c r="Q73" s="71">
        <f>VLOOKUP($C73,ETF!$A:$V,21,FALSE)</f>
        <v>33.119999999999997</v>
      </c>
      <c r="R73" s="72">
        <f>VLOOKUP($C73,ETF!$A:$V,10,FALSE)</f>
        <v>32.988085123049572</v>
      </c>
      <c r="S73" s="90">
        <f t="shared" si="33"/>
        <v>3.9988643311172911E-3</v>
      </c>
      <c r="T73" s="121">
        <f>VLOOKUP($C73,資料上傳!$E:$I,5,FALSE)</f>
        <v>33.119999999999997</v>
      </c>
      <c r="U73" s="121">
        <f>VLOOKUP($C73,資料上傳!$E:$I,4,FALSE)</f>
        <v>32.97923360632695</v>
      </c>
      <c r="V73" s="131">
        <f t="shared" si="36"/>
        <v>140.76639367304722</v>
      </c>
      <c r="W73" s="70">
        <f t="shared" si="37"/>
        <v>4.2683342904015209E-3</v>
      </c>
      <c r="X73" s="73"/>
      <c r="Y73" s="73"/>
      <c r="Z73" s="73"/>
      <c r="AA73" s="73"/>
      <c r="AB73" s="74"/>
      <c r="AC73" s="53">
        <f t="shared" si="29"/>
        <v>0</v>
      </c>
      <c r="AD73" s="50" t="e">
        <f>[4]!'00692.TW-TotalVolume'</f>
        <v>#REF!</v>
      </c>
      <c r="AE73" s="105" t="e">
        <f t="shared" si="30"/>
        <v>#REF!</v>
      </c>
      <c r="AF73" s="68" t="s">
        <v>1752</v>
      </c>
      <c r="AG73" s="69" t="str">
        <f>VLOOKUP(AF73,[5]ETF基本資料!$A:$B,2,FALSE)</f>
        <v>富邦公司治理</v>
      </c>
    </row>
    <row r="74" spans="1:33">
      <c r="A74" s="67"/>
      <c r="B74" s="68" t="s">
        <v>1732</v>
      </c>
      <c r="C74" s="106" t="s">
        <v>1753</v>
      </c>
      <c r="D74" s="69" t="str">
        <f>VLOOKUP($C74,ETF!$A:$V,2,FALSE)</f>
        <v>第一金工業30</v>
      </c>
      <c r="E74" s="69">
        <f>VLOOKUP($C74,ETF!$A:$V,22,FALSE)</f>
        <v>26.45</v>
      </c>
      <c r="F74" s="107">
        <f>VLOOKUP($C74,ETF!$A:$V,12,FALSE)</f>
        <v>26.304895084777048</v>
      </c>
      <c r="G74" s="127">
        <f t="shared" si="34"/>
        <v>145.10491522295155</v>
      </c>
      <c r="H74" s="70">
        <f t="shared" si="4"/>
        <v>5.5162704415014918E-3</v>
      </c>
      <c r="I74" s="70">
        <f t="shared" si="35"/>
        <v>1.3129178270787634E-4</v>
      </c>
      <c r="J74" s="70">
        <f t="shared" si="25"/>
        <v>0</v>
      </c>
      <c r="K74" s="70">
        <f t="shared" si="25"/>
        <v>-1.3057151491957519E-4</v>
      </c>
      <c r="L74" s="90">
        <f t="shared" si="5"/>
        <v>3.780718336483524E-4</v>
      </c>
      <c r="M74" s="72">
        <f>VLOOKUP($C74,ETF!$A:$V,22,FALSE)</f>
        <v>26.45</v>
      </c>
      <c r="N74" s="72">
        <f>VLOOKUP($C74,ETF!$A:$V,20,FALSE)</f>
        <v>26.45</v>
      </c>
      <c r="O74" s="72">
        <f>VLOOKUP($C74,ETF!$A:$V,9,FALSE)</f>
        <v>26.273094449278801</v>
      </c>
      <c r="P74" s="90">
        <f t="shared" si="32"/>
        <v>6.7333351639533578E-3</v>
      </c>
      <c r="Q74" s="71">
        <f>VLOOKUP($C74,ETF!$A:$V,21,FALSE)</f>
        <v>26.46</v>
      </c>
      <c r="R74" s="72">
        <f>VLOOKUP($C74,ETF!$A:$V,10,FALSE)</f>
        <v>26.321424293964082</v>
      </c>
      <c r="S74" s="90">
        <f t="shared" si="33"/>
        <v>5.2647495245041753E-3</v>
      </c>
      <c r="T74" s="121">
        <f>VLOOKUP($C74,資料上傳!$E:$I,5,FALSE)</f>
        <v>26.45</v>
      </c>
      <c r="U74" s="121">
        <f>VLOOKUP($C74,資料上傳!$E:$I,4,FALSE)</f>
        <v>26.308330203306699</v>
      </c>
      <c r="V74" s="131">
        <f t="shared" si="36"/>
        <v>141.66979669330004</v>
      </c>
      <c r="W74" s="70">
        <f t="shared" si="37"/>
        <v>5.3849786587936155E-3</v>
      </c>
      <c r="X74" s="73"/>
      <c r="Y74" s="73"/>
      <c r="Z74" s="73"/>
      <c r="AA74" s="73"/>
      <c r="AB74" s="74"/>
      <c r="AC74" s="53">
        <f t="shared" si="29"/>
        <v>0</v>
      </c>
      <c r="AD74" s="50" t="e">
        <f>[4]!'00728.TW-TotalVolume'</f>
        <v>#REF!</v>
      </c>
      <c r="AE74" s="105" t="e">
        <f t="shared" si="30"/>
        <v>#REF!</v>
      </c>
      <c r="AF74" s="106" t="s">
        <v>1753</v>
      </c>
      <c r="AG74" s="69" t="str">
        <f>VLOOKUP(AF74,[5]ETF基本資料!$A:$B,2,FALSE)</f>
        <v>第一金工業30</v>
      </c>
    </row>
    <row r="75" spans="1:33">
      <c r="A75" s="67"/>
      <c r="B75" s="68" t="s">
        <v>1732</v>
      </c>
      <c r="C75" s="106" t="s">
        <v>1754</v>
      </c>
      <c r="D75" s="69" t="str">
        <f>VLOOKUP($C75,ETF!$A:$V,2,FALSE)</f>
        <v>FH富時高息低波</v>
      </c>
      <c r="E75" s="69">
        <f>VLOOKUP($C75,ETF!$A:$V,22,FALSE)</f>
        <v>55.85</v>
      </c>
      <c r="F75" s="107">
        <f>VLOOKUP($C75,ETF!$A:$V,12,FALSE)</f>
        <v>55.685262516129029</v>
      </c>
      <c r="G75" s="127">
        <f t="shared" si="34"/>
        <v>164.73748387097231</v>
      </c>
      <c r="H75" s="70">
        <f t="shared" si="4"/>
        <v>2.9583677337114977E-3</v>
      </c>
      <c r="I75" s="70">
        <f t="shared" si="35"/>
        <v>2.8954809180059549E-4</v>
      </c>
      <c r="J75" s="70">
        <f t="shared" si="25"/>
        <v>0</v>
      </c>
      <c r="K75" s="70">
        <f t="shared" si="25"/>
        <v>-2.8869402870113081E-4</v>
      </c>
      <c r="L75" s="90">
        <f t="shared" si="5"/>
        <v>2.6929982046677292E-3</v>
      </c>
      <c r="M75" s="72">
        <f>VLOOKUP($C75,ETF!$A:$V,22,FALSE)</f>
        <v>55.85</v>
      </c>
      <c r="N75" s="72">
        <f>VLOOKUP($C75,ETF!$A:$V,20,FALSE)</f>
        <v>55.7</v>
      </c>
      <c r="O75" s="72">
        <f>VLOOKUP($C75,ETF!$A:$V,9,FALSE)</f>
        <v>55.592812193548383</v>
      </c>
      <c r="P75" s="90">
        <f t="shared" si="32"/>
        <v>1.9280875030829314E-3</v>
      </c>
      <c r="Q75" s="71">
        <f>VLOOKUP($C75,ETF!$A:$V,21,FALSE)</f>
        <v>55.85</v>
      </c>
      <c r="R75" s="72">
        <f>VLOOKUP($C75,ETF!$A:$V,10,FALSE)</f>
        <v>55.705966822580642</v>
      </c>
      <c r="S75" s="90">
        <f t="shared" si="33"/>
        <v>2.5855969411336943E-3</v>
      </c>
      <c r="T75" s="121">
        <f>VLOOKUP($C75,資料上傳!$E:$I,5,FALSE)</f>
        <v>55.85</v>
      </c>
      <c r="U75" s="121">
        <f>VLOOKUP($C75,資料上傳!$E:$I,4,FALSE)</f>
        <v>55.701343161290325</v>
      </c>
      <c r="V75" s="131">
        <f t="shared" si="36"/>
        <v>148.65683870967672</v>
      </c>
      <c r="W75" s="70">
        <f t="shared" si="37"/>
        <v>2.6688196419109023E-3</v>
      </c>
      <c r="X75" s="73"/>
      <c r="Y75" s="73"/>
      <c r="Z75" s="73"/>
      <c r="AA75" s="73"/>
      <c r="AB75" s="74"/>
      <c r="AC75" s="53">
        <f t="shared" si="29"/>
        <v>0</v>
      </c>
      <c r="AD75" s="50" t="e">
        <f>[4]!'00731.TW-TotalVolume'</f>
        <v>#REF!</v>
      </c>
      <c r="AE75" s="105" t="e">
        <f t="shared" si="30"/>
        <v>#REF!</v>
      </c>
      <c r="AF75" s="106" t="s">
        <v>1754</v>
      </c>
      <c r="AG75" s="69" t="str">
        <f>VLOOKUP(AF75,[5]ETF基本資料!$A:$B,2,FALSE)</f>
        <v>FH富時高息低波</v>
      </c>
    </row>
    <row r="76" spans="1:33" s="118" customFormat="1">
      <c r="A76" s="115"/>
      <c r="B76" s="116" t="s">
        <v>1732</v>
      </c>
      <c r="C76" s="116" t="s">
        <v>1755</v>
      </c>
      <c r="D76" s="116" t="str">
        <f>VLOOKUP($C76,ETF!$A:$V,2,FALSE)</f>
        <v>富邦臺灣中小</v>
      </c>
      <c r="E76" s="116">
        <f>VLOOKUP($C76,ETF!$A:$V,22,FALSE)</f>
        <v>37.5</v>
      </c>
      <c r="F76" s="72">
        <f>VLOOKUP($C76,ETF!$A:$V,12,FALSE)</f>
        <v>37.447606420830823</v>
      </c>
      <c r="G76" s="127">
        <f t="shared" si="34"/>
        <v>52.393579169176974</v>
      </c>
      <c r="H76" s="116">
        <f t="shared" si="4"/>
        <v>1.3991169043059415E-3</v>
      </c>
      <c r="I76" s="116">
        <f t="shared" si="35"/>
        <v>1.0264961779160586E-3</v>
      </c>
      <c r="J76" s="116">
        <f t="shared" si="25"/>
        <v>0</v>
      </c>
      <c r="K76" s="116">
        <f t="shared" si="25"/>
        <v>-1.0250619963489971E-3</v>
      </c>
      <c r="L76" s="116">
        <f t="shared" si="5"/>
        <v>5.3333333333349664E-4</v>
      </c>
      <c r="M76" s="72">
        <f>VLOOKUP($C76,ETF!$A:$V,22,FALSE)</f>
        <v>37.5</v>
      </c>
      <c r="N76" s="72">
        <f>VLOOKUP($C76,ETF!$A:$V,20,FALSE)</f>
        <v>37.5</v>
      </c>
      <c r="O76" s="72">
        <f>VLOOKUP($C76,ETF!$A:$V,9,FALSE)</f>
        <v>37.405864233393537</v>
      </c>
      <c r="P76" s="116">
        <f t="shared" si="32"/>
        <v>2.5166045093651945E-3</v>
      </c>
      <c r="Q76" s="116">
        <f>VLOOKUP($C76,ETF!$A:$V,21,FALSE)</f>
        <v>37.520000000000003</v>
      </c>
      <c r="R76" s="116">
        <f>VLOOKUP($C76,ETF!$A:$V,10,FALSE)</f>
        <v>37.495294136062611</v>
      </c>
      <c r="S76" s="116">
        <f t="shared" si="33"/>
        <v>6.5890572421545279E-4</v>
      </c>
      <c r="T76" s="125">
        <f>VLOOKUP($C76,資料上傳!$E:$I,5,FALSE)</f>
        <v>37.5</v>
      </c>
      <c r="U76" s="125">
        <f>VLOOKUP($C76,資料上傳!$E:$I,4,FALSE)</f>
        <v>37.486031927553682</v>
      </c>
      <c r="V76" s="130">
        <f t="shared" si="36"/>
        <v>13.968072446317592</v>
      </c>
      <c r="W76" s="116">
        <f t="shared" si="37"/>
        <v>3.7262072638988286E-4</v>
      </c>
      <c r="X76" s="116"/>
      <c r="Y76" s="116"/>
      <c r="Z76" s="116"/>
      <c r="AA76" s="116"/>
      <c r="AB76" s="117"/>
      <c r="AC76" s="118">
        <f t="shared" si="29"/>
        <v>0</v>
      </c>
      <c r="AD76" s="118" t="e">
        <f>[4]!'00733.TW-TotalVolume'</f>
        <v>#REF!</v>
      </c>
      <c r="AE76" s="118" t="e">
        <f t="shared" si="30"/>
        <v>#REF!</v>
      </c>
    </row>
    <row r="77" spans="1:33">
      <c r="A77" s="67"/>
      <c r="B77" s="68" t="s">
        <v>1732</v>
      </c>
      <c r="C77" s="68" t="s">
        <v>438</v>
      </c>
      <c r="D77" s="116" t="str">
        <f>VLOOKUP($C77,ETF!$A:$V,2,FALSE)</f>
        <v>元大臺灣ESG永續</v>
      </c>
      <c r="E77" s="69">
        <f>VLOOKUP($C77,ETF!$A:$V,22,FALSE)</f>
        <v>32</v>
      </c>
      <c r="F77" s="107">
        <f>VLOOKUP($C77,ETF!$A:$V,12,FALSE)</f>
        <v>32.032158391832823</v>
      </c>
      <c r="G77" s="127">
        <f t="shared" si="34"/>
        <v>-32.158391832822986</v>
      </c>
      <c r="H77" s="70">
        <f t="shared" si="4"/>
        <v>-1.0039408346901313E-3</v>
      </c>
      <c r="I77" s="70">
        <f t="shared" ref="I77:I78" si="38">H77-W77</f>
        <v>9.779302951407054E-5</v>
      </c>
      <c r="J77" s="70">
        <f t="shared" ref="J77:J78" si="39">E77/T77-1</f>
        <v>0</v>
      </c>
      <c r="K77" s="70">
        <f t="shared" ref="K77:K78" si="40">F77/U77-1</f>
        <v>-9.7891306594100058E-5</v>
      </c>
      <c r="L77" s="90">
        <f t="shared" ref="L77:L78" si="41">Q77/N77-1</f>
        <v>3.1259768677727173E-4</v>
      </c>
      <c r="M77" s="72">
        <f>VLOOKUP($C77,ETF!$A:$V,22,FALSE)</f>
        <v>32</v>
      </c>
      <c r="N77" s="72">
        <f>VLOOKUP($C77,ETF!$A:$V,20,FALSE)</f>
        <v>31.99</v>
      </c>
      <c r="O77" s="72">
        <f>VLOOKUP($C77,ETF!$A:$V,9,FALSE)</f>
        <v>31.9796427827435</v>
      </c>
      <c r="P77" s="90">
        <f t="shared" si="32"/>
        <v>3.2386907279913224E-4</v>
      </c>
      <c r="Q77" s="71">
        <f>VLOOKUP($C77,ETF!$A:$V,21,FALSE)</f>
        <v>32</v>
      </c>
      <c r="R77" s="72">
        <f>VLOOKUP($C77,ETF!$A:$V,10,FALSE)</f>
        <v>32.04615957592106</v>
      </c>
      <c r="S77" s="90">
        <f t="shared" si="33"/>
        <v>-1.4404089766731909E-3</v>
      </c>
      <c r="T77" s="121">
        <f>VLOOKUP($C77,資料上傳!$E:$I,5,FALSE)</f>
        <v>32</v>
      </c>
      <c r="U77" s="121">
        <f>VLOOKUP($C77,資料上傳!$E:$I,4,FALSE)</f>
        <v>32.035294368655698</v>
      </c>
      <c r="V77" s="131">
        <f t="shared" si="36"/>
        <v>-35.294368655698349</v>
      </c>
      <c r="W77" s="70">
        <f t="shared" si="37"/>
        <v>-1.1017338642042018E-3</v>
      </c>
      <c r="X77" s="73"/>
      <c r="Y77" s="73"/>
      <c r="Z77" s="73"/>
      <c r="AA77" s="73"/>
      <c r="AB77" s="74"/>
      <c r="AC77" s="53">
        <f t="shared" ref="AC77:AC78" si="42">(AA77+AB77)</f>
        <v>0</v>
      </c>
      <c r="AD77" s="50" t="e">
        <f>[4]!'00733.TW-TotalVolume'</f>
        <v>#REF!</v>
      </c>
      <c r="AE77" s="105" t="e">
        <f t="shared" ref="AE77:AE78" si="43">IF(AD77&lt;&gt;0,AC77/(2*AD77),"")</f>
        <v>#REF!</v>
      </c>
    </row>
    <row r="78" spans="1:33">
      <c r="A78" s="67"/>
      <c r="B78" s="68" t="s">
        <v>1732</v>
      </c>
      <c r="C78" s="68" t="s">
        <v>2700</v>
      </c>
      <c r="D78" s="69" t="str">
        <f>VLOOKUP($C78,ETF!$A:$V,2,FALSE)</f>
        <v>國泰台灣5G+</v>
      </c>
      <c r="E78" s="69">
        <f>VLOOKUP($C78,ETF!$A:$V,22,FALSE)</f>
        <v>16.38</v>
      </c>
      <c r="F78" s="107">
        <f>VLOOKUP($C78,ETF!$A:$V,12,FALSE)</f>
        <v>16.329999999999998</v>
      </c>
      <c r="G78" s="127">
        <f t="shared" si="34"/>
        <v>50.000000000000711</v>
      </c>
      <c r="H78" s="70">
        <f t="shared" si="4"/>
        <v>3.0618493570115923E-3</v>
      </c>
      <c r="I78" s="70">
        <f t="shared" si="38"/>
        <v>0</v>
      </c>
      <c r="J78" s="70">
        <f t="shared" si="39"/>
        <v>0</v>
      </c>
      <c r="K78" s="70">
        <f t="shared" si="40"/>
        <v>0</v>
      </c>
      <c r="L78" s="90">
        <f t="shared" si="41"/>
        <v>6.1050061050060833E-4</v>
      </c>
      <c r="M78" s="72">
        <f>VLOOKUP($C78,ETF!$A:$V,22,FALSE)</f>
        <v>16.38</v>
      </c>
      <c r="N78" s="72">
        <f>VLOOKUP($C78,ETF!$A:$V,20,FALSE)</f>
        <v>16.38</v>
      </c>
      <c r="O78" s="72"/>
      <c r="P78" s="90"/>
      <c r="Q78" s="71">
        <f>VLOOKUP($C78,ETF!$A:$V,21,FALSE)</f>
        <v>16.39</v>
      </c>
      <c r="R78" s="72"/>
      <c r="S78" s="90"/>
      <c r="T78" s="121">
        <f>VLOOKUP($C78,資料上傳!$E:$I,5,FALSE)</f>
        <v>16.38</v>
      </c>
      <c r="U78" s="121">
        <f>VLOOKUP($C78,資料上傳!$E:$I,4,FALSE)</f>
        <v>16.329999999999998</v>
      </c>
      <c r="V78" s="131">
        <f t="shared" si="36"/>
        <v>50.000000000000711</v>
      </c>
      <c r="W78" s="70">
        <f t="shared" si="37"/>
        <v>3.0618493570115923E-3</v>
      </c>
      <c r="X78" s="73"/>
      <c r="Y78" s="73"/>
      <c r="Z78" s="73"/>
      <c r="AA78" s="73"/>
      <c r="AB78" s="74"/>
      <c r="AC78" s="53">
        <f t="shared" si="42"/>
        <v>0</v>
      </c>
      <c r="AD78" s="50" t="e">
        <f>[4]!'00733.TW-TotalVolume'</f>
        <v>#REF!</v>
      </c>
      <c r="AE78" s="105" t="e">
        <f t="shared" si="43"/>
        <v>#REF!</v>
      </c>
    </row>
    <row r="79" spans="1:33" ht="14.25" thickBot="1">
      <c r="A79" s="75"/>
      <c r="B79" s="76" t="s">
        <v>1732</v>
      </c>
      <c r="C79" s="76" t="s">
        <v>2701</v>
      </c>
      <c r="D79" s="77" t="str">
        <f>VLOOKUP($C79,ETF!$A:$V,2,FALSE)</f>
        <v>永豐台灣ESG</v>
      </c>
      <c r="E79" s="77">
        <f>VLOOKUP($C79,ETF!$A:$V,22,FALSE)</f>
        <v>14.27</v>
      </c>
      <c r="F79" s="119">
        <f>VLOOKUP($C79,ETF!$A:$V,12,FALSE)</f>
        <v>14.23</v>
      </c>
      <c r="G79" s="128">
        <f t="shared" si="34"/>
        <v>39.999999999999147</v>
      </c>
      <c r="H79" s="78">
        <f t="shared" si="4"/>
        <v>2.8109627547434624E-3</v>
      </c>
      <c r="I79" s="78">
        <f t="shared" si="35"/>
        <v>0</v>
      </c>
      <c r="J79" s="78">
        <f t="shared" si="25"/>
        <v>0</v>
      </c>
      <c r="K79" s="78">
        <f t="shared" si="25"/>
        <v>0</v>
      </c>
      <c r="L79" s="93">
        <f t="shared" si="5"/>
        <v>7.0077084793274125E-4</v>
      </c>
      <c r="M79" s="80">
        <f>VLOOKUP($C79,ETF!$A:$V,22,FALSE)</f>
        <v>14.27</v>
      </c>
      <c r="N79" s="80">
        <f>VLOOKUP($C79,ETF!$A:$V,20,FALSE)</f>
        <v>14.27</v>
      </c>
      <c r="O79" s="80"/>
      <c r="P79" s="93"/>
      <c r="Q79" s="79">
        <f>VLOOKUP($C79,ETF!$A:$V,21,FALSE)</f>
        <v>14.28</v>
      </c>
      <c r="R79" s="80"/>
      <c r="S79" s="93"/>
      <c r="T79" s="122">
        <f>VLOOKUP($C79,資料上傳!$E:$I,5,FALSE)</f>
        <v>14.27</v>
      </c>
      <c r="U79" s="122">
        <f>VLOOKUP($C79,資料上傳!$E:$I,4,FALSE)</f>
        <v>14.23</v>
      </c>
      <c r="V79" s="133">
        <f t="shared" si="36"/>
        <v>39.999999999999147</v>
      </c>
      <c r="W79" s="78">
        <f t="shared" si="37"/>
        <v>2.8109627547434624E-3</v>
      </c>
      <c r="X79" s="81"/>
      <c r="Y79" s="81"/>
      <c r="Z79" s="81"/>
      <c r="AA79" s="81"/>
      <c r="AB79" s="82"/>
      <c r="AC79" s="53">
        <f t="shared" si="29"/>
        <v>0</v>
      </c>
      <c r="AD79" s="50" t="e">
        <f>[4]!'00850.TW-TotalVolume'</f>
        <v>#REF!</v>
      </c>
      <c r="AE79" s="105" t="e">
        <f t="shared" si="30"/>
        <v>#REF!</v>
      </c>
    </row>
    <row r="84" spans="2:28" s="69" customFormat="1">
      <c r="B84" s="68" t="s">
        <v>1676</v>
      </c>
      <c r="C84" s="68" t="s">
        <v>1756</v>
      </c>
      <c r="D84" s="69" t="s">
        <v>1757</v>
      </c>
      <c r="E84" s="69">
        <f>VLOOKUP($C84,[5]外期DDE!$B:$M,11,FALSE)</f>
        <v>40.22</v>
      </c>
      <c r="F84" s="69">
        <f>VLOOKUP($C84,[5]外期DDE!$B:$L,11,FALSE)</f>
        <v>40.22</v>
      </c>
      <c r="G84" s="71">
        <f>$E84-$F84</f>
        <v>0</v>
      </c>
      <c r="H84" s="70">
        <f>$E84/$F84-1</f>
        <v>0</v>
      </c>
      <c r="I84" s="70">
        <f>H84-W84</f>
        <v>0</v>
      </c>
      <c r="J84" s="70">
        <f>E84/T84-1</f>
        <v>1.9930244145489606E-3</v>
      </c>
      <c r="K84" s="70">
        <f>F84/U84-1</f>
        <v>1.9930244145489606E-3</v>
      </c>
      <c r="L84" s="70">
        <f>Q84/N84-1</f>
        <v>4.9738870927629186E-4</v>
      </c>
      <c r="M84" s="71">
        <f>VLOOKUP($C84,[5]外期DDE!$B:$L,3,FALSE)</f>
        <v>40.229999999999997</v>
      </c>
      <c r="N84" s="71">
        <f>VLOOKUP($C84,[5]外期DDE!$B:$L,4,FALSE)</f>
        <v>40.21</v>
      </c>
      <c r="O84" s="71"/>
      <c r="P84" s="71"/>
      <c r="Q84" s="71">
        <f>VLOOKUP($C84,[5]外期DDE!$B:$L,5,FALSE)</f>
        <v>40.229999999999997</v>
      </c>
      <c r="R84" s="71"/>
      <c r="S84" s="71"/>
      <c r="T84" s="69">
        <f>VLOOKUP($C84,[5]部位損益監控!$G:$BA,31,FALSE)</f>
        <v>40.14</v>
      </c>
      <c r="U84" s="69">
        <f>VLOOKUP($C84,[5]部位損益監控!$G:$BA,32,FALSE)</f>
        <v>40.14</v>
      </c>
      <c r="V84" s="69">
        <f>IF(VLOOKUP($C84,[5]部位損益監控!$G:$BA,33,FALSE)="",0,VLOOKUP($C84,[5]部位損益監控!$G:$BA,33,FALSE))</f>
        <v>0</v>
      </c>
      <c r="W84" s="69">
        <f>IF(VLOOKUP($C84,[5]部位損益監控!$G:$BA,34,FALSE)="",0,VLOOKUP($C84,[5]部位損益監控!$G:$BA,34,FALSE))</f>
        <v>0</v>
      </c>
      <c r="X84" s="69">
        <f>VLOOKUP($C84,[5]部位損益監控!$G:$BA,20,FALSE)</f>
        <v>1</v>
      </c>
      <c r="Y84" s="69">
        <f>VLOOKUP($C84,[5]部位損益監控!$G:$BA,30,FALSE)</f>
        <v>1</v>
      </c>
      <c r="Z84" s="73">
        <f>AA84-AB84</f>
        <v>0</v>
      </c>
      <c r="AA84" s="73">
        <f>VLOOKUP($C84,[5]部位損益監控!$G:$BA,16,FALSE)</f>
        <v>0</v>
      </c>
      <c r="AB84" s="73">
        <f>VLOOKUP($C84,[5]部位損益監控!$G:$BA,17,FALSE)</f>
        <v>0</v>
      </c>
    </row>
    <row r="85" spans="2:28" s="69" customFormat="1">
      <c r="B85" s="68" t="s">
        <v>1677</v>
      </c>
      <c r="C85" s="68" t="s">
        <v>1322</v>
      </c>
      <c r="D85" s="69" t="s">
        <v>1758</v>
      </c>
      <c r="E85" s="69">
        <f>VLOOKUP($C85,[5]外期DDE!$B:$M,11,FALSE)</f>
        <v>38.74</v>
      </c>
      <c r="F85" s="69">
        <f>VLOOKUP($C85,[5]外期DDE!$B:$L,11,FALSE)</f>
        <v>38.74</v>
      </c>
      <c r="G85" s="71">
        <f t="shared" ref="G85:G96" si="44">$E85-$F85</f>
        <v>0</v>
      </c>
      <c r="H85" s="70">
        <f>$E85/$F85-1</f>
        <v>0</v>
      </c>
      <c r="I85" s="70">
        <f>H85-W85</f>
        <v>0</v>
      </c>
      <c r="J85" s="70">
        <f>E85/T85-1</f>
        <v>4.147226542249971E-3</v>
      </c>
      <c r="K85" s="70">
        <f>F85/U85-1</f>
        <v>4.147226542249971E-3</v>
      </c>
      <c r="L85" s="70">
        <f t="shared" ref="L85:L96" si="45">Q85/N85-1</f>
        <v>2.58197779499314E-4</v>
      </c>
      <c r="M85" s="71">
        <f>VLOOKUP($C85,[5]外期DDE!$B:$L,3,FALSE)</f>
        <v>38.74</v>
      </c>
      <c r="N85" s="71">
        <f>VLOOKUP($C85,[5]外期DDE!$B:$L,4,FALSE)</f>
        <v>38.729999999999997</v>
      </c>
      <c r="O85" s="71"/>
      <c r="P85" s="71"/>
      <c r="Q85" s="71">
        <f>VLOOKUP($C85,[5]外期DDE!$B:$L,5,FALSE)</f>
        <v>38.74</v>
      </c>
      <c r="R85" s="71"/>
      <c r="S85" s="71"/>
      <c r="T85" s="69">
        <f>VLOOKUP($C85,[5]部位損益監控!$G:$BA,31,FALSE)</f>
        <v>38.58</v>
      </c>
      <c r="U85" s="69">
        <f>VLOOKUP($C85,[5]部位損益監控!$G:$BA,32,FALSE)</f>
        <v>38.58</v>
      </c>
      <c r="V85" s="69">
        <f>IF(VLOOKUP($C85,[5]部位損益監控!$G:$BA,33,FALSE)="",0,VLOOKUP($C85,[5]部位損益監控!$G:$BA,33,FALSE))</f>
        <v>0</v>
      </c>
      <c r="W85" s="69">
        <f>IF(VLOOKUP($C85,[5]部位損益監控!$G:$BA,34,FALSE)="",0,VLOOKUP($C85,[5]部位損益監控!$G:$BA,34,FALSE))</f>
        <v>0</v>
      </c>
      <c r="X85" s="69">
        <f>VLOOKUP($C85,[5]部位損益監控!$G:$BA,20,FALSE)</f>
        <v>78</v>
      </c>
      <c r="Y85" s="69">
        <f>VLOOKUP($C85,[5]部位損益監控!$G:$BA,30,FALSE)</f>
        <v>78</v>
      </c>
      <c r="Z85" s="73">
        <f t="shared" ref="Z85:Z96" si="46">AA85-AB85</f>
        <v>0</v>
      </c>
      <c r="AA85" s="73">
        <f>VLOOKUP($C85,[5]部位損益監控!$G:$BA,16,FALSE)</f>
        <v>0</v>
      </c>
      <c r="AB85" s="73">
        <f>VLOOKUP($C85,[5]部位損益監控!$G:$BA,17,FALSE)</f>
        <v>0</v>
      </c>
    </row>
    <row r="86" spans="2:28" s="69" customFormat="1">
      <c r="B86" s="68" t="s">
        <v>1759</v>
      </c>
      <c r="C86" s="68" t="s">
        <v>1760</v>
      </c>
      <c r="D86" s="69" t="s">
        <v>1761</v>
      </c>
      <c r="E86" s="69">
        <f>VLOOKUP($C86,[5]外期DDE!$B:$M,11,FALSE)</f>
        <v>26493</v>
      </c>
      <c r="F86" s="69">
        <f>VLOOKUP($C86,[5]外期DDE!$B:$L,11,FALSE)</f>
        <v>26493</v>
      </c>
      <c r="G86" s="71">
        <f t="shared" si="44"/>
        <v>0</v>
      </c>
      <c r="H86" s="70">
        <f t="shared" ref="H86:H96" si="47">$E86/$F86-1</f>
        <v>0</v>
      </c>
      <c r="I86" s="70">
        <f t="shared" ref="I86:I96" si="48">H86-W86</f>
        <v>0</v>
      </c>
      <c r="J86" s="70">
        <f t="shared" ref="J86:K96" si="49">E86/T86-1</f>
        <v>2.662171588002793E-2</v>
      </c>
      <c r="K86" s="70">
        <f t="shared" si="49"/>
        <v>2.662171588002793E-2</v>
      </c>
      <c r="L86" s="70">
        <f t="shared" si="45"/>
        <v>7.5494488902316803E-5</v>
      </c>
      <c r="M86" s="71">
        <f>VLOOKUP($C86,[5]外期DDE!$B:$L,3,FALSE)</f>
        <v>26493</v>
      </c>
      <c r="N86" s="71">
        <f>VLOOKUP($C86,[5]外期DDE!$B:$L,4,FALSE)</f>
        <v>26492</v>
      </c>
      <c r="O86" s="71"/>
      <c r="P86" s="71"/>
      <c r="Q86" s="71">
        <f>VLOOKUP($C86,[5]外期DDE!$B:$L,5,FALSE)</f>
        <v>26494</v>
      </c>
      <c r="R86" s="71"/>
      <c r="S86" s="71"/>
      <c r="T86" s="69">
        <f>VLOOKUP($C86,[5]部位損益監控!$G:$BA,31,FALSE)</f>
        <v>25806</v>
      </c>
      <c r="U86" s="69">
        <f>VLOOKUP($C86,[5]部位損益監控!$G:$BA,32,FALSE)</f>
        <v>25806</v>
      </c>
      <c r="V86" s="69">
        <f>IF(VLOOKUP($C86,[5]部位損益監控!$G:$BA,33,FALSE)="",0,VLOOKUP($C86,[5]部位損益監控!$G:$BA,33,FALSE))</f>
        <v>0</v>
      </c>
      <c r="W86" s="69">
        <f>IF(VLOOKUP($C86,[5]部位損益監控!$G:$BA,34,FALSE)="",0,VLOOKUP($C86,[5]部位損益監控!$G:$BA,34,FALSE))</f>
        <v>0</v>
      </c>
      <c r="X86" s="69">
        <f>VLOOKUP($C86,[5]部位損益監控!$G:$BA,20,FALSE)</f>
        <v>-33</v>
      </c>
      <c r="Y86" s="69">
        <f>VLOOKUP($C86,[5]部位損益監控!$G:$BA,30,FALSE)</f>
        <v>-32</v>
      </c>
      <c r="Z86" s="73">
        <f t="shared" si="46"/>
        <v>-1</v>
      </c>
      <c r="AA86" s="73">
        <f>VLOOKUP($C86,[5]部位損益監控!$G:$BA,16,FALSE)</f>
        <v>0</v>
      </c>
      <c r="AB86" s="73">
        <f>VLOOKUP($C86,[5]部位損益監控!$G:$BA,17,FALSE)</f>
        <v>1</v>
      </c>
    </row>
    <row r="87" spans="2:28" s="69" customFormat="1">
      <c r="B87" s="68" t="s">
        <v>1762</v>
      </c>
      <c r="C87" s="68" t="s">
        <v>1763</v>
      </c>
      <c r="D87" s="69" t="s">
        <v>1764</v>
      </c>
      <c r="E87" s="69">
        <f>VLOOKUP($C87,[5]外期DDE!$B:$M,11,FALSE)</f>
        <v>9678.6299999999992</v>
      </c>
      <c r="F87" s="69">
        <f>VLOOKUP($C87,[5]外期DDE!$B:$L,11,FALSE)</f>
        <v>9678.6299999999992</v>
      </c>
      <c r="G87" s="71">
        <f t="shared" si="44"/>
        <v>0</v>
      </c>
      <c r="H87" s="70">
        <f t="shared" si="47"/>
        <v>0</v>
      </c>
      <c r="I87" s="70">
        <f t="shared" si="48"/>
        <v>0</v>
      </c>
      <c r="J87" s="70">
        <f t="shared" si="49"/>
        <v>1.4102431453697495E-3</v>
      </c>
      <c r="K87" s="70">
        <f t="shared" si="49"/>
        <v>1.4102431453697495E-3</v>
      </c>
      <c r="L87" s="70">
        <f t="shared" si="45"/>
        <v>1.2915891713172201E-4</v>
      </c>
      <c r="M87" s="71">
        <f>VLOOKUP($C87,[5]外期DDE!$B:$L,3,FALSE)</f>
        <v>9678.5</v>
      </c>
      <c r="N87" s="71">
        <f>VLOOKUP($C87,[5]外期DDE!$B:$L,4,FALSE)</f>
        <v>9678</v>
      </c>
      <c r="O87" s="71"/>
      <c r="P87" s="71"/>
      <c r="Q87" s="71">
        <f>VLOOKUP($C87,[5]外期DDE!$B:$L,5,FALSE)</f>
        <v>9679.25</v>
      </c>
      <c r="R87" s="71"/>
      <c r="S87" s="71"/>
      <c r="T87" s="69">
        <f>VLOOKUP($C87,[5]部位損益監控!$G:$BA,31,FALSE)</f>
        <v>9665</v>
      </c>
      <c r="U87" s="69">
        <f>VLOOKUP($C87,[5]部位損益監控!$G:$BA,32,FALSE)</f>
        <v>9665</v>
      </c>
      <c r="V87" s="69">
        <f>IF(VLOOKUP($C87,[5]部位損益監控!$G:$BA,33,FALSE)="",0,VLOOKUP($C87,[5]部位損益監控!$G:$BA,33,FALSE))</f>
        <v>0</v>
      </c>
      <c r="W87" s="69">
        <f>IF(VLOOKUP($C87,[5]部位損益監控!$G:$BA,34,FALSE)="",0,VLOOKUP($C87,[5]部位損益監控!$G:$BA,34,FALSE))</f>
        <v>0</v>
      </c>
      <c r="X87" s="69">
        <f>VLOOKUP($C87,[5]部位損益監控!$G:$BA,20,FALSE)</f>
        <v>-35</v>
      </c>
      <c r="Y87" s="69">
        <f>VLOOKUP($C87,[5]部位損益監控!$G:$BA,30,FALSE)</f>
        <v>-35</v>
      </c>
      <c r="Z87" s="73">
        <f t="shared" si="46"/>
        <v>0</v>
      </c>
      <c r="AA87" s="73">
        <f>VLOOKUP($C87,[5]部位損益監控!$G:$BA,16,FALSE)</f>
        <v>0</v>
      </c>
      <c r="AB87" s="73">
        <f>VLOOKUP($C87,[5]部位損益監控!$G:$BA,17,FALSE)</f>
        <v>0</v>
      </c>
    </row>
    <row r="88" spans="2:28" s="69" customFormat="1">
      <c r="B88" s="68" t="s">
        <v>1765</v>
      </c>
      <c r="C88" s="68" t="s">
        <v>1766</v>
      </c>
      <c r="D88" s="69" t="s">
        <v>1767</v>
      </c>
      <c r="E88" s="69">
        <f>VLOOKUP($C88,[5]外期DDE!$B:$M,11,FALSE)</f>
        <v>3134.5</v>
      </c>
      <c r="F88" s="69">
        <f>VLOOKUP($C88,[5]外期DDE!$B:$L,11,FALSE)</f>
        <v>3134.5</v>
      </c>
      <c r="G88" s="71">
        <f t="shared" si="44"/>
        <v>0</v>
      </c>
      <c r="H88" s="70">
        <f t="shared" si="47"/>
        <v>0</v>
      </c>
      <c r="I88" s="70">
        <f t="shared" si="48"/>
        <v>0</v>
      </c>
      <c r="J88" s="70">
        <f t="shared" si="49"/>
        <v>1.5798428258932296E-2</v>
      </c>
      <c r="K88" s="70">
        <f t="shared" si="49"/>
        <v>1.5798428258932296E-2</v>
      </c>
      <c r="L88" s="70">
        <f t="shared" si="45"/>
        <v>1.5952779771866155E-4</v>
      </c>
      <c r="M88" s="71">
        <f>VLOOKUP($C88,[5]外期DDE!$B:$L,3,FALSE)</f>
        <v>3134.5</v>
      </c>
      <c r="N88" s="71">
        <f>VLOOKUP($C88,[5]外期DDE!$B:$L,4,FALSE)</f>
        <v>3134.25</v>
      </c>
      <c r="O88" s="71"/>
      <c r="P88" s="71"/>
      <c r="Q88" s="71">
        <f>VLOOKUP($C88,[5]外期DDE!$B:$L,5,FALSE)</f>
        <v>3134.75</v>
      </c>
      <c r="R88" s="71"/>
      <c r="S88" s="71"/>
      <c r="T88" s="69">
        <f>VLOOKUP($C88,[5]部位損益監控!$G:$BA,31,FALSE)</f>
        <v>3085.75</v>
      </c>
      <c r="U88" s="69">
        <f>VLOOKUP($C88,[5]部位損益監控!$G:$BA,32,FALSE)</f>
        <v>3085.75</v>
      </c>
      <c r="V88" s="69">
        <f>IF(VLOOKUP($C88,[5]部位損益監控!$G:$BA,33,FALSE)="",0,VLOOKUP($C88,[5]部位損益監控!$G:$BA,33,FALSE))</f>
        <v>0</v>
      </c>
      <c r="W88" s="69">
        <f>IF(VLOOKUP($C88,[5]部位損益監控!$G:$BA,34,FALSE)="",0,VLOOKUP($C88,[5]部位損益監控!$G:$BA,34,FALSE))</f>
        <v>0</v>
      </c>
      <c r="X88" s="69">
        <f>VLOOKUP($C88,[5]部位損益監控!$G:$BA,20,FALSE)</f>
        <v>-21</v>
      </c>
      <c r="Y88" s="69">
        <f>VLOOKUP($C88,[5]部位損益監控!$G:$BA,30,FALSE)</f>
        <v>-20</v>
      </c>
      <c r="Z88" s="73">
        <f t="shared" si="46"/>
        <v>-1</v>
      </c>
      <c r="AA88" s="73">
        <f>VLOOKUP($C88,[5]部位損益監控!$G:$BA,16,FALSE)</f>
        <v>0</v>
      </c>
      <c r="AB88" s="73">
        <f>VLOOKUP($C88,[5]部位損益監控!$G:$BA,17,FALSE)</f>
        <v>1</v>
      </c>
    </row>
    <row r="89" spans="2:28" s="69" customFormat="1">
      <c r="B89" s="68" t="s">
        <v>1768</v>
      </c>
      <c r="C89" s="68" t="s">
        <v>1769</v>
      </c>
      <c r="D89" s="69" t="s">
        <v>1770</v>
      </c>
      <c r="E89" s="69">
        <f>VLOOKUP($C89,[5]外期DDE!$B:$M,11,FALSE)</f>
        <v>1710.25</v>
      </c>
      <c r="F89" s="69">
        <f>VLOOKUP($C89,[5]外期DDE!$B:$L,11,FALSE)</f>
        <v>1710.25</v>
      </c>
      <c r="G89" s="71">
        <f>$E89-$F89</f>
        <v>0</v>
      </c>
      <c r="H89" s="70">
        <f>$E89/$F89-1</f>
        <v>0</v>
      </c>
      <c r="I89" s="70">
        <f>H89-W89</f>
        <v>0</v>
      </c>
      <c r="J89" s="70">
        <f>E89/T89-1</f>
        <v>-9.2973411342176515E-3</v>
      </c>
      <c r="K89" s="70">
        <f>F89/U89-1</f>
        <v>-9.2973411342176515E-3</v>
      </c>
      <c r="L89" s="70">
        <f>Q89/N89-1</f>
        <v>2.9239766081867735E-4</v>
      </c>
      <c r="M89" s="71">
        <f>VLOOKUP($C89,[5]外期DDE!$B:$L,3,FALSE)</f>
        <v>1708.1</v>
      </c>
      <c r="N89" s="71">
        <f>VLOOKUP($C89,[5]外期DDE!$B:$L,4,FALSE)</f>
        <v>1710</v>
      </c>
      <c r="O89" s="71"/>
      <c r="P89" s="71"/>
      <c r="Q89" s="71">
        <f>VLOOKUP($C89,[5]外期DDE!$B:$L,5,FALSE)</f>
        <v>1710.5</v>
      </c>
      <c r="R89" s="71"/>
      <c r="S89" s="71"/>
      <c r="T89" s="69">
        <f>VLOOKUP($C89,[5]部位損益監控!$G:$BA,31,FALSE)</f>
        <v>1726.3</v>
      </c>
      <c r="U89" s="69">
        <f>VLOOKUP($C89,[5]部位損益監控!$G:$BA,32,FALSE)</f>
        <v>1726.3</v>
      </c>
      <c r="V89" s="69">
        <f>IF(VLOOKUP($C89,[5]部位損益監控!$G:$BA,33,FALSE)="",0,VLOOKUP($C89,[5]部位損益監控!$G:$BA,33,FALSE))</f>
        <v>0</v>
      </c>
      <c r="W89" s="69">
        <f>IF(VLOOKUP($C89,[5]部位損益監控!$G:$BA,34,FALSE)="",0,VLOOKUP($C89,[5]部位損益監控!$G:$BA,34,FALSE))</f>
        <v>0</v>
      </c>
      <c r="X89" s="69">
        <f>VLOOKUP($C89,[5]部位損益監控!$G:$BA,20,FALSE)</f>
        <v>0</v>
      </c>
      <c r="Y89" s="69">
        <f>VLOOKUP($C89,[5]部位損益監控!$G:$BA,30,FALSE)</f>
        <v>0</v>
      </c>
      <c r="Z89" s="73">
        <f>AA89-AB89</f>
        <v>0</v>
      </c>
      <c r="AA89" s="73">
        <f>VLOOKUP($C89,[5]部位損益監控!$G:$BA,16,FALSE)</f>
        <v>0</v>
      </c>
      <c r="AB89" s="73">
        <f>VLOOKUP($C89,[5]部位損益監控!$G:$BA,17,FALSE)</f>
        <v>0</v>
      </c>
    </row>
    <row r="90" spans="2:28" s="69" customFormat="1">
      <c r="B90" s="68" t="s">
        <v>1701</v>
      </c>
      <c r="C90" s="68" t="s">
        <v>1771</v>
      </c>
      <c r="D90" s="69" t="s">
        <v>1772</v>
      </c>
      <c r="E90" s="69">
        <f>VLOOKUP($C90,[5]外期DDE!$B:$M,11,FALSE)</f>
        <v>26.08</v>
      </c>
      <c r="F90" s="69">
        <f>VLOOKUP($C90,[5]外期DDE!$B:$L,11,FALSE)</f>
        <v>26.08</v>
      </c>
      <c r="G90" s="71">
        <f t="shared" si="44"/>
        <v>0</v>
      </c>
      <c r="H90" s="70">
        <f t="shared" si="47"/>
        <v>0</v>
      </c>
      <c r="I90" s="70">
        <f t="shared" si="48"/>
        <v>0</v>
      </c>
      <c r="J90" s="70">
        <f t="shared" si="49"/>
        <v>-7.5177304964539005E-2</v>
      </c>
      <c r="K90" s="70">
        <f t="shared" si="49"/>
        <v>-7.5177304964539005E-2</v>
      </c>
      <c r="L90" s="70">
        <f t="shared" si="45"/>
        <v>1.9193857965451588E-3</v>
      </c>
      <c r="M90" s="71">
        <f>VLOOKUP($C90,[5]外期DDE!$B:$L,3,FALSE)</f>
        <v>26.1</v>
      </c>
      <c r="N90" s="71">
        <f>VLOOKUP($C90,[5]外期DDE!$B:$L,4,FALSE)</f>
        <v>26.05</v>
      </c>
      <c r="O90" s="71"/>
      <c r="P90" s="71"/>
      <c r="Q90" s="71">
        <f>VLOOKUP($C90,[5]外期DDE!$B:$L,5,FALSE)</f>
        <v>26.1</v>
      </c>
      <c r="R90" s="71"/>
      <c r="S90" s="71"/>
      <c r="T90" s="69">
        <f>VLOOKUP($C90,[5]部位損益監控!$G:$BA,31,FALSE)</f>
        <v>28.2</v>
      </c>
      <c r="U90" s="69">
        <f>VLOOKUP($C90,[5]部位損益監控!$G:$BA,32,FALSE)</f>
        <v>28.2</v>
      </c>
      <c r="V90" s="69">
        <f>IF(VLOOKUP($C90,[5]部位損益監控!$G:$BA,33,FALSE)="",0,VLOOKUP($C90,[5]部位損益監控!$G:$BA,33,FALSE))</f>
        <v>0</v>
      </c>
      <c r="W90" s="69">
        <f>IF(VLOOKUP($C90,[5]部位損益監控!$G:$BA,34,FALSE)="",0,VLOOKUP($C90,[5]部位損益監控!$G:$BA,34,FALSE))</f>
        <v>0</v>
      </c>
      <c r="X90" s="69">
        <f>VLOOKUP($C90,[5]部位損益監控!$G:$BA,20,FALSE)</f>
        <v>30</v>
      </c>
      <c r="Y90" s="69">
        <f>VLOOKUP($C90,[5]部位損益監控!$G:$BA,30,FALSE)</f>
        <v>18</v>
      </c>
      <c r="Z90" s="73">
        <f t="shared" si="46"/>
        <v>12</v>
      </c>
      <c r="AA90" s="73">
        <f>VLOOKUP($C90,[5]部位損益監控!$G:$BA,16,FALSE)</f>
        <v>12</v>
      </c>
      <c r="AB90" s="73">
        <f>VLOOKUP($C90,[5]部位損益監控!$G:$BA,17,FALSE)</f>
        <v>0</v>
      </c>
    </row>
    <row r="91" spans="2:28" s="69" customFormat="1">
      <c r="B91" s="68" t="s">
        <v>1773</v>
      </c>
      <c r="C91" s="68" t="s">
        <v>1298</v>
      </c>
      <c r="D91" s="69" t="s">
        <v>1774</v>
      </c>
      <c r="E91" s="69">
        <f>VLOOKUP($C91,[5]外期DDE!$B:$M,11,FALSE)</f>
        <v>870.88</v>
      </c>
      <c r="F91" s="69">
        <f>VLOOKUP($C91,[5]外期DDE!$B:$L,11,FALSE)</f>
        <v>870.88</v>
      </c>
      <c r="G91" s="71">
        <f t="shared" si="44"/>
        <v>0</v>
      </c>
      <c r="H91" s="70">
        <f t="shared" si="47"/>
        <v>0</v>
      </c>
      <c r="I91" s="70">
        <f t="shared" si="48"/>
        <v>0</v>
      </c>
      <c r="J91" s="70">
        <f t="shared" si="49"/>
        <v>2.2759835584263088E-2</v>
      </c>
      <c r="K91" s="70">
        <f t="shared" si="49"/>
        <v>2.2759835584263088E-2</v>
      </c>
      <c r="L91" s="70">
        <f t="shared" si="45"/>
        <v>2.8710881424065526E-4</v>
      </c>
      <c r="M91" s="71">
        <f>VLOOKUP($C91,[5]外期DDE!$B:$L,3,FALSE)</f>
        <v>870.75</v>
      </c>
      <c r="N91" s="71">
        <f>VLOOKUP($C91,[5]外期DDE!$B:$L,4,FALSE)</f>
        <v>870.75</v>
      </c>
      <c r="O91" s="71"/>
      <c r="P91" s="71"/>
      <c r="Q91" s="71">
        <f>VLOOKUP($C91,[5]外期DDE!$B:$L,5,FALSE)</f>
        <v>871</v>
      </c>
      <c r="R91" s="71"/>
      <c r="S91" s="71"/>
      <c r="T91" s="69">
        <f>VLOOKUP($C91,[5]部位損益監控!$G:$BA,31,FALSE)</f>
        <v>851.5</v>
      </c>
      <c r="U91" s="69">
        <f>VLOOKUP($C91,[5]部位損益監控!$G:$BA,32,FALSE)</f>
        <v>851.5</v>
      </c>
      <c r="V91" s="69">
        <f>IF(VLOOKUP($C91,[5]部位損益監控!$G:$BA,33,FALSE)="",0,VLOOKUP($C91,[5]部位損益監控!$G:$BA,33,FALSE))</f>
        <v>0</v>
      </c>
      <c r="W91" s="69">
        <f>IF(VLOOKUP($C91,[5]部位損益監控!$G:$BA,34,FALSE)="",0,VLOOKUP($C91,[5]部位損益監控!$G:$BA,34,FALSE))</f>
        <v>0</v>
      </c>
      <c r="X91" s="69">
        <f>VLOOKUP($C91,[5]部位損益監控!$G:$BA,20,FALSE)</f>
        <v>4</v>
      </c>
      <c r="Y91" s="69">
        <f>VLOOKUP($C91,[5]部位損益監控!$G:$BA,30,FALSE)</f>
        <v>3</v>
      </c>
      <c r="Z91" s="73">
        <f t="shared" si="46"/>
        <v>1</v>
      </c>
      <c r="AA91" s="73">
        <f>VLOOKUP($C91,[5]部位損益監控!$G:$BA,16,FALSE)</f>
        <v>1</v>
      </c>
      <c r="AB91" s="73">
        <f>VLOOKUP($C91,[5]部位損益監控!$G:$BA,17,FALSE)</f>
        <v>0</v>
      </c>
    </row>
    <row r="92" spans="2:28" s="69" customFormat="1">
      <c r="B92" s="68" t="s">
        <v>1775</v>
      </c>
      <c r="C92" s="68" t="s">
        <v>1776</v>
      </c>
      <c r="D92" s="69" t="s">
        <v>1777</v>
      </c>
      <c r="E92" s="69">
        <f>VLOOKUP($C92,[5]外期DDE!$B:$M,11,FALSE)</f>
        <v>13631.25</v>
      </c>
      <c r="F92" s="69">
        <f>VLOOKUP($C92,[5]外期DDE!$B:$L,11,FALSE)</f>
        <v>13631.25</v>
      </c>
      <c r="G92" s="71">
        <f t="shared" si="44"/>
        <v>0</v>
      </c>
      <c r="H92" s="70">
        <f t="shared" si="47"/>
        <v>0</v>
      </c>
      <c r="I92" s="70">
        <f t="shared" si="48"/>
        <v>0</v>
      </c>
      <c r="J92" s="70">
        <f t="shared" si="49"/>
        <v>-2.6522773001645961E-3</v>
      </c>
      <c r="K92" s="70">
        <f t="shared" si="49"/>
        <v>-2.6522773001645961E-3</v>
      </c>
      <c r="L92" s="70">
        <f t="shared" si="45"/>
        <v>1.8341892883344535E-4</v>
      </c>
      <c r="M92" s="71">
        <f>VLOOKUP($C92,[5]外期DDE!$B:$L,3,FALSE)</f>
        <v>13630</v>
      </c>
      <c r="N92" s="71">
        <f>VLOOKUP($C92,[5]外期DDE!$B:$L,4,FALSE)</f>
        <v>13630</v>
      </c>
      <c r="O92" s="71"/>
      <c r="P92" s="71"/>
      <c r="Q92" s="71">
        <f>VLOOKUP($C92,[5]外期DDE!$B:$L,5,FALSE)</f>
        <v>13632.5</v>
      </c>
      <c r="R92" s="71"/>
      <c r="S92" s="71"/>
      <c r="T92" s="69">
        <f>VLOOKUP($C92,[5]部位損益監控!$G:$BA,31,FALSE)</f>
        <v>13667.5</v>
      </c>
      <c r="U92" s="69">
        <f>VLOOKUP($C92,[5]部位損益監控!$G:$BA,32,FALSE)</f>
        <v>13667.5</v>
      </c>
      <c r="V92" s="69">
        <f>IF(VLOOKUP($C92,[5]部位損益監控!$G:$BA,33,FALSE)="",0,VLOOKUP($C92,[5]部位損益監控!$G:$BA,33,FALSE))</f>
        <v>0</v>
      </c>
      <c r="W92" s="69">
        <f>IF(VLOOKUP($C92,[5]部位損益監控!$G:$BA,34,FALSE)="",0,VLOOKUP($C92,[5]部位損益監控!$G:$BA,34,FALSE))</f>
        <v>0</v>
      </c>
      <c r="X92" s="69">
        <f>VLOOKUP($C92,[5]部位損益監控!$G:$BA,20,FALSE)</f>
        <v>1035</v>
      </c>
      <c r="Y92" s="69">
        <f>VLOOKUP($C92,[5]部位損益監控!$G:$BA,30,FALSE)</f>
        <v>1035</v>
      </c>
      <c r="Z92" s="73">
        <f t="shared" si="46"/>
        <v>0</v>
      </c>
      <c r="AA92" s="73">
        <f>VLOOKUP($C92,[5]部位損益監控!$G:$BA,16,FALSE)</f>
        <v>0</v>
      </c>
      <c r="AB92" s="73">
        <f>VLOOKUP($C92,[5]部位損益監控!$G:$BA,17,FALSE)</f>
        <v>0</v>
      </c>
    </row>
    <row r="93" spans="2:28" s="69" customFormat="1">
      <c r="B93" s="68"/>
      <c r="C93" s="68"/>
      <c r="G93" s="71"/>
      <c r="H93" s="70"/>
      <c r="I93" s="70"/>
      <c r="J93" s="70"/>
      <c r="K93" s="70"/>
      <c r="L93" s="70"/>
      <c r="M93" s="71"/>
      <c r="N93" s="71"/>
      <c r="O93" s="71"/>
      <c r="P93" s="71"/>
      <c r="Q93" s="71"/>
      <c r="R93" s="71"/>
      <c r="S93" s="71"/>
      <c r="Z93" s="73"/>
      <c r="AA93" s="73"/>
      <c r="AB93" s="73"/>
    </row>
    <row r="94" spans="2:28" s="69" customFormat="1">
      <c r="B94" s="68"/>
      <c r="C94" s="68"/>
      <c r="G94" s="71"/>
      <c r="H94" s="70"/>
      <c r="I94" s="70"/>
      <c r="J94" s="70"/>
      <c r="K94" s="70"/>
      <c r="L94" s="70"/>
      <c r="M94" s="71"/>
      <c r="N94" s="71"/>
      <c r="O94" s="71"/>
      <c r="P94" s="71"/>
      <c r="Q94" s="71"/>
      <c r="R94" s="71"/>
      <c r="S94" s="71"/>
      <c r="Z94" s="73"/>
      <c r="AA94" s="73"/>
      <c r="AB94" s="73"/>
    </row>
    <row r="95" spans="2:28" s="69" customFormat="1">
      <c r="B95" s="68" t="s">
        <v>1732</v>
      </c>
      <c r="C95" s="68" t="s">
        <v>1778</v>
      </c>
      <c r="D95" s="69" t="s">
        <v>1779</v>
      </c>
      <c r="E95" s="69">
        <f>VLOOKUP($C95,[5]台期!$A:$U,9,FALSE)</f>
        <v>11457</v>
      </c>
      <c r="F95" s="69">
        <f>VLOOKUP($C95,[5]台期!$A:$U,9,FALSE)</f>
        <v>11457</v>
      </c>
      <c r="G95" s="71">
        <f t="shared" si="44"/>
        <v>0</v>
      </c>
      <c r="H95" s="70">
        <f t="shared" si="47"/>
        <v>0</v>
      </c>
      <c r="I95" s="70">
        <f t="shared" si="48"/>
        <v>0</v>
      </c>
      <c r="J95" s="70">
        <f t="shared" si="49"/>
        <v>1.5421430470619502E-2</v>
      </c>
      <c r="K95" s="70">
        <f t="shared" si="49"/>
        <v>1.5421430470619502E-2</v>
      </c>
      <c r="L95" s="70">
        <f t="shared" si="45"/>
        <v>1.7456576765306764E-4</v>
      </c>
      <c r="M95" s="69">
        <f>VLOOKUP($C95,[5]台期!$A:$U,9,FALSE)</f>
        <v>11457</v>
      </c>
      <c r="N95" s="69">
        <f>VLOOKUP($C95,[5]台期!$A:$U,10,FALSE)</f>
        <v>11457</v>
      </c>
      <c r="Q95" s="69">
        <f>VLOOKUP($C95,[5]台期!$A:$U,11,FALSE)</f>
        <v>11459</v>
      </c>
      <c r="T95" s="69">
        <f>VLOOKUP($C95,[5]部位損益監控!$G:$BA,31,FALSE)</f>
        <v>11283</v>
      </c>
      <c r="U95" s="69">
        <f>VLOOKUP($C95,[5]部位損益監控!$G:$BA,32,FALSE)</f>
        <v>11283</v>
      </c>
      <c r="V95" s="69">
        <f>IF(VLOOKUP($C95,[5]部位損益監控!$G:$BA,33,FALSE)="",0,VLOOKUP($C95,[5]部位損益監控!$G:$BA,33,FALSE))</f>
        <v>0</v>
      </c>
      <c r="W95" s="69">
        <f>IF(VLOOKUP($C95,[5]部位損益監控!$G:$BA,34,FALSE)="",0,VLOOKUP($C95,[5]部位損益監控!$G:$BA,34,FALSE))</f>
        <v>0</v>
      </c>
      <c r="X95" s="69">
        <f>VLOOKUP($C95,[5]部位損益監控!$G:$BA,20,FALSE)</f>
        <v>-40</v>
      </c>
      <c r="Y95" s="69">
        <f>VLOOKUP($C95,[5]部位損益監控!$G:$BA,30,FALSE)</f>
        <v>-47</v>
      </c>
      <c r="Z95" s="73">
        <f t="shared" si="46"/>
        <v>7</v>
      </c>
      <c r="AA95" s="73">
        <f>VLOOKUP($C95,[5]部位損益監控!$G:$BA,16,FALSE)</f>
        <v>11</v>
      </c>
      <c r="AB95" s="73">
        <f>VLOOKUP($C95,[5]部位損益監控!$G:$BA,17,FALSE)</f>
        <v>4</v>
      </c>
    </row>
    <row r="96" spans="2:28" s="69" customFormat="1">
      <c r="B96" s="68" t="s">
        <v>1732</v>
      </c>
      <c r="C96" s="68" t="s">
        <v>1780</v>
      </c>
      <c r="D96" s="69" t="s">
        <v>1781</v>
      </c>
      <c r="E96" s="69">
        <f>VLOOKUP($C96,[5]台期!$A:$U,9,FALSE)</f>
        <v>507.4</v>
      </c>
      <c r="F96" s="69">
        <f>VLOOKUP($C96,[5]台期!$A:$U,9,FALSE)</f>
        <v>507.4</v>
      </c>
      <c r="G96" s="71">
        <f t="shared" si="44"/>
        <v>0</v>
      </c>
      <c r="H96" s="70">
        <f t="shared" si="47"/>
        <v>0</v>
      </c>
      <c r="I96" s="70">
        <f t="shared" si="48"/>
        <v>0</v>
      </c>
      <c r="J96" s="70">
        <f t="shared" si="49"/>
        <v>2.0720177026755104E-2</v>
      </c>
      <c r="K96" s="70">
        <f t="shared" si="49"/>
        <v>2.0720177026755104E-2</v>
      </c>
      <c r="L96" s="70">
        <f t="shared" si="45"/>
        <v>2.9562475364608432E-4</v>
      </c>
      <c r="M96" s="69">
        <f>VLOOKUP($C96,[5]台期!$A:$U,9,FALSE)</f>
        <v>507.4</v>
      </c>
      <c r="N96" s="69">
        <f>VLOOKUP($C96,[5]台期!$A:$U,10,FALSE)</f>
        <v>507.4</v>
      </c>
      <c r="Q96" s="69">
        <f>VLOOKUP($C96,[5]台期!$A:$U,11,FALSE)</f>
        <v>507.55</v>
      </c>
      <c r="T96" s="69">
        <f>VLOOKUP($C96,[5]部位損益監控!$G:$BA,31,FALSE)</f>
        <v>497.1</v>
      </c>
      <c r="U96" s="69">
        <f>VLOOKUP($C96,[5]部位損益監控!$G:$BA,32,FALSE)</f>
        <v>497.1</v>
      </c>
      <c r="V96" s="69">
        <f>IF(VLOOKUP($C96,[5]部位損益監控!$G:$BA,33,FALSE)="",0,VLOOKUP($C96,[5]部位損益監控!$G:$BA,33,FALSE))</f>
        <v>0</v>
      </c>
      <c r="W96" s="69">
        <f>IF(VLOOKUP($C96,[5]部位損益監控!$G:$BA,34,FALSE)="",0,VLOOKUP($C96,[5]部位損益監控!$G:$BA,34,FALSE))</f>
        <v>0</v>
      </c>
      <c r="X96" s="69">
        <f>VLOOKUP($C96,[5]部位損益監控!$G:$BA,20,FALSE)</f>
        <v>0</v>
      </c>
      <c r="Y96" s="69">
        <f>VLOOKUP($C96,[5]部位損益監控!$G:$BA,30,FALSE)</f>
        <v>0</v>
      </c>
      <c r="Z96" s="73">
        <f t="shared" si="46"/>
        <v>0</v>
      </c>
      <c r="AA96" s="73">
        <f>VLOOKUP($C96,[5]部位損益監控!$G:$BA,16,FALSE)</f>
        <v>0</v>
      </c>
      <c r="AB96" s="73">
        <f>VLOOKUP($C96,[5]部位損益監控!$G:$BA,17,FALSE)</f>
        <v>0</v>
      </c>
    </row>
    <row r="97" spans="2:28" s="69" customFormat="1">
      <c r="B97" s="68"/>
      <c r="C97" s="68"/>
      <c r="G97" s="71"/>
      <c r="H97" s="70"/>
      <c r="I97" s="70"/>
      <c r="J97" s="70"/>
      <c r="K97" s="70"/>
      <c r="L97" s="70"/>
      <c r="M97" s="71"/>
      <c r="Z97" s="73"/>
      <c r="AA97" s="73"/>
      <c r="AB97" s="73"/>
    </row>
  </sheetData>
  <phoneticPr fontId="6" type="noConversion"/>
  <conditionalFormatting sqref="Z3:Z4 Z84 Z86:Z96 Z9 Z6:Z7 Z28:Z47 Z11:Z20 Z68:Z79 Z56:Z64">
    <cfRule type="expression" dxfId="98" priority="106">
      <formula>Z3&lt;-100</formula>
    </cfRule>
    <cfRule type="expression" dxfId="97" priority="108">
      <formula>Z3&gt;100</formula>
    </cfRule>
  </conditionalFormatting>
  <conditionalFormatting sqref="Z4 Z84 Z86:Z96 Z9 Z6:Z7 Z28:Z47 Z11:Z20 Z68:Z79 Z56:Z64">
    <cfRule type="expression" dxfId="96" priority="107">
      <formula>Z4&gt;100</formula>
    </cfRule>
  </conditionalFormatting>
  <conditionalFormatting sqref="J5:L5">
    <cfRule type="expression" dxfId="95" priority="104">
      <formula>J5&lt;-3%</formula>
    </cfRule>
    <cfRule type="expression" dxfId="94" priority="105">
      <formula>J5&gt;3%</formula>
    </cfRule>
  </conditionalFormatting>
  <conditionalFormatting sqref="I5">
    <cfRule type="expression" dxfId="93" priority="102">
      <formula>I5&lt;-3%</formula>
    </cfRule>
    <cfRule type="expression" dxfId="92" priority="103">
      <formula>I5&gt;3%</formula>
    </cfRule>
  </conditionalFormatting>
  <conditionalFormatting sqref="Z5">
    <cfRule type="expression" dxfId="91" priority="99">
      <formula>Z5&lt;-100</formula>
    </cfRule>
    <cfRule type="expression" dxfId="90" priority="101">
      <formula>Z5&gt;100</formula>
    </cfRule>
  </conditionalFormatting>
  <conditionalFormatting sqref="Z5">
    <cfRule type="expression" dxfId="89" priority="100">
      <formula>Z5&gt;100</formula>
    </cfRule>
  </conditionalFormatting>
  <conditionalFormatting sqref="J85:L85">
    <cfRule type="expression" dxfId="88" priority="97">
      <formula>J85&lt;-3%</formula>
    </cfRule>
    <cfRule type="expression" dxfId="87" priority="98">
      <formula>J85&gt;3%</formula>
    </cfRule>
  </conditionalFormatting>
  <conditionalFormatting sqref="H85">
    <cfRule type="expression" dxfId="86" priority="95">
      <formula>H85&lt;-1%</formula>
    </cfRule>
    <cfRule type="expression" dxfId="85" priority="96">
      <formula>H85&gt;1%</formula>
    </cfRule>
  </conditionalFormatting>
  <conditionalFormatting sqref="Z85">
    <cfRule type="expression" dxfId="84" priority="92">
      <formula>Z85&lt;-100</formula>
    </cfRule>
    <cfRule type="expression" dxfId="83" priority="94">
      <formula>Z85&gt;100</formula>
    </cfRule>
  </conditionalFormatting>
  <conditionalFormatting sqref="Z85">
    <cfRule type="expression" dxfId="82" priority="93">
      <formula>Z85&gt;100</formula>
    </cfRule>
  </conditionalFormatting>
  <conditionalFormatting sqref="I85">
    <cfRule type="expression" dxfId="81" priority="90">
      <formula>I85&lt;-3%</formula>
    </cfRule>
    <cfRule type="expression" dxfId="80" priority="91">
      <formula>I85&gt;3%</formula>
    </cfRule>
  </conditionalFormatting>
  <conditionalFormatting sqref="J97:L97">
    <cfRule type="expression" dxfId="79" priority="88">
      <formula>J97&lt;-3%</formula>
    </cfRule>
    <cfRule type="expression" dxfId="78" priority="89">
      <formula>J97&gt;3%</formula>
    </cfRule>
  </conditionalFormatting>
  <conditionalFormatting sqref="H97">
    <cfRule type="expression" dxfId="77" priority="86">
      <formula>H97&lt;-1%</formula>
    </cfRule>
    <cfRule type="expression" dxfId="76" priority="87">
      <formula>H97&gt;1%</formula>
    </cfRule>
  </conditionalFormatting>
  <conditionalFormatting sqref="I97">
    <cfRule type="expression" dxfId="75" priority="84">
      <formula>I97&lt;-3%</formula>
    </cfRule>
    <cfRule type="expression" dxfId="74" priority="85">
      <formula>I97&gt;3%</formula>
    </cfRule>
  </conditionalFormatting>
  <conditionalFormatting sqref="Z97">
    <cfRule type="expression" dxfId="73" priority="81">
      <formula>Z97&lt;-100</formula>
    </cfRule>
    <cfRule type="expression" dxfId="72" priority="83">
      <formula>Z97&gt;100</formula>
    </cfRule>
  </conditionalFormatting>
  <conditionalFormatting sqref="Z97">
    <cfRule type="expression" dxfId="71" priority="82">
      <formula>Z97&gt;100</formula>
    </cfRule>
  </conditionalFormatting>
  <conditionalFormatting sqref="J65:L65">
    <cfRule type="expression" dxfId="70" priority="79">
      <formula>J65&lt;-3%</formula>
    </cfRule>
    <cfRule type="expression" dxfId="69" priority="80">
      <formula>J65&gt;3%</formula>
    </cfRule>
  </conditionalFormatting>
  <conditionalFormatting sqref="I65">
    <cfRule type="expression" dxfId="68" priority="77">
      <formula>I65&lt;-3%</formula>
    </cfRule>
    <cfRule type="expression" dxfId="67" priority="78">
      <formula>I65&gt;3%</formula>
    </cfRule>
  </conditionalFormatting>
  <conditionalFormatting sqref="Z65">
    <cfRule type="expression" dxfId="66" priority="74">
      <formula>Z65&lt;-100</formula>
    </cfRule>
    <cfRule type="expression" dxfId="65" priority="76">
      <formula>Z65&gt;100</formula>
    </cfRule>
  </conditionalFormatting>
  <conditionalFormatting sqref="Z65">
    <cfRule type="expression" dxfId="64" priority="75">
      <formula>Z65&gt;100</formula>
    </cfRule>
  </conditionalFormatting>
  <conditionalFormatting sqref="J66:L66">
    <cfRule type="expression" dxfId="63" priority="72">
      <formula>J66&lt;-3%</formula>
    </cfRule>
    <cfRule type="expression" dxfId="62" priority="73">
      <formula>J66&gt;3%</formula>
    </cfRule>
  </conditionalFormatting>
  <conditionalFormatting sqref="I66">
    <cfRule type="expression" dxfId="61" priority="70">
      <formula>I66&lt;-3%</formula>
    </cfRule>
    <cfRule type="expression" dxfId="60" priority="71">
      <formula>I66&gt;3%</formula>
    </cfRule>
  </conditionalFormatting>
  <conditionalFormatting sqref="Z66">
    <cfRule type="expression" dxfId="59" priority="67">
      <formula>Z66&lt;-100</formula>
    </cfRule>
    <cfRule type="expression" dxfId="58" priority="69">
      <formula>Z66&gt;100</formula>
    </cfRule>
  </conditionalFormatting>
  <conditionalFormatting sqref="Z66">
    <cfRule type="expression" dxfId="57" priority="68">
      <formula>Z66&gt;100</formula>
    </cfRule>
  </conditionalFormatting>
  <conditionalFormatting sqref="J67:L67">
    <cfRule type="expression" dxfId="56" priority="65">
      <formula>J67&lt;-3%</formula>
    </cfRule>
    <cfRule type="expression" dxfId="55" priority="66">
      <formula>J67&gt;3%</formula>
    </cfRule>
  </conditionalFormatting>
  <conditionalFormatting sqref="I67">
    <cfRule type="expression" dxfId="54" priority="63">
      <formula>I67&lt;-3%</formula>
    </cfRule>
    <cfRule type="expression" dxfId="53" priority="64">
      <formula>I67&gt;3%</formula>
    </cfRule>
  </conditionalFormatting>
  <conditionalFormatting sqref="Z67">
    <cfRule type="expression" dxfId="52" priority="60">
      <formula>Z67&lt;-100</formula>
    </cfRule>
    <cfRule type="expression" dxfId="51" priority="62">
      <formula>Z67&gt;100</formula>
    </cfRule>
  </conditionalFormatting>
  <conditionalFormatting sqref="Z67">
    <cfRule type="expression" dxfId="50" priority="61">
      <formula>Z67&gt;100</formula>
    </cfRule>
  </conditionalFormatting>
  <conditionalFormatting sqref="J8:L8">
    <cfRule type="expression" dxfId="49" priority="58">
      <formula>J8&lt;-3%</formula>
    </cfRule>
    <cfRule type="expression" dxfId="48" priority="59">
      <formula>J8&gt;3%</formula>
    </cfRule>
  </conditionalFormatting>
  <conditionalFormatting sqref="I8">
    <cfRule type="expression" dxfId="47" priority="56">
      <formula>I8&lt;-3%</formula>
    </cfRule>
    <cfRule type="expression" dxfId="46" priority="57">
      <formula>I8&gt;3%</formula>
    </cfRule>
  </conditionalFormatting>
  <conditionalFormatting sqref="Z8">
    <cfRule type="expression" dxfId="45" priority="53">
      <formula>Z8&lt;-100</formula>
    </cfRule>
    <cfRule type="expression" dxfId="44" priority="55">
      <formula>Z8&gt;100</formula>
    </cfRule>
  </conditionalFormatting>
  <conditionalFormatting sqref="Z8">
    <cfRule type="expression" dxfId="43" priority="54">
      <formula>Z8&gt;100</formula>
    </cfRule>
  </conditionalFormatting>
  <conditionalFormatting sqref="J10:L10">
    <cfRule type="expression" dxfId="42" priority="51">
      <formula>J10&lt;-3%</formula>
    </cfRule>
    <cfRule type="expression" dxfId="41" priority="52">
      <formula>J10&gt;3%</formula>
    </cfRule>
  </conditionalFormatting>
  <conditionalFormatting sqref="I10">
    <cfRule type="expression" dxfId="40" priority="49">
      <formula>I10&lt;-3%</formula>
    </cfRule>
    <cfRule type="expression" dxfId="39" priority="50">
      <formula>I10&gt;3%</formula>
    </cfRule>
  </conditionalFormatting>
  <conditionalFormatting sqref="Z10">
    <cfRule type="expression" dxfId="38" priority="46">
      <formula>Z10&lt;-100</formula>
    </cfRule>
    <cfRule type="expression" dxfId="37" priority="48">
      <formula>Z10&gt;100</formula>
    </cfRule>
  </conditionalFormatting>
  <conditionalFormatting sqref="Z10">
    <cfRule type="expression" dxfId="36" priority="47">
      <formula>Z10&gt;100</formula>
    </cfRule>
  </conditionalFormatting>
  <conditionalFormatting sqref="J21:L25">
    <cfRule type="expression" dxfId="35" priority="44">
      <formula>J21&lt;-3%</formula>
    </cfRule>
    <cfRule type="expression" dxfId="34" priority="45">
      <formula>J21&gt;3%</formula>
    </cfRule>
  </conditionalFormatting>
  <conditionalFormatting sqref="I21:I25">
    <cfRule type="expression" dxfId="33" priority="42">
      <formula>I21&lt;-3%</formula>
    </cfRule>
    <cfRule type="expression" dxfId="32" priority="43">
      <formula>I21&gt;3%</formula>
    </cfRule>
  </conditionalFormatting>
  <conditionalFormatting sqref="Z21:Z25">
    <cfRule type="expression" dxfId="31" priority="39">
      <formula>Z21&lt;-100</formula>
    </cfRule>
    <cfRule type="expression" dxfId="30" priority="41">
      <formula>Z21&gt;100</formula>
    </cfRule>
  </conditionalFormatting>
  <conditionalFormatting sqref="Z21:Z25">
    <cfRule type="expression" dxfId="29" priority="40">
      <formula>Z21&gt;100</formula>
    </cfRule>
  </conditionalFormatting>
  <conditionalFormatting sqref="J26:L27">
    <cfRule type="expression" dxfId="28" priority="37">
      <formula>J26&lt;-3%</formula>
    </cfRule>
    <cfRule type="expression" dxfId="27" priority="38">
      <formula>J26&gt;3%</formula>
    </cfRule>
  </conditionalFormatting>
  <conditionalFormatting sqref="I26:I27">
    <cfRule type="expression" dxfId="26" priority="35">
      <formula>I26&lt;-3%</formula>
    </cfRule>
    <cfRule type="expression" dxfId="25" priority="36">
      <formula>I26&gt;3%</formula>
    </cfRule>
  </conditionalFormatting>
  <conditionalFormatting sqref="Z26:Z27">
    <cfRule type="expression" dxfId="24" priority="32">
      <formula>Z26&lt;-100</formula>
    </cfRule>
    <cfRule type="expression" dxfId="23" priority="34">
      <formula>Z26&gt;100</formula>
    </cfRule>
  </conditionalFormatting>
  <conditionalFormatting sqref="Z26:Z27">
    <cfRule type="expression" dxfId="22" priority="33">
      <formula>Z26&gt;100</formula>
    </cfRule>
  </conditionalFormatting>
  <conditionalFormatting sqref="J48:L52">
    <cfRule type="expression" dxfId="21" priority="30">
      <formula>J48&lt;-3%</formula>
    </cfRule>
    <cfRule type="expression" dxfId="20" priority="31">
      <formula>J48&gt;3%</formula>
    </cfRule>
  </conditionalFormatting>
  <conditionalFormatting sqref="I48:I52">
    <cfRule type="expression" dxfId="19" priority="28">
      <formula>I48&lt;-3%</formula>
    </cfRule>
    <cfRule type="expression" dxfId="18" priority="29">
      <formula>I48&gt;3%</formula>
    </cfRule>
  </conditionalFormatting>
  <conditionalFormatting sqref="Z48:Z52">
    <cfRule type="expression" dxfId="17" priority="25">
      <formula>Z48&lt;-100</formula>
    </cfRule>
    <cfRule type="expression" dxfId="16" priority="27">
      <formula>Z48&gt;100</formula>
    </cfRule>
  </conditionalFormatting>
  <conditionalFormatting sqref="Z48:Z52">
    <cfRule type="expression" dxfId="15" priority="26">
      <formula>Z48&gt;100</formula>
    </cfRule>
  </conditionalFormatting>
  <conditionalFormatting sqref="J53:L55">
    <cfRule type="expression" dxfId="14" priority="23">
      <formula>J53&lt;-3%</formula>
    </cfRule>
    <cfRule type="expression" dxfId="13" priority="24">
      <formula>J53&gt;3%</formula>
    </cfRule>
  </conditionalFormatting>
  <conditionalFormatting sqref="I53:I55">
    <cfRule type="expression" dxfId="12" priority="19">
      <formula>I53&lt;-3%</formula>
    </cfRule>
    <cfRule type="expression" dxfId="11" priority="20">
      <formula>I53&gt;3%</formula>
    </cfRule>
  </conditionalFormatting>
  <conditionalFormatting sqref="Z53:Z55">
    <cfRule type="expression" dxfId="10" priority="16">
      <formula>Z53&lt;-100</formula>
    </cfRule>
    <cfRule type="expression" dxfId="9" priority="18">
      <formula>Z53&gt;100</formula>
    </cfRule>
  </conditionalFormatting>
  <conditionalFormatting sqref="Z53:Z55">
    <cfRule type="expression" dxfId="8" priority="17">
      <formula>Z53&gt;100</formula>
    </cfRule>
  </conditionalFormatting>
  <conditionalFormatting sqref="H3:H79 P3:P79 S3:S79">
    <cfRule type="expression" dxfId="7" priority="21">
      <formula>H3&lt;-$H$1</formula>
    </cfRule>
    <cfRule type="expression" dxfId="6" priority="22">
      <formula>H3&gt;$H$1</formula>
    </cfRule>
  </conditionalFormatting>
  <conditionalFormatting sqref="J3:J79">
    <cfRule type="expression" dxfId="5" priority="111">
      <formula>J3&lt;-$J$1</formula>
    </cfRule>
    <cfRule type="expression" dxfId="4" priority="112">
      <formula>J3&gt;$J$1</formula>
    </cfRule>
  </conditionalFormatting>
  <conditionalFormatting sqref="I3:I79">
    <cfRule type="expression" dxfId="3" priority="109">
      <formula>I3&lt;-$I$1</formula>
    </cfRule>
    <cfRule type="expression" dxfId="2" priority="110">
      <formula>I3&gt;$I$1</formula>
    </cfRule>
  </conditionalFormatting>
  <conditionalFormatting sqref="K3:K79">
    <cfRule type="expression" dxfId="1" priority="1">
      <formula>K3&lt;-$K$1</formula>
    </cfRule>
    <cfRule type="expression" dxfId="0" priority="2">
      <formula>K3&gt;$K$1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日期</vt:lpstr>
      <vt:lpstr>ETF淨值</vt:lpstr>
      <vt:lpstr>工作表3</vt:lpstr>
      <vt:lpstr>XQKGIAP</vt:lpstr>
      <vt:lpstr>ETF</vt:lpstr>
      <vt:lpstr>Stock</vt:lpstr>
      <vt:lpstr>外期</vt:lpstr>
      <vt:lpstr>台股期</vt:lpstr>
      <vt:lpstr>資料上傳</vt:lpstr>
      <vt:lpstr>Data</vt:lpstr>
      <vt:lpstr>工作表2</vt:lpstr>
      <vt:lpstr>工作表1</vt:lpstr>
      <vt:lpstr>工作表5</vt:lpstr>
      <vt:lpstr>價差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黃立承</dc:creator>
  <cp:lastModifiedBy>黃立承LiChengHuang-ED-KGISEC</cp:lastModifiedBy>
  <cp:lastPrinted>2020-10-26T07:11:29Z</cp:lastPrinted>
  <dcterms:created xsi:type="dcterms:W3CDTF">2019-07-17T08:17:40Z</dcterms:created>
  <dcterms:modified xsi:type="dcterms:W3CDTF">2021-05-14T07:15:01Z</dcterms:modified>
</cp:coreProperties>
</file>